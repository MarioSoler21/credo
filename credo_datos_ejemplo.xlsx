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Credo/"/>
    </mc:Choice>
  </mc:AlternateContent>
  <xr:revisionPtr revIDLastSave="1" documentId="8_{4D95298F-867C-44A2-A291-2DF68192B1FF}" xr6:coauthVersionLast="47" xr6:coauthVersionMax="47" xr10:uidLastSave="{4B0C872A-6386-446B-9218-CECCCE15E63E}"/>
  <bookViews>
    <workbookView xWindow="-28920" yWindow="-120" windowWidth="29040" windowHeight="15720" activeTab="5" xr2:uid="{C37C3A5E-1498-4808-B1E0-0C273CCBEA35}"/>
  </bookViews>
  <sheets>
    <sheet name="FACT_MOVIMIENTOS" sheetId="1" r:id="rId1"/>
    <sheet name="DIM_INVERSION" sheetId="2" r:id="rId2"/>
    <sheet name="DIM_PRESTAMO" sheetId="3" r:id="rId3"/>
    <sheet name="DIM_PERSONA" sheetId="4" r:id="rId4"/>
    <sheet name="DIM_CATEGORIA" sheetId="5" r:id="rId5"/>
    <sheet name="DIM_TIPO_MOV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4" l="1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G3" i="4"/>
  <c r="F3" i="4"/>
  <c r="E3" i="4"/>
  <c r="D3" i="4"/>
  <c r="C3" i="4"/>
  <c r="G2" i="4"/>
  <c r="F2" i="4"/>
  <c r="E2" i="4"/>
  <c r="D2" i="4"/>
  <c r="C2" i="4"/>
  <c r="N21" i="3"/>
  <c r="M21" i="3"/>
  <c r="L21" i="3"/>
  <c r="K21" i="3"/>
  <c r="J21" i="3"/>
  <c r="I21" i="3"/>
  <c r="H21" i="3"/>
  <c r="G21" i="3"/>
  <c r="F21" i="3"/>
  <c r="E21" i="3"/>
  <c r="C21" i="3"/>
  <c r="D21" i="3" s="1"/>
  <c r="N20" i="3"/>
  <c r="M20" i="3"/>
  <c r="L20" i="3"/>
  <c r="K20" i="3"/>
  <c r="J20" i="3"/>
  <c r="I20" i="3"/>
  <c r="H20" i="3"/>
  <c r="G20" i="3"/>
  <c r="F20" i="3"/>
  <c r="E20" i="3"/>
  <c r="C20" i="3"/>
  <c r="D20" i="3" s="1"/>
  <c r="N19" i="3"/>
  <c r="M19" i="3"/>
  <c r="L19" i="3"/>
  <c r="K19" i="3"/>
  <c r="J19" i="3"/>
  <c r="I19" i="3"/>
  <c r="H19" i="3"/>
  <c r="G19" i="3"/>
  <c r="F19" i="3"/>
  <c r="E19" i="3"/>
  <c r="C19" i="3"/>
  <c r="D19" i="3" s="1"/>
  <c r="N18" i="3"/>
  <c r="M18" i="3"/>
  <c r="L18" i="3"/>
  <c r="K18" i="3"/>
  <c r="J18" i="3"/>
  <c r="I18" i="3"/>
  <c r="H18" i="3"/>
  <c r="G18" i="3"/>
  <c r="F18" i="3"/>
  <c r="E18" i="3"/>
  <c r="C18" i="3"/>
  <c r="D18" i="3" s="1"/>
  <c r="N17" i="3"/>
  <c r="M17" i="3"/>
  <c r="L17" i="3"/>
  <c r="K17" i="3"/>
  <c r="J17" i="3"/>
  <c r="I17" i="3"/>
  <c r="H17" i="3"/>
  <c r="G17" i="3"/>
  <c r="F17" i="3"/>
  <c r="E17" i="3"/>
  <c r="C17" i="3"/>
  <c r="D17" i="3" s="1"/>
  <c r="N16" i="3"/>
  <c r="M16" i="3"/>
  <c r="L16" i="3"/>
  <c r="K16" i="3"/>
  <c r="J16" i="3"/>
  <c r="I16" i="3"/>
  <c r="H16" i="3"/>
  <c r="G16" i="3"/>
  <c r="F16" i="3"/>
  <c r="E16" i="3"/>
  <c r="C16" i="3"/>
  <c r="D16" i="3" s="1"/>
  <c r="N15" i="3"/>
  <c r="M15" i="3"/>
  <c r="L15" i="3"/>
  <c r="K15" i="3"/>
  <c r="J15" i="3"/>
  <c r="I15" i="3"/>
  <c r="H15" i="3"/>
  <c r="G15" i="3"/>
  <c r="F15" i="3"/>
  <c r="E15" i="3"/>
  <c r="C15" i="3"/>
  <c r="D15" i="3" s="1"/>
  <c r="N14" i="3"/>
  <c r="M14" i="3"/>
  <c r="L14" i="3"/>
  <c r="K14" i="3"/>
  <c r="J14" i="3"/>
  <c r="I14" i="3"/>
  <c r="H14" i="3"/>
  <c r="G14" i="3"/>
  <c r="F14" i="3"/>
  <c r="E14" i="3"/>
  <c r="C14" i="3"/>
  <c r="D14" i="3" s="1"/>
  <c r="N13" i="3"/>
  <c r="M13" i="3"/>
  <c r="L13" i="3"/>
  <c r="K13" i="3"/>
  <c r="J13" i="3"/>
  <c r="I13" i="3"/>
  <c r="H13" i="3"/>
  <c r="G13" i="3"/>
  <c r="F13" i="3"/>
  <c r="E13" i="3"/>
  <c r="C13" i="3"/>
  <c r="D13" i="3" s="1"/>
  <c r="N12" i="3"/>
  <c r="M12" i="3"/>
  <c r="L12" i="3"/>
  <c r="K12" i="3"/>
  <c r="J12" i="3"/>
  <c r="I12" i="3"/>
  <c r="H12" i="3"/>
  <c r="G12" i="3"/>
  <c r="F12" i="3"/>
  <c r="E12" i="3"/>
  <c r="C12" i="3"/>
  <c r="D12" i="3" s="1"/>
  <c r="N11" i="3"/>
  <c r="M11" i="3"/>
  <c r="L11" i="3"/>
  <c r="K11" i="3"/>
  <c r="J11" i="3"/>
  <c r="I11" i="3"/>
  <c r="H11" i="3"/>
  <c r="G11" i="3"/>
  <c r="F11" i="3"/>
  <c r="E11" i="3"/>
  <c r="C11" i="3"/>
  <c r="D11" i="3" s="1"/>
  <c r="N10" i="3"/>
  <c r="M10" i="3"/>
  <c r="L10" i="3"/>
  <c r="K10" i="3"/>
  <c r="J10" i="3"/>
  <c r="I10" i="3"/>
  <c r="H10" i="3"/>
  <c r="G10" i="3"/>
  <c r="F10" i="3"/>
  <c r="E10" i="3"/>
  <c r="C10" i="3"/>
  <c r="D10" i="3" s="1"/>
  <c r="N9" i="3"/>
  <c r="M9" i="3"/>
  <c r="L9" i="3"/>
  <c r="K9" i="3"/>
  <c r="J9" i="3"/>
  <c r="I9" i="3"/>
  <c r="H9" i="3"/>
  <c r="G9" i="3"/>
  <c r="F9" i="3"/>
  <c r="E9" i="3"/>
  <c r="C9" i="3"/>
  <c r="D9" i="3" s="1"/>
  <c r="N8" i="3"/>
  <c r="M8" i="3"/>
  <c r="L8" i="3"/>
  <c r="K8" i="3"/>
  <c r="J8" i="3"/>
  <c r="I8" i="3"/>
  <c r="H8" i="3"/>
  <c r="G8" i="3"/>
  <c r="F8" i="3"/>
  <c r="E8" i="3"/>
  <c r="C8" i="3"/>
  <c r="D8" i="3" s="1"/>
  <c r="N7" i="3"/>
  <c r="M7" i="3"/>
  <c r="L7" i="3"/>
  <c r="K7" i="3"/>
  <c r="J7" i="3"/>
  <c r="I7" i="3"/>
  <c r="H7" i="3"/>
  <c r="G7" i="3"/>
  <c r="F7" i="3"/>
  <c r="E7" i="3"/>
  <c r="C7" i="3"/>
  <c r="D7" i="3" s="1"/>
  <c r="N6" i="3"/>
  <c r="M6" i="3"/>
  <c r="L6" i="3"/>
  <c r="K6" i="3"/>
  <c r="J6" i="3"/>
  <c r="I6" i="3"/>
  <c r="H6" i="3"/>
  <c r="G6" i="3"/>
  <c r="F6" i="3"/>
  <c r="E6" i="3"/>
  <c r="C6" i="3"/>
  <c r="D6" i="3" s="1"/>
  <c r="N5" i="3"/>
  <c r="M5" i="3"/>
  <c r="L5" i="3"/>
  <c r="K5" i="3"/>
  <c r="J5" i="3"/>
  <c r="I5" i="3"/>
  <c r="H5" i="3"/>
  <c r="G5" i="3"/>
  <c r="F5" i="3"/>
  <c r="E5" i="3"/>
  <c r="C5" i="3"/>
  <c r="D5" i="3" s="1"/>
  <c r="N4" i="3"/>
  <c r="M4" i="3"/>
  <c r="L4" i="3"/>
  <c r="K4" i="3"/>
  <c r="J4" i="3"/>
  <c r="I4" i="3"/>
  <c r="H4" i="3"/>
  <c r="G4" i="3"/>
  <c r="F4" i="3"/>
  <c r="E4" i="3"/>
  <c r="C4" i="3"/>
  <c r="D4" i="3" s="1"/>
  <c r="N3" i="3"/>
  <c r="M3" i="3"/>
  <c r="L3" i="3"/>
  <c r="K3" i="3"/>
  <c r="J3" i="3"/>
  <c r="I3" i="3"/>
  <c r="H3" i="3"/>
  <c r="G3" i="3"/>
  <c r="F3" i="3"/>
  <c r="E3" i="3"/>
  <c r="C3" i="3"/>
  <c r="D3" i="3" s="1"/>
  <c r="M10" i="2"/>
  <c r="L10" i="2"/>
  <c r="K10" i="2"/>
  <c r="J10" i="2"/>
  <c r="I10" i="2"/>
  <c r="H10" i="2"/>
  <c r="G10" i="2"/>
  <c r="F10" i="2"/>
  <c r="E10" i="2"/>
  <c r="C10" i="2"/>
  <c r="D10" i="2" s="1"/>
  <c r="M9" i="2"/>
  <c r="L9" i="2"/>
  <c r="K9" i="2"/>
  <c r="J9" i="2"/>
  <c r="I9" i="2"/>
  <c r="H9" i="2"/>
  <c r="G9" i="2"/>
  <c r="F9" i="2"/>
  <c r="E9" i="2"/>
  <c r="C9" i="2"/>
  <c r="D9" i="2" s="1"/>
  <c r="M8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C7" i="2"/>
  <c r="D7" i="2" s="1"/>
  <c r="M6" i="2"/>
  <c r="L6" i="2"/>
  <c r="K6" i="2"/>
  <c r="J6" i="2"/>
  <c r="I6" i="2"/>
  <c r="H6" i="2"/>
  <c r="G6" i="2"/>
  <c r="F6" i="2"/>
  <c r="E6" i="2"/>
  <c r="D6" i="2"/>
  <c r="C6" i="2"/>
  <c r="M5" i="2"/>
  <c r="L5" i="2"/>
  <c r="K5" i="2"/>
  <c r="J5" i="2"/>
  <c r="I5" i="2"/>
  <c r="H5" i="2"/>
  <c r="G5" i="2"/>
  <c r="F5" i="2"/>
  <c r="E5" i="2"/>
  <c r="C5" i="2"/>
  <c r="D5" i="2" s="1"/>
  <c r="M4" i="2"/>
  <c r="L4" i="2"/>
  <c r="K4" i="2"/>
  <c r="J4" i="2"/>
  <c r="I4" i="2"/>
  <c r="H4" i="2"/>
  <c r="G4" i="2"/>
  <c r="F4" i="2"/>
  <c r="E4" i="2"/>
  <c r="C4" i="2"/>
  <c r="D4" i="2" s="1"/>
  <c r="M3" i="2"/>
  <c r="L3" i="2"/>
  <c r="K3" i="2"/>
  <c r="J3" i="2"/>
  <c r="I3" i="2"/>
  <c r="H3" i="2"/>
  <c r="G3" i="2"/>
  <c r="F3" i="2"/>
  <c r="E3" i="2"/>
  <c r="D3" i="2"/>
  <c r="C3" i="2"/>
  <c r="K65" i="1"/>
  <c r="I65" i="1"/>
  <c r="G65" i="1"/>
  <c r="L65" i="1" s="1"/>
  <c r="E65" i="1"/>
  <c r="O65" i="1" s="1"/>
  <c r="C65" i="1"/>
  <c r="K64" i="1"/>
  <c r="I64" i="1"/>
  <c r="G64" i="1"/>
  <c r="L64" i="1" s="1"/>
  <c r="E64" i="1"/>
  <c r="O64" i="1" s="1"/>
  <c r="C64" i="1"/>
  <c r="O63" i="1"/>
  <c r="L63" i="1"/>
  <c r="K63" i="1"/>
  <c r="I63" i="1"/>
  <c r="G63" i="1"/>
  <c r="E63" i="1"/>
  <c r="C63" i="1"/>
  <c r="K62" i="1"/>
  <c r="I62" i="1"/>
  <c r="G62" i="1"/>
  <c r="L62" i="1" s="1"/>
  <c r="E62" i="1"/>
  <c r="O62" i="1" s="1"/>
  <c r="C62" i="1"/>
  <c r="O61" i="1"/>
  <c r="L61" i="1"/>
  <c r="K61" i="1"/>
  <c r="I61" i="1"/>
  <c r="G61" i="1"/>
  <c r="E61" i="1"/>
  <c r="C61" i="1"/>
  <c r="K60" i="1"/>
  <c r="I60" i="1"/>
  <c r="G60" i="1"/>
  <c r="L60" i="1" s="1"/>
  <c r="E60" i="1"/>
  <c r="O60" i="1" s="1"/>
  <c r="C60" i="1"/>
  <c r="O59" i="1"/>
  <c r="L59" i="1"/>
  <c r="K59" i="1"/>
  <c r="I59" i="1"/>
  <c r="G59" i="1"/>
  <c r="E59" i="1"/>
  <c r="C59" i="1"/>
  <c r="O58" i="1"/>
  <c r="K58" i="1"/>
  <c r="I58" i="1"/>
  <c r="G58" i="1"/>
  <c r="L58" i="1" s="1"/>
  <c r="E58" i="1"/>
  <c r="C58" i="1"/>
  <c r="K57" i="1"/>
  <c r="I57" i="1"/>
  <c r="G57" i="1"/>
  <c r="L57" i="1" s="1"/>
  <c r="E57" i="1"/>
  <c r="O57" i="1" s="1"/>
  <c r="C57" i="1"/>
  <c r="O56" i="1"/>
  <c r="L56" i="1"/>
  <c r="K56" i="1"/>
  <c r="I56" i="1"/>
  <c r="G56" i="1"/>
  <c r="E56" i="1"/>
  <c r="C56" i="1"/>
  <c r="K55" i="1"/>
  <c r="I55" i="1"/>
  <c r="G55" i="1"/>
  <c r="L55" i="1" s="1"/>
  <c r="E55" i="1"/>
  <c r="O55" i="1" s="1"/>
  <c r="C55" i="1"/>
  <c r="O54" i="1"/>
  <c r="L54" i="1"/>
  <c r="K54" i="1"/>
  <c r="I54" i="1"/>
  <c r="G54" i="1"/>
  <c r="E54" i="1"/>
  <c r="C54" i="1"/>
  <c r="K53" i="1"/>
  <c r="I53" i="1"/>
  <c r="G53" i="1"/>
  <c r="L53" i="1" s="1"/>
  <c r="E53" i="1"/>
  <c r="O53" i="1" s="1"/>
  <c r="C53" i="1"/>
  <c r="O52" i="1"/>
  <c r="K52" i="1"/>
  <c r="I52" i="1"/>
  <c r="G52" i="1"/>
  <c r="L52" i="1" s="1"/>
  <c r="E52" i="1"/>
  <c r="C52" i="1"/>
  <c r="O51" i="1"/>
  <c r="L51" i="1"/>
  <c r="K51" i="1"/>
  <c r="I51" i="1"/>
  <c r="G51" i="1"/>
  <c r="E51" i="1"/>
  <c r="C51" i="1"/>
  <c r="K50" i="1"/>
  <c r="I50" i="1"/>
  <c r="G50" i="1"/>
  <c r="L50" i="1" s="1"/>
  <c r="E50" i="1"/>
  <c r="O50" i="1" s="1"/>
  <c r="C50" i="1"/>
  <c r="O49" i="1"/>
  <c r="K49" i="1"/>
  <c r="I49" i="1"/>
  <c r="L49" i="1" s="1"/>
  <c r="G49" i="1"/>
  <c r="E49" i="1"/>
  <c r="C49" i="1"/>
  <c r="K48" i="1"/>
  <c r="I48" i="1"/>
  <c r="G48" i="1"/>
  <c r="L48" i="1" s="1"/>
  <c r="E48" i="1"/>
  <c r="O48" i="1" s="1"/>
  <c r="C48" i="1"/>
  <c r="O47" i="1"/>
  <c r="L47" i="1"/>
  <c r="K47" i="1"/>
  <c r="I47" i="1"/>
  <c r="G47" i="1"/>
  <c r="E47" i="1"/>
  <c r="C47" i="1"/>
  <c r="O46" i="1"/>
  <c r="K46" i="1"/>
  <c r="I46" i="1"/>
  <c r="L46" i="1" s="1"/>
  <c r="G46" i="1"/>
  <c r="E46" i="1"/>
  <c r="C46" i="1"/>
  <c r="K45" i="1"/>
  <c r="I45" i="1"/>
  <c r="G45" i="1"/>
  <c r="L45" i="1" s="1"/>
  <c r="E45" i="1"/>
  <c r="O45" i="1" s="1"/>
  <c r="C45" i="1"/>
  <c r="O44" i="1"/>
  <c r="L44" i="1"/>
  <c r="K44" i="1"/>
  <c r="I44" i="1"/>
  <c r="G44" i="1"/>
  <c r="E44" i="1"/>
  <c r="C44" i="1"/>
  <c r="K43" i="1"/>
  <c r="I43" i="1"/>
  <c r="G43" i="1"/>
  <c r="L43" i="1" s="1"/>
  <c r="E43" i="1"/>
  <c r="O43" i="1" s="1"/>
  <c r="C43" i="1"/>
  <c r="O42" i="1"/>
  <c r="L42" i="1"/>
  <c r="K42" i="1"/>
  <c r="I42" i="1"/>
  <c r="G42" i="1"/>
  <c r="E42" i="1"/>
  <c r="C42" i="1"/>
  <c r="K41" i="1"/>
  <c r="I41" i="1"/>
  <c r="G41" i="1"/>
  <c r="L41" i="1" s="1"/>
  <c r="E41" i="1"/>
  <c r="O41" i="1" s="1"/>
  <c r="C41" i="1"/>
  <c r="O40" i="1"/>
  <c r="K40" i="1"/>
  <c r="I40" i="1"/>
  <c r="G40" i="1"/>
  <c r="L40" i="1" s="1"/>
  <c r="E40" i="1"/>
  <c r="C40" i="1"/>
  <c r="O39" i="1"/>
  <c r="L39" i="1"/>
  <c r="K39" i="1"/>
  <c r="I39" i="1"/>
  <c r="G39" i="1"/>
  <c r="E39" i="1"/>
  <c r="C39" i="1"/>
  <c r="K38" i="1"/>
  <c r="I38" i="1"/>
  <c r="G38" i="1"/>
  <c r="L38" i="1" s="1"/>
  <c r="E38" i="1"/>
  <c r="O38" i="1" s="1"/>
  <c r="C38" i="1"/>
  <c r="O37" i="1"/>
  <c r="L37" i="1"/>
  <c r="K37" i="1"/>
  <c r="I37" i="1"/>
  <c r="G37" i="1"/>
  <c r="E37" i="1"/>
  <c r="C37" i="1"/>
  <c r="K36" i="1"/>
  <c r="I36" i="1"/>
  <c r="G36" i="1"/>
  <c r="L36" i="1" s="1"/>
  <c r="E36" i="1"/>
  <c r="O36" i="1" s="1"/>
  <c r="C36" i="1"/>
  <c r="O35" i="1"/>
  <c r="L35" i="1"/>
  <c r="K35" i="1"/>
  <c r="I35" i="1"/>
  <c r="G35" i="1"/>
  <c r="E35" i="1"/>
  <c r="C35" i="1"/>
  <c r="O34" i="1"/>
  <c r="L34" i="1"/>
  <c r="K34" i="1"/>
  <c r="I34" i="1"/>
  <c r="G34" i="1"/>
  <c r="E34" i="1"/>
  <c r="C34" i="1"/>
  <c r="L33" i="1"/>
  <c r="K33" i="1"/>
  <c r="I33" i="1"/>
  <c r="G33" i="1"/>
  <c r="E33" i="1"/>
  <c r="O33" i="1" s="1"/>
  <c r="C33" i="1"/>
  <c r="O32" i="1"/>
  <c r="L32" i="1"/>
  <c r="K32" i="1"/>
  <c r="I32" i="1"/>
  <c r="G32" i="1"/>
  <c r="E32" i="1"/>
  <c r="C32" i="1"/>
  <c r="K31" i="1"/>
  <c r="I31" i="1"/>
  <c r="G31" i="1"/>
  <c r="L31" i="1" s="1"/>
  <c r="E31" i="1"/>
  <c r="O31" i="1" s="1"/>
  <c r="C31" i="1"/>
  <c r="O30" i="1"/>
  <c r="L30" i="1"/>
  <c r="K30" i="1"/>
  <c r="I30" i="1"/>
  <c r="G30" i="1"/>
  <c r="E30" i="1"/>
  <c r="C30" i="1"/>
  <c r="K29" i="1"/>
  <c r="I29" i="1"/>
  <c r="G29" i="1"/>
  <c r="L29" i="1" s="1"/>
  <c r="E29" i="1"/>
  <c r="O29" i="1" s="1"/>
  <c r="C29" i="1"/>
  <c r="O28" i="1"/>
  <c r="K28" i="1"/>
  <c r="I28" i="1"/>
  <c r="G28" i="1"/>
  <c r="L28" i="1" s="1"/>
  <c r="E28" i="1"/>
  <c r="C28" i="1"/>
  <c r="O27" i="1"/>
  <c r="L27" i="1"/>
  <c r="K27" i="1"/>
  <c r="I27" i="1"/>
  <c r="G27" i="1"/>
  <c r="E27" i="1"/>
  <c r="C27" i="1"/>
  <c r="K26" i="1"/>
  <c r="I26" i="1"/>
  <c r="G26" i="1"/>
  <c r="L26" i="1" s="1"/>
  <c r="E26" i="1"/>
  <c r="O26" i="1" s="1"/>
  <c r="C26" i="1"/>
  <c r="O25" i="1"/>
  <c r="L25" i="1"/>
  <c r="K25" i="1"/>
  <c r="I25" i="1"/>
  <c r="G25" i="1"/>
  <c r="E25" i="1"/>
  <c r="C25" i="1"/>
  <c r="K24" i="1"/>
  <c r="I24" i="1"/>
  <c r="G24" i="1"/>
  <c r="L24" i="1" s="1"/>
  <c r="E24" i="1"/>
  <c r="O24" i="1" s="1"/>
  <c r="C24" i="1"/>
  <c r="O23" i="1"/>
  <c r="L23" i="1"/>
  <c r="K23" i="1"/>
  <c r="I23" i="1"/>
  <c r="G23" i="1"/>
  <c r="E23" i="1"/>
  <c r="C23" i="1"/>
  <c r="O22" i="1"/>
  <c r="L22" i="1"/>
  <c r="K22" i="1"/>
  <c r="I22" i="1"/>
  <c r="G22" i="1"/>
  <c r="E22" i="1"/>
  <c r="C22" i="1"/>
  <c r="L21" i="1"/>
  <c r="K21" i="1"/>
  <c r="I21" i="1"/>
  <c r="G21" i="1"/>
  <c r="E21" i="1"/>
  <c r="O21" i="1" s="1"/>
  <c r="C21" i="1"/>
  <c r="O20" i="1"/>
  <c r="L20" i="1"/>
  <c r="K20" i="1"/>
  <c r="I20" i="1"/>
  <c r="G20" i="1"/>
  <c r="E20" i="1"/>
  <c r="C20" i="1"/>
  <c r="K19" i="1"/>
  <c r="I19" i="1"/>
  <c r="G19" i="1"/>
  <c r="L19" i="1" s="1"/>
  <c r="E19" i="1"/>
  <c r="O19" i="1" s="1"/>
  <c r="C19" i="1"/>
  <c r="O18" i="1"/>
  <c r="L18" i="1"/>
  <c r="K18" i="1"/>
  <c r="I18" i="1"/>
  <c r="G18" i="1"/>
  <c r="E18" i="1"/>
  <c r="C18" i="1"/>
  <c r="K17" i="1"/>
  <c r="I17" i="1"/>
  <c r="G17" i="1"/>
  <c r="L17" i="1" s="1"/>
  <c r="E17" i="1"/>
  <c r="O17" i="1" s="1"/>
  <c r="C17" i="1"/>
  <c r="O16" i="1"/>
  <c r="K16" i="1"/>
  <c r="I16" i="1"/>
  <c r="G16" i="1"/>
  <c r="L16" i="1" s="1"/>
  <c r="E16" i="1"/>
  <c r="C16" i="1"/>
  <c r="O15" i="1"/>
  <c r="L15" i="1"/>
  <c r="K15" i="1"/>
  <c r="I15" i="1"/>
  <c r="G15" i="1"/>
  <c r="E15" i="1"/>
  <c r="C15" i="1"/>
  <c r="K14" i="1"/>
  <c r="I14" i="1"/>
  <c r="G14" i="1"/>
  <c r="L14" i="1" s="1"/>
  <c r="E14" i="1"/>
  <c r="O14" i="1" s="1"/>
  <c r="C14" i="1"/>
  <c r="O13" i="1"/>
  <c r="L13" i="1"/>
  <c r="K13" i="1"/>
  <c r="I13" i="1"/>
  <c r="G13" i="1"/>
  <c r="E13" i="1"/>
  <c r="C13" i="1"/>
  <c r="K12" i="1"/>
  <c r="I12" i="1"/>
  <c r="G12" i="1"/>
  <c r="L12" i="1" s="1"/>
  <c r="E12" i="1"/>
  <c r="O12" i="1" s="1"/>
  <c r="C12" i="1"/>
  <c r="O11" i="1"/>
  <c r="L11" i="1"/>
  <c r="K11" i="1"/>
  <c r="I11" i="1"/>
  <c r="G11" i="1"/>
  <c r="E11" i="1"/>
  <c r="C11" i="1"/>
  <c r="O10" i="1"/>
  <c r="L10" i="1"/>
  <c r="K10" i="1"/>
  <c r="I10" i="1"/>
  <c r="G10" i="1"/>
  <c r="E10" i="1"/>
  <c r="C10" i="1"/>
  <c r="L9" i="1"/>
  <c r="K9" i="1"/>
  <c r="I9" i="1"/>
  <c r="G9" i="1"/>
  <c r="E9" i="1"/>
  <c r="O9" i="1" s="1"/>
  <c r="C9" i="1"/>
  <c r="O8" i="1"/>
  <c r="L8" i="1"/>
  <c r="K8" i="1"/>
  <c r="I8" i="1"/>
  <c r="G8" i="1"/>
  <c r="E8" i="1"/>
  <c r="C8" i="1"/>
  <c r="K7" i="1"/>
  <c r="I7" i="1"/>
  <c r="G7" i="1"/>
  <c r="L7" i="1" s="1"/>
  <c r="E7" i="1"/>
  <c r="O7" i="1" s="1"/>
  <c r="C7" i="1"/>
  <c r="O6" i="1"/>
  <c r="L6" i="1"/>
  <c r="K6" i="1"/>
  <c r="I6" i="1"/>
  <c r="G6" i="1"/>
  <c r="E6" i="1"/>
  <c r="C6" i="1"/>
  <c r="K5" i="1"/>
  <c r="I5" i="1"/>
  <c r="G5" i="1"/>
  <c r="L5" i="1" s="1"/>
  <c r="E5" i="1"/>
  <c r="O5" i="1" s="1"/>
  <c r="C5" i="1"/>
  <c r="O4" i="1"/>
  <c r="K4" i="1"/>
  <c r="I4" i="1"/>
  <c r="G4" i="1"/>
  <c r="L4" i="1" s="1"/>
  <c r="E4" i="1"/>
  <c r="C4" i="1"/>
  <c r="O3" i="1"/>
  <c r="L3" i="1"/>
  <c r="K3" i="1"/>
  <c r="I3" i="1"/>
  <c r="G3" i="1"/>
  <c r="E3" i="1"/>
  <c r="C3" i="1"/>
  <c r="K2" i="1"/>
  <c r="I2" i="1"/>
  <c r="G2" i="1"/>
  <c r="L2" i="1" s="1"/>
  <c r="E2" i="1"/>
  <c r="O2" i="1" s="1"/>
  <c r="C2" i="1"/>
</calcChain>
</file>

<file path=xl/sharedStrings.xml><?xml version="1.0" encoding="utf-8"?>
<sst xmlns="http://schemas.openxmlformats.org/spreadsheetml/2006/main" count="431" uniqueCount="163">
  <si>
    <t>mov_key</t>
  </si>
  <si>
    <t>fecha</t>
  </si>
  <si>
    <t>fecha_key</t>
  </si>
  <si>
    <t>tipo_codigo</t>
  </si>
  <si>
    <t>tipo_key</t>
  </si>
  <si>
    <t>id_prestamo</t>
  </si>
  <si>
    <t>prestamo_key</t>
  </si>
  <si>
    <t>id_inversion</t>
  </si>
  <si>
    <t>inversion_key</t>
  </si>
  <si>
    <t>categoria</t>
  </si>
  <si>
    <t>categoria_key</t>
  </si>
  <si>
    <t>persona_key</t>
  </si>
  <si>
    <t>monto</t>
  </si>
  <si>
    <t>confirmado</t>
  </si>
  <si>
    <t>flujo_caja</t>
  </si>
  <si>
    <t>nota</t>
  </si>
  <si>
    <t>DESEMBOLSO</t>
  </si>
  <si>
    <t>PR-01</t>
  </si>
  <si>
    <t>SI</t>
  </si>
  <si>
    <t>ABONO_CAPITAL</t>
  </si>
  <si>
    <t>INTERES_COBRADO</t>
  </si>
  <si>
    <t>PR-02</t>
  </si>
  <si>
    <t>Desembolso adicional</t>
  </si>
  <si>
    <t>PR-03</t>
  </si>
  <si>
    <t>PR-04</t>
  </si>
  <si>
    <t>INTERES_PENDIENTE</t>
  </si>
  <si>
    <t>Interes atrasado</t>
  </si>
  <si>
    <t>PR-05</t>
  </si>
  <si>
    <t>PR-06</t>
  </si>
  <si>
    <t>PR-07</t>
  </si>
  <si>
    <t>PR-08</t>
  </si>
  <si>
    <t>PR-09</t>
  </si>
  <si>
    <t>PR-10</t>
  </si>
  <si>
    <t>Cancela el prestamo</t>
  </si>
  <si>
    <t>PR-11</t>
  </si>
  <si>
    <t>PR-12</t>
  </si>
  <si>
    <t>PR-13</t>
  </si>
  <si>
    <t>PR-14</t>
  </si>
  <si>
    <t>PR-15</t>
  </si>
  <si>
    <t>PR-16</t>
  </si>
  <si>
    <t>SALDO_INICIAL</t>
  </si>
  <si>
    <t>PR-17</t>
  </si>
  <si>
    <t>Saldo de apertura 2026 (viene de 2025)</t>
  </si>
  <si>
    <t>PR-18</t>
  </si>
  <si>
    <t>Saldo de apertura 2026 (viene de 2024)</t>
  </si>
  <si>
    <t>NO</t>
  </si>
  <si>
    <t>Pago pendiente de confirmar - NO entra a caja</t>
  </si>
  <si>
    <t>PR-19</t>
  </si>
  <si>
    <t>Saldo de apertura 2026</t>
  </si>
  <si>
    <t>APORTE_INVERSION</t>
  </si>
  <si>
    <t>IV-01</t>
  </si>
  <si>
    <t>DEVOLUCION_INVERSION</t>
  </si>
  <si>
    <t>INTERES_PAGADO_INV</t>
  </si>
  <si>
    <t>L3,000 al 1.25% + L7,000 al 0.50%</t>
  </si>
  <si>
    <t>IV-02</t>
  </si>
  <si>
    <t>INTERES_PEND_INV</t>
  </si>
  <si>
    <t>L4,000 al 1.5% + L2,000 al 1.2% + L1,000 al 0.5%</t>
  </si>
  <si>
    <t>IV-03</t>
  </si>
  <si>
    <t>L12,000 al 1.25%</t>
  </si>
  <si>
    <t>IV-04</t>
  </si>
  <si>
    <t>Aporte adicional</t>
  </si>
  <si>
    <t>L3,000 al 2.5%</t>
  </si>
  <si>
    <t>Fecha no registrada en el Excel original</t>
  </si>
  <si>
    <t>INTERES_BANCARIO</t>
  </si>
  <si>
    <t>Interes bancario</t>
  </si>
  <si>
    <t>Diciembre 2025 - hoja INT.BANC</t>
  </si>
  <si>
    <t>Enero - hoja INT.BANC</t>
  </si>
  <si>
    <t>Febrero - hoja INT.BANC</t>
  </si>
  <si>
    <t>Marzo - hoja INT.BANC</t>
  </si>
  <si>
    <t>GASTO_OPERATIVO</t>
  </si>
  <si>
    <t>Gastos de colocacion</t>
  </si>
  <si>
    <t>Registro manual en LIBRETA, sin fecha</t>
  </si>
  <si>
    <t>OTRO_EGRESO</t>
  </si>
  <si>
    <t>Tramite permiso de operacion</t>
  </si>
  <si>
    <t>PERDIDA_CARTERA</t>
  </si>
  <si>
    <t>Pasado a perdidas</t>
  </si>
  <si>
    <t>id_natural</t>
  </si>
  <si>
    <t>id_persona_nat</t>
  </si>
  <si>
    <t>nombre_inversionista</t>
  </si>
  <si>
    <t>fecha_aporte</t>
  </si>
  <si>
    <t>monto_inicial</t>
  </si>
  <si>
    <t>tasa_mensual</t>
  </si>
  <si>
    <t>estado</t>
  </si>
  <si>
    <t>cuenta_acreditar</t>
  </si>
  <si>
    <t>saldo_actual</t>
  </si>
  <si>
    <t>int_pagado</t>
  </si>
  <si>
    <t>int_pendiente</t>
  </si>
  <si>
    <t>(No aplica)</t>
  </si>
  <si>
    <t>-</t>
  </si>
  <si>
    <t>IV-05</t>
  </si>
  <si>
    <t>IV-06</t>
  </si>
  <si>
    <t>IV-07</t>
  </si>
  <si>
    <t>IV-08</t>
  </si>
  <si>
    <t>nombre_prestatario</t>
  </si>
  <si>
    <t>fecha_desembolso</t>
  </si>
  <si>
    <t>monto_original</t>
  </si>
  <si>
    <t>origen_hoja</t>
  </si>
  <si>
    <t>saldo_capital</t>
  </si>
  <si>
    <t>capital_recuperado</t>
  </si>
  <si>
    <t>int_cobrado</t>
  </si>
  <si>
    <t>nombre</t>
  </si>
  <si>
    <t>identidad</t>
  </si>
  <si>
    <t>tipo</t>
  </si>
  <si>
    <t>contacto_cuenta</t>
  </si>
  <si>
    <t>notas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</si>
  <si>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</si>
  <si>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</si>
  <si>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</si>
  <si>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</si>
  <si>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</si>
  <si>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</si>
  <si>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</si>
  <si>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</si>
  <si>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</si>
  <si>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</si>
  <si>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</si>
  <si>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</si>
  <si>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</si>
  <si>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</si>
  <si>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</si>
  <si>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</si>
  <si>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</si>
  <si>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</si>
  <si>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</si>
  <si>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</si>
  <si>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</si>
  <si>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</si>
  <si>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</si>
  <si>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</si>
  <si>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</si>
  <si>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</si>
  <si>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</si>
  <si>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grupo</t>
  </si>
  <si>
    <t>N/A</t>
  </si>
  <si>
    <t>INGRESO FINANCIERO</t>
  </si>
  <si>
    <t>GASTO OPERATIVO</t>
  </si>
  <si>
    <t>GASTO ADMINISTRATIVO</t>
  </si>
  <si>
    <t>PERDIDA DE CARTERA</t>
  </si>
  <si>
    <t>descripcion</t>
  </si>
  <si>
    <t>signo_caja</t>
  </si>
  <si>
    <t>afecta</t>
  </si>
  <si>
    <t>clase_contable</t>
  </si>
  <si>
    <t>es_devengado</t>
  </si>
  <si>
    <t>en_er_excel</t>
  </si>
  <si>
    <t>Saldo de apertura del periodo</t>
  </si>
  <si>
    <t>CAPITAL</t>
  </si>
  <si>
    <t>BALANCE</t>
  </si>
  <si>
    <t>Prestamo entregado al prestatario</t>
  </si>
  <si>
    <t>Pago de capital del prestatario</t>
  </si>
  <si>
    <t>Interes cobrado en efectivo</t>
  </si>
  <si>
    <t>INTERES</t>
  </si>
  <si>
    <t>INGRESO</t>
  </si>
  <si>
    <t>Interes devengado no cobrado (mora)</t>
  </si>
  <si>
    <t>Capital recibido del inversionista</t>
  </si>
  <si>
    <t>Capital devuelto al inversionista</t>
  </si>
  <si>
    <t>Interes pagado al inversionista</t>
  </si>
  <si>
    <t>GASTO</t>
  </si>
  <si>
    <t>Interes devengado por pagar al inversionista</t>
  </si>
  <si>
    <t>Interes ganado en cuenta bancaria</t>
  </si>
  <si>
    <t>OTROS</t>
  </si>
  <si>
    <t>Gasto de colocacion / operativo</t>
  </si>
  <si>
    <t>Otros egresos y retiros</t>
  </si>
  <si>
    <t>Cartera pasada a 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</si>
</sst>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2" borderId="0" xfId="0" applyFont="1" applyFill="1"/>
    <xf numFmtId="4" fontId="0" fillId="2" borderId="0" xfId="0" applyNumberFormat="1" applyFill="1"/>
    <xf numFmtId="10" fontId="0" fillId="0" borderId="0" xfId="0" applyNumberFormat="1"/>
  </cellXfs>
  <cellStyles count="1">
    <cellStyle name="Normal" xfId="0" builtinId="0"/>
  </cellStyles>
  <dxfs count="33"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4" formatCode="#,##0.00"/>
      <fill>
        <patternFill patternType="solid">
          <fgColor indexed="64"/>
          <bgColor rgb="FFEDEDE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165" formatCode="#,##0.00;\(#,##0.00\)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font>
        <b/>
      </font>
    </dxf>
  </dxfs>
  <tableStyles count="1" defaultTableStyle="TableStyleMedium2" defaultPivotStyle="PivotStyleLight16">
    <tableStyle name="Invisible" pivot="0" table="0" count="0" xr9:uid="{8E1CA079-FAA5-409A-8CE3-8DF9794314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oSoler\Downloads\CREDO-2026.xlsx" TargetMode="External"/><Relationship Id="rId1" Type="http://schemas.openxmlformats.org/officeDocument/2006/relationships/externalLinkPath" Target="file:///C:\Users\MarioSoler\Downloads\CRED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TM"/>
      <sheetName val="INVERS"/>
      <sheetName val="INT.BANC"/>
      <sheetName val="REC. CONGELAD"/>
      <sheetName val="Ctrl Int Atrasados"/>
      <sheetName val="INVERS2"/>
      <sheetName val="REC. INCOBRABLES"/>
      <sheetName val="LIBRETA"/>
      <sheetName val="BG"/>
      <sheetName val="ER"/>
      <sheetName val="Sheet1"/>
      <sheetName val="DB_PERSONAS"/>
      <sheetName val="DB_PRESTAMOS"/>
      <sheetName val="DB_INVERSIONES"/>
      <sheetName val="DB_MOVIMIENTOS"/>
      <sheetName val="DB_GASTOS_ING"/>
      <sheetName val="DB_CIERRES"/>
      <sheetName val="DIM_FECHA"/>
      <sheetName val="DIM_TIPO_MOV"/>
      <sheetName val="DIM_CATEGORIA"/>
      <sheetName val="DIM_PERSONA"/>
      <sheetName val="DIM_PRESTAMO"/>
      <sheetName val="DIM_INVERSION"/>
      <sheetName val="FACT_MOVIMIENTOS"/>
      <sheetName val="CUADRE_ESTRELL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C0454-8C7A-46A9-A9CF-F1641A0E3380}" name="FACT_MOV" displayName="FACT_MOV" ref="A1:P65" totalsRowShown="0" headerRowDxfId="32">
  <autoFilter ref="A1:P65" xr:uid="{D80C0454-8C7A-46A9-A9CF-F1641A0E3380}"/>
  <tableColumns count="16">
    <tableColumn id="1" xr3:uid="{D2ED5D74-2E87-4853-BC79-08BB7DF85853}" name="mov_key"/>
    <tableColumn id="2" xr3:uid="{3EE47AA3-4D13-4C6F-9069-E5C98DBCF66E}" name="fecha" dataDxfId="31"/>
    <tableColumn id="3" xr3:uid="{2FF24532-B748-418F-A7B4-78AE41D89AFD}" name="fecha_key" dataDxfId="30">
      <calculatedColumnFormula>IFERROR(INDEX([1]!DIM_FECHA_T[fecha_key],MATCH($B2,[1]!DIM_FECHA_T[fecha],0)),0)</calculatedColumnFormula>
    </tableColumn>
    <tableColumn id="4" xr3:uid="{5D1E13B8-84B7-4EE9-B187-900A459752D9}" name="tipo_codigo"/>
    <tableColumn id="5" xr3:uid="{2BC89F75-9D66-41C3-B068-633C557F4E74}" name="tipo_key" dataDxfId="29">
      <calculatedColumnFormula>INDEX([1]!DIM_TIPO[tipo_key],MATCH($D2,[1]!DIM_TIPO[tipo_codigo],0))</calculatedColumnFormula>
    </tableColumn>
    <tableColumn id="6" xr3:uid="{47B2E8AF-7CCD-4A33-885A-D7D4B0A7A395}" name="id_prestamo"/>
    <tableColumn id="7" xr3:uid="{1B125E54-D9D9-4A57-AFA9-FBD2AB47480B}" name="prestamo_key" dataDxfId="28">
      <calculatedColumnFormula>IFERROR(INDEX([1]!DIM_PREST[prestamo_key],MATCH($F2,[1]!DIM_PREST[id_natural],0)),0)</calculatedColumnFormula>
    </tableColumn>
    <tableColumn id="8" xr3:uid="{2C5FBC18-1691-4780-8B13-336EDEE5E666}" name="id_inversion"/>
    <tableColumn id="9" xr3:uid="{8A562C25-AD0B-4C71-B4CE-1CD9A60DD9FE}" name="inversion_key" dataDxfId="27">
      <calculatedColumnFormula>IFERROR(INDEX([1]!DIM_INV[inversion_key],MATCH($H2,[1]!DIM_INV[id_natural],0)),0)</calculatedColumnFormula>
    </tableColumn>
    <tableColumn id="10" xr3:uid="{4170857D-25B4-4E54-986B-8E36ACCFC10C}" name="categoria"/>
    <tableColumn id="11" xr3:uid="{48733EDE-2F67-4CB3-9471-87D44882FA01}" name="categoria_key" dataDxfId="26">
      <calculatedColumnFormula>IFERROR(INDEX([1]!DIM_CAT[categoria_key],MATCH($J2,[1]!DIM_CAT[categoria],0)),0)</calculatedColumnFormula>
    </tableColumn>
    <tableColumn id="12" xr3:uid="{3E6F3B00-4B76-42FE-84E5-30A097B14413}" name="persona_key" dataDxfId="25">
      <calculatedColumnFormula>IF($G2&gt;0,INDEX([1]!DIM_PREST[persona_key],MATCH($G2,[1]!DIM_PREST[prestamo_key],0)),IF($I2&gt;0,INDEX([1]!DIM_INV[persona_key],MATCH($I2,[1]!DIM_INV[inversion_key],0)),0))</calculatedColumnFormula>
    </tableColumn>
    <tableColumn id="13" xr3:uid="{88B3396F-840B-488E-966A-89EC75C41252}" name="monto" dataDxfId="24"/>
    <tableColumn id="14" xr3:uid="{E1DDC298-66F6-4EE0-A79E-828E3E0D7198}" name="confirmado"/>
    <tableColumn id="15" xr3:uid="{DBE3267D-C732-414C-9FB9-C7CD6170C833}" name="flujo_caja" dataDxfId="23">
      <calculatedColumnFormula>$M2*INDEX([1]!DIM_TIPO[signo_caja],MATCH($E2,[1]!DIM_TIPO[tipo_key],0))*IF($N2="SI",1,0)</calculatedColumnFormula>
    </tableColumn>
    <tableColumn id="16" xr3:uid="{5674B917-E4F3-4480-8CA1-96427762F9D4}" name="not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60027D-3393-42DA-A772-ECE8896E9ED7}" name="DIM_INV" displayName="DIM_INV" ref="A1:M10" totalsRowShown="0" headerRowDxfId="22">
  <autoFilter ref="A1:M10" xr:uid="{CA60027D-3393-42DA-A772-ECE8896E9ED7}"/>
  <tableColumns count="13">
    <tableColumn id="1" xr3:uid="{BE2098AC-78DF-428E-B73B-7CD9300BFA6A}" name="inversion_key"/>
    <tableColumn id="2" xr3:uid="{8D68A209-DFEC-45CE-9C8C-DD8299501EFB}" name="id_natural"/>
    <tableColumn id="3" xr3:uid="{ECDA58CC-D7BA-4070-A308-BB1245F78124}" name="id_persona_nat"/>
    <tableColumn id="4" xr3:uid="{02CC01A6-EBE0-4675-B587-93A1111169D9}" name="persona_key"/>
    <tableColumn id="5" xr3:uid="{ABE0B739-3B3B-4D9A-B112-03CF894F6ABB}" name="nombre_inversionista"/>
    <tableColumn id="6" xr3:uid="{8B40B24C-C42E-47A4-A7EB-54D374C2F6F1}" name="fecha_aporte" dataDxfId="21">
      <calculatedColumnFormula>INDEX([1]!tblInversiones[fecha_aporte],MATCH($B2,[1]!tblInversiones[id_inversion],0))</calculatedColumnFormula>
    </tableColumn>
    <tableColumn id="7" xr3:uid="{CDBEFCFD-5195-431B-BDEE-91D28D64D077}" name="monto_inicial" dataDxfId="20">
      <calculatedColumnFormula>INDEX([1]!tblInversiones[monto_inicial],MATCH($B2,[1]!tblInversiones[id_inversion],0))</calculatedColumnFormula>
    </tableColumn>
    <tableColumn id="8" xr3:uid="{9A40B4C2-7F4D-4852-A3E4-1487CA4F1113}" name="tasa_mensual" dataDxfId="19">
      <calculatedColumnFormula>INDEX([1]!tblInversiones[tasa_mensual],MATCH($B2,[1]!tblInversiones[id_inversion],0))</calculatedColumnFormula>
    </tableColumn>
    <tableColumn id="9" xr3:uid="{A0A7C32A-7106-4B06-A2C5-1FFBCADB92D8}" name="estado"/>
    <tableColumn id="10" xr3:uid="{BA306F73-34F1-4E19-9DD8-43112A06C5AD}" name="cuenta_acreditar"/>
    <tableColumn id="11" xr3:uid="{A153BE59-EC5E-4DCD-9600-C31EC72DAA75}" name="saldo_actual" dataDxfId="18">
      <calculatedColumnFormula>SUMIFS([1]!FACT_MOV[monto],[1]!FACT_MOV[inversion_key],$A2,[1]!FACT_MOV[tipo_codigo],"APORTE_INVERSION")-SUMIFS([1]!FACT_MOV[monto],[1]!FACT_MOV[inversion_key],$A2,[1]!FACT_MOV[tipo_codigo],"DEVOLUCION_INVERSION")</calculatedColumnFormula>
    </tableColumn>
    <tableColumn id="12" xr3:uid="{947F7087-8255-4539-882F-7E5170DC2FE6}" name="int_pagado" dataDxfId="17">
      <calculatedColumnFormula>SUMIFS([1]!FACT_MOV[monto],[1]!FACT_MOV[inversion_key],$A2,[1]!FACT_MOV[tipo_codigo],"INTERES_PAGADO_INV")</calculatedColumnFormula>
    </tableColumn>
    <tableColumn id="13" xr3:uid="{6135A58D-6188-4B80-A518-458E1B05F215}" name="int_pendiente" dataDxfId="16">
      <calculatedColumnFormula>SUMIFS([1]!FACT_MOV[monto],[1]!FACT_MOV[inversion_key],$A2,[1]!FACT_MOV[tipo_codigo],"INTERES_PEND_INV")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C172F4-1B73-469B-A978-FCBE207FADE1}" name="DIM_PREST" displayName="DIM_PREST" ref="A1:N21" totalsRowShown="0" headerRowDxfId="15">
  <autoFilter ref="A1:N21" xr:uid="{11C172F4-1B73-469B-A978-FCBE207FADE1}"/>
  <tableColumns count="14">
    <tableColumn id="1" xr3:uid="{3022D581-93BE-4EC2-9369-372F96683E83}" name="prestamo_key"/>
    <tableColumn id="2" xr3:uid="{B561CD67-C57A-4B33-8C01-CF9C8AB21E32}" name="id_natural"/>
    <tableColumn id="3" xr3:uid="{9FA64D89-8608-42B3-9303-1E4D49EE813F}" name="id_persona_nat"/>
    <tableColumn id="4" xr3:uid="{469AC8AA-0889-4799-A240-4698F4E3BFDF}" name="persona_key"/>
    <tableColumn id="5" xr3:uid="{5C57A06E-5BCF-42F8-9BF8-28E282F59931}" name="nombre_prestatario"/>
    <tableColumn id="6" xr3:uid="{35D3ED39-E6ED-4AF5-901E-9F844EDAB203}" name="fecha_desembolso" dataDxfId="14">
      <calculatedColumnFormula>INDEX([1]!tblPrestamos[fecha_desembolso],MATCH($B2,[1]!tblPrestamos[id_prestamo],0))</calculatedColumnFormula>
    </tableColumn>
    <tableColumn id="7" xr3:uid="{0C0FC5BF-7E16-498F-8CF5-E07946455BB7}" name="monto_original" dataDxfId="13">
      <calculatedColumnFormula>INDEX([1]!tblPrestamos[monto_original],MATCH($B2,[1]!tblPrestamos[id_prestamo],0))</calculatedColumnFormula>
    </tableColumn>
    <tableColumn id="8" xr3:uid="{1A6802E7-9200-4780-8208-ADB9DC47ADC1}" name="tasa_mensual" dataDxfId="12">
      <calculatedColumnFormula>INDEX([1]!tblPrestamos[tasa_mensual],MATCH($B2,[1]!tblPrestamos[id_prestamo],0))</calculatedColumnFormula>
    </tableColumn>
    <tableColumn id="9" xr3:uid="{1CBC0A2F-6C68-4CBD-AF4B-CC79420ADC7A}" name="estado"/>
    <tableColumn id="10" xr3:uid="{0AEF6832-0174-4DDC-9881-C0E9B1707339}" name="origen_hoja"/>
    <tableColumn id="11" xr3:uid="{06BA6170-7322-4AC3-9023-BA6AFFF26DF6}" name="saldo_capital" dataDxfId="11">
      <calculatedColumnFormula>SUMIFS([1]!FACT_MOV[monto],[1]!FACT_MOV[prestamo_key],$A2,[1]!FACT_MOV[tipo_codigo],"SALDO_INICIAL")+SUMIFS([1]!FACT_MOV[monto],[1]!FACT_MOV[prestamo_key],$A2,[1]!FACT_MOV[tipo_codigo],"DESEMBOLSO")-SUMIFS([1]!FACT_MOV[monto],[1]!FACT_MOV[prestamo_key],$A2,[1]!FACT_MOV[tipo_codigo],"ABONO_CAPITAL")</calculatedColumnFormula>
    </tableColumn>
    <tableColumn id="12" xr3:uid="{A714862E-2FF5-4467-B7B9-7DA8ECD64890}" name="capital_recuperado" dataDxfId="10">
      <calculatedColumnFormula>SUMIFS([1]!FACT_MOV[monto],[1]!FACT_MOV[prestamo_key],$A2,[1]!FACT_MOV[tipo_codigo],"ABONO_CAPITAL")</calculatedColumnFormula>
    </tableColumn>
    <tableColumn id="13" xr3:uid="{86F3C10A-72F7-4A96-9B21-0AAAC253E55A}" name="int_cobrado" dataDxfId="9">
      <calculatedColumnFormula>SUMIFS([1]!FACT_MOV[monto],[1]!FACT_MOV[prestamo_key],$A2,[1]!FACT_MOV[tipo_codigo],"INTERES_COBRADO")</calculatedColumnFormula>
    </tableColumn>
    <tableColumn id="14" xr3:uid="{44FA750B-1D46-49C4-B6A8-135C411B2FD4}" name="int_pendiente" dataDxfId="8">
      <calculatedColumnFormula>SUMIFS([1]!FACT_MOV[monto],[1]!FACT_MOV[prestamo_key],$A2,[1]!FACT_MOV[tipo_codigo],"INTERES_PENDIENTE")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94A1C5-7EAA-4F6A-810E-F5836565449B}" name="DIM_PERS" displayName="DIM_PERS" ref="A1:G28" totalsRowShown="0" headerRowDxfId="7">
  <autoFilter ref="A1:G28" xr:uid="{E894A1C5-7EAA-4F6A-810E-F5836565449B}"/>
  <tableColumns count="7">
    <tableColumn id="1" xr3:uid="{3BF1026A-4551-41A8-8DB8-2F8D8057E1B2}" name="persona_key"/>
    <tableColumn id="2" xr3:uid="{74D470CC-20F7-4A79-A0A3-710205B96478}" name="id_natural"/>
    <tableColumn id="3" xr3:uid="{46D6DA4A-D315-4A18-AF19-0B7B7B850D86}" name="nombre" dataDxfId="6">
      <calculatedColumnFormula>INDEX([1]!tblPersonas[nombre],MATCH($B2,[1]!tblPersonas[id_persona],0))</calculatedColumnFormula>
    </tableColumn>
    <tableColumn id="4" xr3:uid="{DFDDFEDD-2F3F-41D8-9158-5E610A040153}" name="identidad" dataDxfId="5">
      <calculatedColumnFormula>IF(INDEX([1]!tblPersonas[identidad],MATCH($B2,[1]!tblPersonas[id_persona],0))=0,"",INDEX([1]!tblPersonas[identidad],MATCH($B2,[1]!tblPersonas[id_persona],0)))</calculatedColumnFormula>
    </tableColumn>
    <tableColumn id="5" xr3:uid="{41908F14-8B2B-4C14-AAF2-05BAFF67C4EA}" name="tipo" dataDxfId="4">
      <calculatedColumnFormula>INDEX([1]!tblPersonas[tipo],MATCH($B2,[1]!tblPersonas[id_persona],0))</calculatedColumnFormula>
    </tableColumn>
    <tableColumn id="6" xr3:uid="{FDA4CC48-714B-47D6-A65F-71F41CF9F2AE}" name="contacto_cuenta" dataDxfId="3">
      <calculatedColumnFormula>IF(INDEX([1]!tblPersonas[contacto_cuenta],MATCH($B2,[1]!tblPersonas[id_persona],0))=0,"",INDEX([1]!tblPersonas[contacto_cuenta],MATCH($B2,[1]!tblPersonas[id_persona],0)))</calculatedColumnFormula>
    </tableColumn>
    <tableColumn id="7" xr3:uid="{1A2C4757-9F5B-4E54-BBE1-08EDF5BE00B4}" name="notas" dataDxfId="2">
      <calculatedColumnFormula>INDEX([1]!tblPersonas[notas],MATCH($B2,[1]!tblPersonas[id_persona],0))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60B9D2-8C81-4762-8053-EE39C360203D}" name="DIM_CAT" displayName="DIM_CAT" ref="A1:C6" totalsRowShown="0" headerRowDxfId="1">
  <autoFilter ref="A1:C6" xr:uid="{5960B9D2-8C81-4762-8053-EE39C360203D}"/>
  <tableColumns count="3">
    <tableColumn id="1" xr3:uid="{42BD7701-A029-4B19-9303-71B39AD89704}" name="categoria_key"/>
    <tableColumn id="2" xr3:uid="{0BB79656-E33B-496E-98C0-4C2BD7861ACE}" name="categoria"/>
    <tableColumn id="3" xr3:uid="{5DCB4A94-AB13-4DB4-B04E-75780A12FA39}" name="grupo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19C152-6F87-40FB-ADBC-1CFEEEF3AA34}" name="DIM_TIPO" displayName="DIM_TIPO" ref="A1:H14" totalsRowShown="0" headerRowDxfId="0">
  <autoFilter ref="A1:H14" xr:uid="{2B19C152-6F87-40FB-ADBC-1CFEEEF3AA34}"/>
  <tableColumns count="8">
    <tableColumn id="1" xr3:uid="{7C77CF75-875D-416C-B2EC-477430B3E602}" name="tipo_key"/>
    <tableColumn id="2" xr3:uid="{A67AEC71-4A35-4A4F-9D62-739E98D0E1BD}" name="tipo_codigo"/>
    <tableColumn id="3" xr3:uid="{2B6E9AF7-6B59-4871-9A2C-95C7C3832AAF}" name="descripcion"/>
    <tableColumn id="4" xr3:uid="{28CE95A5-298C-4254-867F-423175B42C8C}" name="signo_caja"/>
    <tableColumn id="5" xr3:uid="{387F31D6-B883-442E-ADD1-9D025DB00B0F}" name="afecta"/>
    <tableColumn id="6" xr3:uid="{616210EE-433D-4879-8662-C636D3E70718}" name="clase_contable"/>
    <tableColumn id="7" xr3:uid="{CFE7D21C-2A64-453F-9D97-DD7526465184}" name="es_devengado"/>
    <tableColumn id="8" xr3:uid="{F277B726-022E-4BE1-85C7-231EF3F5ED90}" name="en_er_exce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1255-7B83-4C5C-8E1F-60E7147A6275}">
  <dimension ref="A1:P65"/>
  <sheetViews>
    <sheetView workbookViewId="0">
      <selection activeCell="D16" sqref="D16"/>
    </sheetView>
  </sheetViews>
  <sheetFormatPr defaultRowHeight="15" x14ac:dyDescent="0.25"/>
  <cols>
    <col min="1" max="1" width="11.140625" bestFit="1" customWidth="1"/>
    <col min="2" max="2" width="10.42578125" bestFit="1" customWidth="1"/>
    <col min="3" max="3" width="12.28515625" bestFit="1" customWidth="1"/>
    <col min="4" max="4" width="23.5703125" bestFit="1" customWidth="1"/>
    <col min="5" max="5" width="10.85546875" bestFit="1" customWidth="1"/>
    <col min="6" max="6" width="14.42578125" bestFit="1" customWidth="1"/>
    <col min="7" max="7" width="16" bestFit="1" customWidth="1"/>
    <col min="8" max="8" width="14.28515625" bestFit="1" customWidth="1"/>
    <col min="9" max="9" width="15.85546875" bestFit="1" customWidth="1"/>
    <col min="10" max="10" width="28" bestFit="1" customWidth="1"/>
    <col min="11" max="11" width="15.7109375" bestFit="1" customWidth="1"/>
    <col min="12" max="12" width="14.5703125" bestFit="1" customWidth="1"/>
    <col min="14" max="14" width="13.5703125" bestFit="1" customWidth="1"/>
    <col min="15" max="15" width="11.85546875" bestFit="1" customWidth="1"/>
    <col min="16" max="16" width="42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s="2">
        <v>46023</v>
      </c>
      <c r="C2">
        <f>IFERROR(INDEX([1]!DIM_FECHA_T[fecha_key],MATCH($B2,[1]!DIM_FECHA_T[fecha],0)),0)</f>
        <v>32</v>
      </c>
      <c r="D2" t="s">
        <v>16</v>
      </c>
      <c r="E2">
        <f>INDEX([1]!DIM_TIPO[tipo_key],MATCH($D2,[1]!DIM_TIPO[tipo_codigo],0))</f>
        <v>2</v>
      </c>
      <c r="F2" t="s">
        <v>17</v>
      </c>
      <c r="G2">
        <f>IFERROR(INDEX([1]!DIM_PREST[prestamo_key],MATCH($F2,[1]!DIM_PREST[id_natural],0)),0)</f>
        <v>1</v>
      </c>
      <c r="I2">
        <f>IFERROR(INDEX([1]!DIM_INV[inversion_key],MATCH($H2,[1]!DIM_INV[id_natural],0)),0)</f>
        <v>0</v>
      </c>
      <c r="K2">
        <f>IFERROR(INDEX([1]!DIM_CAT[categoria_key],MATCH($J2,[1]!DIM_CAT[categoria],0)),0)</f>
        <v>0</v>
      </c>
      <c r="L2">
        <f>IF($G2&gt;0,INDEX([1]!DIM_PREST[persona_key],MATCH($G2,[1]!DIM_PREST[prestamo_key],0)),IF($I2&gt;0,INDEX([1]!DIM_INV[persona_key],MATCH($I2,[1]!DIM_INV[inversion_key],0)),0))</f>
        <v>1</v>
      </c>
      <c r="M2" s="3">
        <v>2000</v>
      </c>
      <c r="N2" t="s">
        <v>18</v>
      </c>
      <c r="O2" s="4">
        <f>$M2*INDEX([1]!DIM_TIPO[signo_caja],MATCH($E2,[1]!DIM_TIPO[tipo_key],0))*IF($N2="SI",1,0)</f>
        <v>-2000</v>
      </c>
    </row>
    <row r="3" spans="1:16" x14ac:dyDescent="0.25">
      <c r="A3">
        <v>2</v>
      </c>
      <c r="B3" s="2">
        <v>46037</v>
      </c>
      <c r="C3">
        <f>IFERROR(INDEX([1]!DIM_FECHA_T[fecha_key],MATCH($B3,[1]!DIM_FECHA_T[fecha],0)),0)</f>
        <v>46</v>
      </c>
      <c r="D3" t="s">
        <v>19</v>
      </c>
      <c r="E3">
        <f>INDEX([1]!DIM_TIPO[tipo_key],MATCH($D3,[1]!DIM_TIPO[tipo_codigo],0))</f>
        <v>3</v>
      </c>
      <c r="F3" t="s">
        <v>17</v>
      </c>
      <c r="G3">
        <f>IFERROR(INDEX([1]!DIM_PREST[prestamo_key],MATCH($F3,[1]!DIM_PREST[id_natural],0)),0)</f>
        <v>1</v>
      </c>
      <c r="I3">
        <f>IFERROR(INDEX([1]!DIM_INV[inversion_key],MATCH($H3,[1]!DIM_INV[id_natural],0)),0)</f>
        <v>0</v>
      </c>
      <c r="K3">
        <f>IFERROR(INDEX([1]!DIM_CAT[categoria_key],MATCH($J3,[1]!DIM_CAT[categoria],0)),0)</f>
        <v>0</v>
      </c>
      <c r="L3">
        <f>IF($G3&gt;0,INDEX([1]!DIM_PREST[persona_key],MATCH($G3,[1]!DIM_PREST[prestamo_key],0)),IF($I3&gt;0,INDEX([1]!DIM_INV[persona_key],MATCH($I3,[1]!DIM_INV[inversion_key],0)),0))</f>
        <v>1</v>
      </c>
      <c r="M3" s="3">
        <v>300</v>
      </c>
      <c r="N3" t="s">
        <v>18</v>
      </c>
      <c r="O3" s="4">
        <f>$M3*INDEX([1]!DIM_TIPO[signo_caja],MATCH($E3,[1]!DIM_TIPO[tipo_key],0))*IF($N3="SI",1,0)</f>
        <v>300</v>
      </c>
    </row>
    <row r="4" spans="1:16" x14ac:dyDescent="0.25">
      <c r="A4">
        <v>3</v>
      </c>
      <c r="B4" s="2">
        <v>46037</v>
      </c>
      <c r="C4">
        <f>IFERROR(INDEX([1]!DIM_FECHA_T[fecha_key],MATCH($B4,[1]!DIM_FECHA_T[fecha],0)),0)</f>
        <v>46</v>
      </c>
      <c r="D4" t="s">
        <v>20</v>
      </c>
      <c r="E4">
        <f>INDEX([1]!DIM_TIPO[tipo_key],MATCH($D4,[1]!DIM_TIPO[tipo_codigo],0))</f>
        <v>4</v>
      </c>
      <c r="F4" t="s">
        <v>17</v>
      </c>
      <c r="G4">
        <f>IFERROR(INDEX([1]!DIM_PREST[prestamo_key],MATCH($F4,[1]!DIM_PREST[id_natural],0)),0)</f>
        <v>1</v>
      </c>
      <c r="I4">
        <f>IFERROR(INDEX([1]!DIM_INV[inversion_key],MATCH($H4,[1]!DIM_INV[id_natural],0)),0)</f>
        <v>0</v>
      </c>
      <c r="K4">
        <f>IFERROR(INDEX([1]!DIM_CAT[categoria_key],MATCH($J4,[1]!DIM_CAT[categoria],0)),0)</f>
        <v>0</v>
      </c>
      <c r="L4">
        <f>IF($G4&gt;0,INDEX([1]!DIM_PREST[persona_key],MATCH($G4,[1]!DIM_PREST[prestamo_key],0)),IF($I4&gt;0,INDEX([1]!DIM_INV[persona_key],MATCH($I4,[1]!DIM_INV[inversion_key],0)),0))</f>
        <v>1</v>
      </c>
      <c r="M4" s="3">
        <v>100</v>
      </c>
      <c r="N4" t="s">
        <v>18</v>
      </c>
      <c r="O4" s="4">
        <f>$M4*INDEX([1]!DIM_TIPO[signo_caja],MATCH($E4,[1]!DIM_TIPO[tipo_key],0))*IF($N4="SI",1,0)</f>
        <v>100</v>
      </c>
    </row>
    <row r="5" spans="1:16" x14ac:dyDescent="0.25">
      <c r="A5">
        <v>4</v>
      </c>
      <c r="B5" s="2">
        <v>46023</v>
      </c>
      <c r="C5">
        <f>IFERROR(INDEX([1]!DIM_FECHA_T[fecha_key],MATCH($B5,[1]!DIM_FECHA_T[fecha],0)),0)</f>
        <v>32</v>
      </c>
      <c r="D5" t="s">
        <v>16</v>
      </c>
      <c r="E5">
        <f>INDEX([1]!DIM_TIPO[tipo_key],MATCH($D5,[1]!DIM_TIPO[tipo_codigo],0))</f>
        <v>2</v>
      </c>
      <c r="F5" t="s">
        <v>21</v>
      </c>
      <c r="G5">
        <f>IFERROR(INDEX([1]!DIM_PREST[prestamo_key],MATCH($F5,[1]!DIM_PREST[id_natural],0)),0)</f>
        <v>2</v>
      </c>
      <c r="I5">
        <f>IFERROR(INDEX([1]!DIM_INV[inversion_key],MATCH($H5,[1]!DIM_INV[id_natural],0)),0)</f>
        <v>0</v>
      </c>
      <c r="K5">
        <f>IFERROR(INDEX([1]!DIM_CAT[categoria_key],MATCH($J5,[1]!DIM_CAT[categoria],0)),0)</f>
        <v>0</v>
      </c>
      <c r="L5">
        <f>IF($G5&gt;0,INDEX([1]!DIM_PREST[persona_key],MATCH($G5,[1]!DIM_PREST[prestamo_key],0)),IF($I5&gt;0,INDEX([1]!DIM_INV[persona_key],MATCH($I5,[1]!DIM_INV[inversion_key],0)),0))</f>
        <v>2</v>
      </c>
      <c r="M5" s="3">
        <v>800</v>
      </c>
      <c r="N5" t="s">
        <v>18</v>
      </c>
      <c r="O5" s="4">
        <f>$M5*INDEX([1]!DIM_TIPO[signo_caja],MATCH($E5,[1]!DIM_TIPO[tipo_key],0))*IF($N5="SI",1,0)</f>
        <v>-800</v>
      </c>
    </row>
    <row r="6" spans="1:16" x14ac:dyDescent="0.25">
      <c r="A6">
        <v>5</v>
      </c>
      <c r="B6" s="2">
        <v>46037</v>
      </c>
      <c r="C6">
        <f>IFERROR(INDEX([1]!DIM_FECHA_T[fecha_key],MATCH($B6,[1]!DIM_FECHA_T[fecha],0)),0)</f>
        <v>46</v>
      </c>
      <c r="D6" t="s">
        <v>16</v>
      </c>
      <c r="E6">
        <f>INDEX([1]!DIM_TIPO[tipo_key],MATCH($D6,[1]!DIM_TIPO[tipo_codigo],0))</f>
        <v>2</v>
      </c>
      <c r="F6" t="s">
        <v>21</v>
      </c>
      <c r="G6">
        <f>IFERROR(INDEX([1]!DIM_PREST[prestamo_key],MATCH($F6,[1]!DIM_PREST[id_natural],0)),0)</f>
        <v>2</v>
      </c>
      <c r="I6">
        <f>IFERROR(INDEX([1]!DIM_INV[inversion_key],MATCH($H6,[1]!DIM_INV[id_natural],0)),0)</f>
        <v>0</v>
      </c>
      <c r="K6">
        <f>IFERROR(INDEX([1]!DIM_CAT[categoria_key],MATCH($J6,[1]!DIM_CAT[categoria],0)),0)</f>
        <v>0</v>
      </c>
      <c r="L6">
        <f>IF($G6&gt;0,INDEX([1]!DIM_PREST[persona_key],MATCH($G6,[1]!DIM_PREST[prestamo_key],0)),IF($I6&gt;0,INDEX([1]!DIM_INV[persona_key],MATCH($I6,[1]!DIM_INV[inversion_key],0)),0))</f>
        <v>2</v>
      </c>
      <c r="M6" s="3">
        <v>200</v>
      </c>
      <c r="N6" t="s">
        <v>18</v>
      </c>
      <c r="O6" s="4">
        <f>$M6*INDEX([1]!DIM_TIPO[signo_caja],MATCH($E6,[1]!DIM_TIPO[tipo_key],0))*IF($N6="SI",1,0)</f>
        <v>-200</v>
      </c>
      <c r="P6" t="s">
        <v>22</v>
      </c>
    </row>
    <row r="7" spans="1:16" x14ac:dyDescent="0.25">
      <c r="A7">
        <v>6</v>
      </c>
      <c r="B7" s="2">
        <v>46037</v>
      </c>
      <c r="C7">
        <f>IFERROR(INDEX([1]!DIM_FECHA_T[fecha_key],MATCH($B7,[1]!DIM_FECHA_T[fecha],0)),0)</f>
        <v>46</v>
      </c>
      <c r="D7" t="s">
        <v>20</v>
      </c>
      <c r="E7">
        <f>INDEX([1]!DIM_TIPO[tipo_key],MATCH($D7,[1]!DIM_TIPO[tipo_codigo],0))</f>
        <v>4</v>
      </c>
      <c r="F7" t="s">
        <v>21</v>
      </c>
      <c r="G7">
        <f>IFERROR(INDEX([1]!DIM_PREST[prestamo_key],MATCH($F7,[1]!DIM_PREST[id_natural],0)),0)</f>
        <v>2</v>
      </c>
      <c r="I7">
        <f>IFERROR(INDEX([1]!DIM_INV[inversion_key],MATCH($H7,[1]!DIM_INV[id_natural],0)),0)</f>
        <v>0</v>
      </c>
      <c r="K7">
        <f>IFERROR(INDEX([1]!DIM_CAT[categoria_key],MATCH($J7,[1]!DIM_CAT[categoria],0)),0)</f>
        <v>0</v>
      </c>
      <c r="L7">
        <f>IF($G7&gt;0,INDEX([1]!DIM_PREST[persona_key],MATCH($G7,[1]!DIM_PREST[prestamo_key],0)),IF($I7&gt;0,INDEX([1]!DIM_INV[persona_key],MATCH($I7,[1]!DIM_INV[inversion_key],0)),0))</f>
        <v>2</v>
      </c>
      <c r="M7" s="3">
        <v>24</v>
      </c>
      <c r="N7" t="s">
        <v>18</v>
      </c>
      <c r="O7" s="4">
        <f>$M7*INDEX([1]!DIM_TIPO[signo_caja],MATCH($E7,[1]!DIM_TIPO[tipo_key],0))*IF($N7="SI",1,0)</f>
        <v>24</v>
      </c>
    </row>
    <row r="8" spans="1:16" x14ac:dyDescent="0.25">
      <c r="A8">
        <v>7</v>
      </c>
      <c r="B8" s="2">
        <v>46023</v>
      </c>
      <c r="C8">
        <f>IFERROR(INDEX([1]!DIM_FECHA_T[fecha_key],MATCH($B8,[1]!DIM_FECHA_T[fecha],0)),0)</f>
        <v>32</v>
      </c>
      <c r="D8" t="s">
        <v>16</v>
      </c>
      <c r="E8">
        <f>INDEX([1]!DIM_TIPO[tipo_key],MATCH($D8,[1]!DIM_TIPO[tipo_codigo],0))</f>
        <v>2</v>
      </c>
      <c r="F8" t="s">
        <v>23</v>
      </c>
      <c r="G8">
        <f>IFERROR(INDEX([1]!DIM_PREST[prestamo_key],MATCH($F8,[1]!DIM_PREST[id_natural],0)),0)</f>
        <v>3</v>
      </c>
      <c r="I8">
        <f>IFERROR(INDEX([1]!DIM_INV[inversion_key],MATCH($H8,[1]!DIM_INV[id_natural],0)),0)</f>
        <v>0</v>
      </c>
      <c r="K8">
        <f>IFERROR(INDEX([1]!DIM_CAT[categoria_key],MATCH($J8,[1]!DIM_CAT[categoria],0)),0)</f>
        <v>0</v>
      </c>
      <c r="L8">
        <f>IF($G8&gt;0,INDEX([1]!DIM_PREST[persona_key],MATCH($G8,[1]!DIM_PREST[prestamo_key],0)),IF($I8&gt;0,INDEX([1]!DIM_INV[persona_key],MATCH($I8,[1]!DIM_INV[inversion_key],0)),0))</f>
        <v>3</v>
      </c>
      <c r="M8" s="3">
        <v>4200</v>
      </c>
      <c r="N8" t="s">
        <v>18</v>
      </c>
      <c r="O8" s="4">
        <f>$M8*INDEX([1]!DIM_TIPO[signo_caja],MATCH($E8,[1]!DIM_TIPO[tipo_key],0))*IF($N8="SI",1,0)</f>
        <v>-4200</v>
      </c>
    </row>
    <row r="9" spans="1:16" x14ac:dyDescent="0.25">
      <c r="A9">
        <v>8</v>
      </c>
      <c r="B9" s="2">
        <v>46037</v>
      </c>
      <c r="C9">
        <f>IFERROR(INDEX([1]!DIM_FECHA_T[fecha_key],MATCH($B9,[1]!DIM_FECHA_T[fecha],0)),0)</f>
        <v>46</v>
      </c>
      <c r="D9" t="s">
        <v>19</v>
      </c>
      <c r="E9">
        <f>INDEX([1]!DIM_TIPO[tipo_key],MATCH($D9,[1]!DIM_TIPO[tipo_codigo],0))</f>
        <v>3</v>
      </c>
      <c r="F9" t="s">
        <v>23</v>
      </c>
      <c r="G9">
        <f>IFERROR(INDEX([1]!DIM_PREST[prestamo_key],MATCH($F9,[1]!DIM_PREST[id_natural],0)),0)</f>
        <v>3</v>
      </c>
      <c r="I9">
        <f>IFERROR(INDEX([1]!DIM_INV[inversion_key],MATCH($H9,[1]!DIM_INV[id_natural],0)),0)</f>
        <v>0</v>
      </c>
      <c r="K9">
        <f>IFERROR(INDEX([1]!DIM_CAT[categoria_key],MATCH($J9,[1]!DIM_CAT[categoria],0)),0)</f>
        <v>0</v>
      </c>
      <c r="L9">
        <f>IF($G9&gt;0,INDEX([1]!DIM_PREST[persona_key],MATCH($G9,[1]!DIM_PREST[prestamo_key],0)),IF($I9&gt;0,INDEX([1]!DIM_INV[persona_key],MATCH($I9,[1]!DIM_INV[inversion_key],0)),0))</f>
        <v>3</v>
      </c>
      <c r="M9" s="3">
        <v>200</v>
      </c>
      <c r="N9" t="s">
        <v>18</v>
      </c>
      <c r="O9" s="4">
        <f>$M9*INDEX([1]!DIM_TIPO[signo_caja],MATCH($E9,[1]!DIM_TIPO[tipo_key],0))*IF($N9="SI",1,0)</f>
        <v>200</v>
      </c>
    </row>
    <row r="10" spans="1:16" x14ac:dyDescent="0.25">
      <c r="A10">
        <v>9</v>
      </c>
      <c r="B10" s="2">
        <v>46037</v>
      </c>
      <c r="C10">
        <f>IFERROR(INDEX([1]!DIM_FECHA_T[fecha_key],MATCH($B10,[1]!DIM_FECHA_T[fecha],0)),0)</f>
        <v>46</v>
      </c>
      <c r="D10" t="s">
        <v>20</v>
      </c>
      <c r="E10">
        <f>INDEX([1]!DIM_TIPO[tipo_key],MATCH($D10,[1]!DIM_TIPO[tipo_codigo],0))</f>
        <v>4</v>
      </c>
      <c r="F10" t="s">
        <v>23</v>
      </c>
      <c r="G10">
        <f>IFERROR(INDEX([1]!DIM_PREST[prestamo_key],MATCH($F10,[1]!DIM_PREST[id_natural],0)),0)</f>
        <v>3</v>
      </c>
      <c r="I10">
        <f>IFERROR(INDEX([1]!DIM_INV[inversion_key],MATCH($H10,[1]!DIM_INV[id_natural],0)),0)</f>
        <v>0</v>
      </c>
      <c r="K10">
        <f>IFERROR(INDEX([1]!DIM_CAT[categoria_key],MATCH($J10,[1]!DIM_CAT[categoria],0)),0)</f>
        <v>0</v>
      </c>
      <c r="L10">
        <f>IF($G10&gt;0,INDEX([1]!DIM_PREST[persona_key],MATCH($G10,[1]!DIM_PREST[prestamo_key],0)),IF($I10&gt;0,INDEX([1]!DIM_INV[persona_key],MATCH($I10,[1]!DIM_INV[inversion_key],0)),0))</f>
        <v>3</v>
      </c>
      <c r="M10" s="3">
        <v>84</v>
      </c>
      <c r="N10" t="s">
        <v>18</v>
      </c>
      <c r="O10" s="4">
        <f>$M10*INDEX([1]!DIM_TIPO[signo_caja],MATCH($E10,[1]!DIM_TIPO[tipo_key],0))*IF($N10="SI",1,0)</f>
        <v>84</v>
      </c>
    </row>
    <row r="11" spans="1:16" x14ac:dyDescent="0.25">
      <c r="A11">
        <v>10</v>
      </c>
      <c r="B11" s="2">
        <v>46023</v>
      </c>
      <c r="C11">
        <f>IFERROR(INDEX([1]!DIM_FECHA_T[fecha_key],MATCH($B11,[1]!DIM_FECHA_T[fecha],0)),0)</f>
        <v>32</v>
      </c>
      <c r="D11" t="s">
        <v>16</v>
      </c>
      <c r="E11">
        <f>INDEX([1]!DIM_TIPO[tipo_key],MATCH($D11,[1]!DIM_TIPO[tipo_codigo],0))</f>
        <v>2</v>
      </c>
      <c r="F11" t="s">
        <v>24</v>
      </c>
      <c r="G11">
        <f>IFERROR(INDEX([1]!DIM_PREST[prestamo_key],MATCH($F11,[1]!DIM_PREST[id_natural],0)),0)</f>
        <v>4</v>
      </c>
      <c r="I11">
        <f>IFERROR(INDEX([1]!DIM_INV[inversion_key],MATCH($H11,[1]!DIM_INV[id_natural],0)),0)</f>
        <v>0</v>
      </c>
      <c r="K11">
        <f>IFERROR(INDEX([1]!DIM_CAT[categoria_key],MATCH($J11,[1]!DIM_CAT[categoria],0)),0)</f>
        <v>0</v>
      </c>
      <c r="L11">
        <f>IF($G11&gt;0,INDEX([1]!DIM_PREST[persona_key],MATCH($G11,[1]!DIM_PREST[prestamo_key],0)),IF($I11&gt;0,INDEX([1]!DIM_INV[persona_key],MATCH($I11,[1]!DIM_INV[inversion_key],0)),0))</f>
        <v>4</v>
      </c>
      <c r="M11" s="3">
        <v>1000</v>
      </c>
      <c r="N11" t="s">
        <v>18</v>
      </c>
      <c r="O11" s="4">
        <f>$M11*INDEX([1]!DIM_TIPO[signo_caja],MATCH($E11,[1]!DIM_TIPO[tipo_key],0))*IF($N11="SI",1,0)</f>
        <v>-1000</v>
      </c>
    </row>
    <row r="12" spans="1:16" x14ac:dyDescent="0.25">
      <c r="A12">
        <v>11</v>
      </c>
      <c r="B12" s="2">
        <v>46037</v>
      </c>
      <c r="C12">
        <f>IFERROR(INDEX([1]!DIM_FECHA_T[fecha_key],MATCH($B12,[1]!DIM_FECHA_T[fecha],0)),0)</f>
        <v>46</v>
      </c>
      <c r="D12" t="s">
        <v>25</v>
      </c>
      <c r="E12">
        <f>INDEX([1]!DIM_TIPO[tipo_key],MATCH($D12,[1]!DIM_TIPO[tipo_codigo],0))</f>
        <v>5</v>
      </c>
      <c r="F12" t="s">
        <v>24</v>
      </c>
      <c r="G12">
        <f>IFERROR(INDEX([1]!DIM_PREST[prestamo_key],MATCH($F12,[1]!DIM_PREST[id_natural],0)),0)</f>
        <v>4</v>
      </c>
      <c r="I12">
        <f>IFERROR(INDEX([1]!DIM_INV[inversion_key],MATCH($H12,[1]!DIM_INV[id_natural],0)),0)</f>
        <v>0</v>
      </c>
      <c r="K12">
        <f>IFERROR(INDEX([1]!DIM_CAT[categoria_key],MATCH($J12,[1]!DIM_CAT[categoria],0)),0)</f>
        <v>0</v>
      </c>
      <c r="L12">
        <f>IF($G12&gt;0,INDEX([1]!DIM_PREST[persona_key],MATCH($G12,[1]!DIM_PREST[prestamo_key],0)),IF($I12&gt;0,INDEX([1]!DIM_INV[persona_key],MATCH($I12,[1]!DIM_INV[inversion_key],0)),0))</f>
        <v>4</v>
      </c>
      <c r="M12" s="3">
        <v>40</v>
      </c>
      <c r="N12" t="s">
        <v>18</v>
      </c>
      <c r="O12" s="4">
        <f>$M12*INDEX([1]!DIM_TIPO[signo_caja],MATCH($E12,[1]!DIM_TIPO[tipo_key],0))*IF($N12="SI",1,0)</f>
        <v>0</v>
      </c>
      <c r="P12" t="s">
        <v>26</v>
      </c>
    </row>
    <row r="13" spans="1:16" x14ac:dyDescent="0.25">
      <c r="A13">
        <v>12</v>
      </c>
      <c r="B13" s="2">
        <v>46023</v>
      </c>
      <c r="C13">
        <f>IFERROR(INDEX([1]!DIM_FECHA_T[fecha_key],MATCH($B13,[1]!DIM_FECHA_T[fecha],0)),0)</f>
        <v>32</v>
      </c>
      <c r="D13" t="s">
        <v>16</v>
      </c>
      <c r="E13">
        <f>INDEX([1]!DIM_TIPO[tipo_key],MATCH($D13,[1]!DIM_TIPO[tipo_codigo],0))</f>
        <v>2</v>
      </c>
      <c r="F13" t="s">
        <v>27</v>
      </c>
      <c r="G13">
        <f>IFERROR(INDEX([1]!DIM_PREST[prestamo_key],MATCH($F13,[1]!DIM_PREST[id_natural],0)),0)</f>
        <v>5</v>
      </c>
      <c r="I13">
        <f>IFERROR(INDEX([1]!DIM_INV[inversion_key],MATCH($H13,[1]!DIM_INV[id_natural],0)),0)</f>
        <v>0</v>
      </c>
      <c r="K13">
        <f>IFERROR(INDEX([1]!DIM_CAT[categoria_key],MATCH($J13,[1]!DIM_CAT[categoria],0)),0)</f>
        <v>0</v>
      </c>
      <c r="L13">
        <f>IF($G13&gt;0,INDEX([1]!DIM_PREST[persona_key],MATCH($G13,[1]!DIM_PREST[prestamo_key],0)),IF($I13&gt;0,INDEX([1]!DIM_INV[persona_key],MATCH($I13,[1]!DIM_INV[inversion_key],0)),0))</f>
        <v>5</v>
      </c>
      <c r="M13" s="3">
        <v>1000</v>
      </c>
      <c r="N13" t="s">
        <v>18</v>
      </c>
      <c r="O13" s="4">
        <f>$M13*INDEX([1]!DIM_TIPO[signo_caja],MATCH($E13,[1]!DIM_TIPO[tipo_key],0))*IF($N13="SI",1,0)</f>
        <v>-1000</v>
      </c>
    </row>
    <row r="14" spans="1:16" x14ac:dyDescent="0.25">
      <c r="A14">
        <v>13</v>
      </c>
      <c r="B14" s="2">
        <v>46037</v>
      </c>
      <c r="C14">
        <f>IFERROR(INDEX([1]!DIM_FECHA_T[fecha_key],MATCH($B14,[1]!DIM_FECHA_T[fecha],0)),0)</f>
        <v>46</v>
      </c>
      <c r="D14" t="s">
        <v>16</v>
      </c>
      <c r="E14">
        <f>INDEX([1]!DIM_TIPO[tipo_key],MATCH($D14,[1]!DIM_TIPO[tipo_codigo],0))</f>
        <v>2</v>
      </c>
      <c r="F14" t="s">
        <v>27</v>
      </c>
      <c r="G14">
        <f>IFERROR(INDEX([1]!DIM_PREST[prestamo_key],MATCH($F14,[1]!DIM_PREST[id_natural],0)),0)</f>
        <v>5</v>
      </c>
      <c r="I14">
        <f>IFERROR(INDEX([1]!DIM_INV[inversion_key],MATCH($H14,[1]!DIM_INV[id_natural],0)),0)</f>
        <v>0</v>
      </c>
      <c r="K14">
        <f>IFERROR(INDEX([1]!DIM_CAT[categoria_key],MATCH($J14,[1]!DIM_CAT[categoria],0)),0)</f>
        <v>0</v>
      </c>
      <c r="L14">
        <f>IF($G14&gt;0,INDEX([1]!DIM_PREST[persona_key],MATCH($G14,[1]!DIM_PREST[prestamo_key],0)),IF($I14&gt;0,INDEX([1]!DIM_INV[persona_key],MATCH($I14,[1]!DIM_INV[inversion_key],0)),0))</f>
        <v>5</v>
      </c>
      <c r="M14" s="3">
        <v>1000</v>
      </c>
      <c r="N14" t="s">
        <v>18</v>
      </c>
      <c r="O14" s="4">
        <f>$M14*INDEX([1]!DIM_TIPO[signo_caja],MATCH($E14,[1]!DIM_TIPO[tipo_key],0))*IF($N14="SI",1,0)</f>
        <v>-1000</v>
      </c>
      <c r="P14" t="s">
        <v>22</v>
      </c>
    </row>
    <row r="15" spans="1:16" x14ac:dyDescent="0.25">
      <c r="A15">
        <v>14</v>
      </c>
      <c r="B15" s="2">
        <v>46037</v>
      </c>
      <c r="C15">
        <f>IFERROR(INDEX([1]!DIM_FECHA_T[fecha_key],MATCH($B15,[1]!DIM_FECHA_T[fecha],0)),0)</f>
        <v>46</v>
      </c>
      <c r="D15" t="s">
        <v>20</v>
      </c>
      <c r="E15">
        <f>INDEX([1]!DIM_TIPO[tipo_key],MATCH($D15,[1]!DIM_TIPO[tipo_codigo],0))</f>
        <v>4</v>
      </c>
      <c r="F15" t="s">
        <v>27</v>
      </c>
      <c r="G15">
        <f>IFERROR(INDEX([1]!DIM_PREST[prestamo_key],MATCH($F15,[1]!DIM_PREST[id_natural],0)),0)</f>
        <v>5</v>
      </c>
      <c r="I15">
        <f>IFERROR(INDEX([1]!DIM_INV[inversion_key],MATCH($H15,[1]!DIM_INV[id_natural],0)),0)</f>
        <v>0</v>
      </c>
      <c r="K15">
        <f>IFERROR(INDEX([1]!DIM_CAT[categoria_key],MATCH($J15,[1]!DIM_CAT[categoria],0)),0)</f>
        <v>0</v>
      </c>
      <c r="L15">
        <f>IF($G15&gt;0,INDEX([1]!DIM_PREST[persona_key],MATCH($G15,[1]!DIM_PREST[prestamo_key],0)),IF($I15&gt;0,INDEX([1]!DIM_INV[persona_key],MATCH($I15,[1]!DIM_INV[inversion_key],0)),0))</f>
        <v>5</v>
      </c>
      <c r="M15" s="3">
        <v>40</v>
      </c>
      <c r="N15" t="s">
        <v>18</v>
      </c>
      <c r="O15" s="4">
        <f>$M15*INDEX([1]!DIM_TIPO[signo_caja],MATCH($E15,[1]!DIM_TIPO[tipo_key],0))*IF($N15="SI",1,0)</f>
        <v>40</v>
      </c>
    </row>
    <row r="16" spans="1:16" x14ac:dyDescent="0.25">
      <c r="A16">
        <v>15</v>
      </c>
      <c r="B16" s="2">
        <v>46023</v>
      </c>
      <c r="C16">
        <f>IFERROR(INDEX([1]!DIM_FECHA_T[fecha_key],MATCH($B16,[1]!DIM_FECHA_T[fecha],0)),0)</f>
        <v>32</v>
      </c>
      <c r="D16" t="s">
        <v>16</v>
      </c>
      <c r="E16">
        <f>INDEX([1]!DIM_TIPO[tipo_key],MATCH($D16,[1]!DIM_TIPO[tipo_codigo],0))</f>
        <v>2</v>
      </c>
      <c r="F16" t="s">
        <v>28</v>
      </c>
      <c r="G16">
        <f>IFERROR(INDEX([1]!DIM_PREST[prestamo_key],MATCH($F16,[1]!DIM_PREST[id_natural],0)),0)</f>
        <v>6</v>
      </c>
      <c r="I16">
        <f>IFERROR(INDEX([1]!DIM_INV[inversion_key],MATCH($H16,[1]!DIM_INV[id_natural],0)),0)</f>
        <v>0</v>
      </c>
      <c r="K16">
        <f>IFERROR(INDEX([1]!DIM_CAT[categoria_key],MATCH($J16,[1]!DIM_CAT[categoria],0)),0)</f>
        <v>0</v>
      </c>
      <c r="L16">
        <f>IF($G16&gt;0,INDEX([1]!DIM_PREST[persona_key],MATCH($G16,[1]!DIM_PREST[prestamo_key],0)),IF($I16&gt;0,INDEX([1]!DIM_INV[persona_key],MATCH($I16,[1]!DIM_INV[inversion_key],0)),0))</f>
        <v>6</v>
      </c>
      <c r="M16" s="3">
        <v>1000</v>
      </c>
      <c r="N16" t="s">
        <v>18</v>
      </c>
      <c r="O16" s="4">
        <f>$M16*INDEX([1]!DIM_TIPO[signo_caja],MATCH($E16,[1]!DIM_TIPO[tipo_key],0))*IF($N16="SI",1,0)</f>
        <v>-1000</v>
      </c>
    </row>
    <row r="17" spans="1:16" x14ac:dyDescent="0.25">
      <c r="A17">
        <v>16</v>
      </c>
      <c r="B17" s="2">
        <v>46037</v>
      </c>
      <c r="C17">
        <f>IFERROR(INDEX([1]!DIM_FECHA_T[fecha_key],MATCH($B17,[1]!DIM_FECHA_T[fecha],0)),0)</f>
        <v>46</v>
      </c>
      <c r="D17" t="s">
        <v>25</v>
      </c>
      <c r="E17">
        <f>INDEX([1]!DIM_TIPO[tipo_key],MATCH($D17,[1]!DIM_TIPO[tipo_codigo],0))</f>
        <v>5</v>
      </c>
      <c r="F17" t="s">
        <v>28</v>
      </c>
      <c r="G17">
        <f>IFERROR(INDEX([1]!DIM_PREST[prestamo_key],MATCH($F17,[1]!DIM_PREST[id_natural],0)),0)</f>
        <v>6</v>
      </c>
      <c r="I17">
        <f>IFERROR(INDEX([1]!DIM_INV[inversion_key],MATCH($H17,[1]!DIM_INV[id_natural],0)),0)</f>
        <v>0</v>
      </c>
      <c r="K17">
        <f>IFERROR(INDEX([1]!DIM_CAT[categoria_key],MATCH($J17,[1]!DIM_CAT[categoria],0)),0)</f>
        <v>0</v>
      </c>
      <c r="L17">
        <f>IF($G17&gt;0,INDEX([1]!DIM_PREST[persona_key],MATCH($G17,[1]!DIM_PREST[prestamo_key],0)),IF($I17&gt;0,INDEX([1]!DIM_INV[persona_key],MATCH($I17,[1]!DIM_INV[inversion_key],0)),0))</f>
        <v>6</v>
      </c>
      <c r="M17" s="3">
        <v>35</v>
      </c>
      <c r="N17" t="s">
        <v>18</v>
      </c>
      <c r="O17" s="4">
        <f>$M17*INDEX([1]!DIM_TIPO[signo_caja],MATCH($E17,[1]!DIM_TIPO[tipo_key],0))*IF($N17="SI",1,0)</f>
        <v>0</v>
      </c>
      <c r="P17" t="s">
        <v>26</v>
      </c>
    </row>
    <row r="18" spans="1:16" x14ac:dyDescent="0.25">
      <c r="A18">
        <v>17</v>
      </c>
      <c r="B18" s="2">
        <v>46023</v>
      </c>
      <c r="C18">
        <f>IFERROR(INDEX([1]!DIM_FECHA_T[fecha_key],MATCH($B18,[1]!DIM_FECHA_T[fecha],0)),0)</f>
        <v>32</v>
      </c>
      <c r="D18" t="s">
        <v>16</v>
      </c>
      <c r="E18">
        <f>INDEX([1]!DIM_TIPO[tipo_key],MATCH($D18,[1]!DIM_TIPO[tipo_codigo],0))</f>
        <v>2</v>
      </c>
      <c r="F18" t="s">
        <v>29</v>
      </c>
      <c r="G18">
        <f>IFERROR(INDEX([1]!DIM_PREST[prestamo_key],MATCH($F18,[1]!DIM_PREST[id_natural],0)),0)</f>
        <v>7</v>
      </c>
      <c r="I18">
        <f>IFERROR(INDEX([1]!DIM_INV[inversion_key],MATCH($H18,[1]!DIM_INV[id_natural],0)),0)</f>
        <v>0</v>
      </c>
      <c r="K18">
        <f>IFERROR(INDEX([1]!DIM_CAT[categoria_key],MATCH($J18,[1]!DIM_CAT[categoria],0)),0)</f>
        <v>0</v>
      </c>
      <c r="L18">
        <f>IF($G18&gt;0,INDEX([1]!DIM_PREST[persona_key],MATCH($G18,[1]!DIM_PREST[prestamo_key],0)),IF($I18&gt;0,INDEX([1]!DIM_INV[persona_key],MATCH($I18,[1]!DIM_INV[inversion_key],0)),0))</f>
        <v>7</v>
      </c>
      <c r="M18" s="3">
        <v>1200</v>
      </c>
      <c r="N18" t="s">
        <v>18</v>
      </c>
      <c r="O18" s="4">
        <f>$M18*INDEX([1]!DIM_TIPO[signo_caja],MATCH($E18,[1]!DIM_TIPO[tipo_key],0))*IF($N18="SI",1,0)</f>
        <v>-1200</v>
      </c>
    </row>
    <row r="19" spans="1:16" x14ac:dyDescent="0.25">
      <c r="A19">
        <v>18</v>
      </c>
      <c r="B19" s="2">
        <v>46037</v>
      </c>
      <c r="C19">
        <f>IFERROR(INDEX([1]!DIM_FECHA_T[fecha_key],MATCH($B19,[1]!DIM_FECHA_T[fecha],0)),0)</f>
        <v>46</v>
      </c>
      <c r="D19" t="s">
        <v>19</v>
      </c>
      <c r="E19">
        <f>INDEX([1]!DIM_TIPO[tipo_key],MATCH($D19,[1]!DIM_TIPO[tipo_codigo],0))</f>
        <v>3</v>
      </c>
      <c r="F19" t="s">
        <v>29</v>
      </c>
      <c r="G19">
        <f>IFERROR(INDEX([1]!DIM_PREST[prestamo_key],MATCH($F19,[1]!DIM_PREST[id_natural],0)),0)</f>
        <v>7</v>
      </c>
      <c r="I19">
        <f>IFERROR(INDEX([1]!DIM_INV[inversion_key],MATCH($H19,[1]!DIM_INV[id_natural],0)),0)</f>
        <v>0</v>
      </c>
      <c r="K19">
        <f>IFERROR(INDEX([1]!DIM_CAT[categoria_key],MATCH($J19,[1]!DIM_CAT[categoria],0)),0)</f>
        <v>0</v>
      </c>
      <c r="L19">
        <f>IF($G19&gt;0,INDEX([1]!DIM_PREST[persona_key],MATCH($G19,[1]!DIM_PREST[prestamo_key],0)),IF($I19&gt;0,INDEX([1]!DIM_INV[persona_key],MATCH($I19,[1]!DIM_INV[inversion_key],0)),0))</f>
        <v>7</v>
      </c>
      <c r="M19" s="3">
        <v>50</v>
      </c>
      <c r="N19" t="s">
        <v>18</v>
      </c>
      <c r="O19" s="4">
        <f>$M19*INDEX([1]!DIM_TIPO[signo_caja],MATCH($E19,[1]!DIM_TIPO[tipo_key],0))*IF($N19="SI",1,0)</f>
        <v>50</v>
      </c>
    </row>
    <row r="20" spans="1:16" x14ac:dyDescent="0.25">
      <c r="A20">
        <v>19</v>
      </c>
      <c r="B20" s="2">
        <v>46037</v>
      </c>
      <c r="C20">
        <f>IFERROR(INDEX([1]!DIM_FECHA_T[fecha_key],MATCH($B20,[1]!DIM_FECHA_T[fecha],0)),0)</f>
        <v>46</v>
      </c>
      <c r="D20" t="s">
        <v>20</v>
      </c>
      <c r="E20">
        <f>INDEX([1]!DIM_TIPO[tipo_key],MATCH($D20,[1]!DIM_TIPO[tipo_codigo],0))</f>
        <v>4</v>
      </c>
      <c r="F20" t="s">
        <v>29</v>
      </c>
      <c r="G20">
        <f>IFERROR(INDEX([1]!DIM_PREST[prestamo_key],MATCH($F20,[1]!DIM_PREST[id_natural],0)),0)</f>
        <v>7</v>
      </c>
      <c r="I20">
        <f>IFERROR(INDEX([1]!DIM_INV[inversion_key],MATCH($H20,[1]!DIM_INV[id_natural],0)),0)</f>
        <v>0</v>
      </c>
      <c r="K20">
        <f>IFERROR(INDEX([1]!DIM_CAT[categoria_key],MATCH($J20,[1]!DIM_CAT[categoria],0)),0)</f>
        <v>0</v>
      </c>
      <c r="L20">
        <f>IF($G20&gt;0,INDEX([1]!DIM_PREST[persona_key],MATCH($G20,[1]!DIM_PREST[prestamo_key],0)),IF($I20&gt;0,INDEX([1]!DIM_INV[persona_key],MATCH($I20,[1]!DIM_INV[inversion_key],0)),0))</f>
        <v>7</v>
      </c>
      <c r="M20" s="3">
        <v>42</v>
      </c>
      <c r="N20" t="s">
        <v>18</v>
      </c>
      <c r="O20" s="4">
        <f>$M20*INDEX([1]!DIM_TIPO[signo_caja],MATCH($E20,[1]!DIM_TIPO[tipo_key],0))*IF($N20="SI",1,0)</f>
        <v>42</v>
      </c>
    </row>
    <row r="21" spans="1:16" x14ac:dyDescent="0.25">
      <c r="A21">
        <v>20</v>
      </c>
      <c r="B21" s="2">
        <v>46023</v>
      </c>
      <c r="C21">
        <f>IFERROR(INDEX([1]!DIM_FECHA_T[fecha_key],MATCH($B21,[1]!DIM_FECHA_T[fecha],0)),0)</f>
        <v>32</v>
      </c>
      <c r="D21" t="s">
        <v>16</v>
      </c>
      <c r="E21">
        <f>INDEX([1]!DIM_TIPO[tipo_key],MATCH($D21,[1]!DIM_TIPO[tipo_codigo],0))</f>
        <v>2</v>
      </c>
      <c r="F21" t="s">
        <v>30</v>
      </c>
      <c r="G21">
        <f>IFERROR(INDEX([1]!DIM_PREST[prestamo_key],MATCH($F21,[1]!DIM_PREST[id_natural],0)),0)</f>
        <v>8</v>
      </c>
      <c r="I21">
        <f>IFERROR(INDEX([1]!DIM_INV[inversion_key],MATCH($H21,[1]!DIM_INV[id_natural],0)),0)</f>
        <v>0</v>
      </c>
      <c r="K21">
        <f>IFERROR(INDEX([1]!DIM_CAT[categoria_key],MATCH($J21,[1]!DIM_CAT[categoria],0)),0)</f>
        <v>0</v>
      </c>
      <c r="L21">
        <f>IF($G21&gt;0,INDEX([1]!DIM_PREST[persona_key],MATCH($G21,[1]!DIM_PREST[prestamo_key],0)),IF($I21&gt;0,INDEX([1]!DIM_INV[persona_key],MATCH($I21,[1]!DIM_INV[inversion_key],0)),0))</f>
        <v>8</v>
      </c>
      <c r="M21" s="3">
        <v>5000</v>
      </c>
      <c r="N21" t="s">
        <v>18</v>
      </c>
      <c r="O21" s="4">
        <f>$M21*INDEX([1]!DIM_TIPO[signo_caja],MATCH($E21,[1]!DIM_TIPO[tipo_key],0))*IF($N21="SI",1,0)</f>
        <v>-5000</v>
      </c>
    </row>
    <row r="22" spans="1:16" x14ac:dyDescent="0.25">
      <c r="A22">
        <v>21</v>
      </c>
      <c r="B22" s="2">
        <v>46037</v>
      </c>
      <c r="C22">
        <f>IFERROR(INDEX([1]!DIM_FECHA_T[fecha_key],MATCH($B22,[1]!DIM_FECHA_T[fecha],0)),0)</f>
        <v>46</v>
      </c>
      <c r="D22" t="s">
        <v>16</v>
      </c>
      <c r="E22">
        <f>INDEX([1]!DIM_TIPO[tipo_key],MATCH($D22,[1]!DIM_TIPO[tipo_codigo],0))</f>
        <v>2</v>
      </c>
      <c r="F22" t="s">
        <v>30</v>
      </c>
      <c r="G22">
        <f>IFERROR(INDEX([1]!DIM_PREST[prestamo_key],MATCH($F22,[1]!DIM_PREST[id_natural],0)),0)</f>
        <v>8</v>
      </c>
      <c r="I22">
        <f>IFERROR(INDEX([1]!DIM_INV[inversion_key],MATCH($H22,[1]!DIM_INV[id_natural],0)),0)</f>
        <v>0</v>
      </c>
      <c r="K22">
        <f>IFERROR(INDEX([1]!DIM_CAT[categoria_key],MATCH($J22,[1]!DIM_CAT[categoria],0)),0)</f>
        <v>0</v>
      </c>
      <c r="L22">
        <f>IF($G22&gt;0,INDEX([1]!DIM_PREST[persona_key],MATCH($G22,[1]!DIM_PREST[prestamo_key],0)),IF($I22&gt;0,INDEX([1]!DIM_INV[persona_key],MATCH($I22,[1]!DIM_INV[inversion_key],0)),0))</f>
        <v>8</v>
      </c>
      <c r="M22" s="3">
        <v>2000</v>
      </c>
      <c r="N22" t="s">
        <v>18</v>
      </c>
      <c r="O22" s="4">
        <f>$M22*INDEX([1]!DIM_TIPO[signo_caja],MATCH($E22,[1]!DIM_TIPO[tipo_key],0))*IF($N22="SI",1,0)</f>
        <v>-2000</v>
      </c>
      <c r="P22" t="s">
        <v>22</v>
      </c>
    </row>
    <row r="23" spans="1:16" x14ac:dyDescent="0.25">
      <c r="A23">
        <v>22</v>
      </c>
      <c r="B23" s="2">
        <v>46037</v>
      </c>
      <c r="C23">
        <f>IFERROR(INDEX([1]!DIM_FECHA_T[fecha_key],MATCH($B23,[1]!DIM_FECHA_T[fecha],0)),0)</f>
        <v>46</v>
      </c>
      <c r="D23" t="s">
        <v>20</v>
      </c>
      <c r="E23">
        <f>INDEX([1]!DIM_TIPO[tipo_key],MATCH($D23,[1]!DIM_TIPO[tipo_codigo],0))</f>
        <v>4</v>
      </c>
      <c r="F23" t="s">
        <v>30</v>
      </c>
      <c r="G23">
        <f>IFERROR(INDEX([1]!DIM_PREST[prestamo_key],MATCH($F23,[1]!DIM_PREST[id_natural],0)),0)</f>
        <v>8</v>
      </c>
      <c r="I23">
        <f>IFERROR(INDEX([1]!DIM_INV[inversion_key],MATCH($H23,[1]!DIM_INV[id_natural],0)),0)</f>
        <v>0</v>
      </c>
      <c r="K23">
        <f>IFERROR(INDEX([1]!DIM_CAT[categoria_key],MATCH($J23,[1]!DIM_CAT[categoria],0)),0)</f>
        <v>0</v>
      </c>
      <c r="L23">
        <f>IF($G23&gt;0,INDEX([1]!DIM_PREST[persona_key],MATCH($G23,[1]!DIM_PREST[prestamo_key],0)),IF($I23&gt;0,INDEX([1]!DIM_INV[persona_key],MATCH($I23,[1]!DIM_INV[inversion_key],0)),0))</f>
        <v>8</v>
      </c>
      <c r="M23" s="3">
        <v>225</v>
      </c>
      <c r="N23" t="s">
        <v>18</v>
      </c>
      <c r="O23" s="4">
        <f>$M23*INDEX([1]!DIM_TIPO[signo_caja],MATCH($E23,[1]!DIM_TIPO[tipo_key],0))*IF($N23="SI",1,0)</f>
        <v>225</v>
      </c>
    </row>
    <row r="24" spans="1:16" x14ac:dyDescent="0.25">
      <c r="A24">
        <v>23</v>
      </c>
      <c r="B24" s="2">
        <v>46023</v>
      </c>
      <c r="C24">
        <f>IFERROR(INDEX([1]!DIM_FECHA_T[fecha_key],MATCH($B24,[1]!DIM_FECHA_T[fecha],0)),0)</f>
        <v>32</v>
      </c>
      <c r="D24" t="s">
        <v>16</v>
      </c>
      <c r="E24">
        <f>INDEX([1]!DIM_TIPO[tipo_key],MATCH($D24,[1]!DIM_TIPO[tipo_codigo],0))</f>
        <v>2</v>
      </c>
      <c r="F24" t="s">
        <v>31</v>
      </c>
      <c r="G24">
        <f>IFERROR(INDEX([1]!DIM_PREST[prestamo_key],MATCH($F24,[1]!DIM_PREST[id_natural],0)),0)</f>
        <v>9</v>
      </c>
      <c r="I24">
        <f>IFERROR(INDEX([1]!DIM_INV[inversion_key],MATCH($H24,[1]!DIM_INV[id_natural],0)),0)</f>
        <v>0</v>
      </c>
      <c r="K24">
        <f>IFERROR(INDEX([1]!DIM_CAT[categoria_key],MATCH($J24,[1]!DIM_CAT[categoria],0)),0)</f>
        <v>0</v>
      </c>
      <c r="L24">
        <f>IF($G24&gt;0,INDEX([1]!DIM_PREST[persona_key],MATCH($G24,[1]!DIM_PREST[prestamo_key],0)),IF($I24&gt;0,INDEX([1]!DIM_INV[persona_key],MATCH($I24,[1]!DIM_INV[inversion_key],0)),0))</f>
        <v>9</v>
      </c>
      <c r="M24" s="3">
        <v>1000</v>
      </c>
      <c r="N24" t="s">
        <v>18</v>
      </c>
      <c r="O24" s="4">
        <f>$M24*INDEX([1]!DIM_TIPO[signo_caja],MATCH($E24,[1]!DIM_TIPO[tipo_key],0))*IF($N24="SI",1,0)</f>
        <v>-1000</v>
      </c>
    </row>
    <row r="25" spans="1:16" x14ac:dyDescent="0.25">
      <c r="A25">
        <v>24</v>
      </c>
      <c r="B25" s="2">
        <v>46037</v>
      </c>
      <c r="C25">
        <f>IFERROR(INDEX([1]!DIM_FECHA_T[fecha_key],MATCH($B25,[1]!DIM_FECHA_T[fecha],0)),0)</f>
        <v>46</v>
      </c>
      <c r="D25" t="s">
        <v>25</v>
      </c>
      <c r="E25">
        <f>INDEX([1]!DIM_TIPO[tipo_key],MATCH($D25,[1]!DIM_TIPO[tipo_codigo],0))</f>
        <v>5</v>
      </c>
      <c r="F25" t="s">
        <v>31</v>
      </c>
      <c r="G25">
        <f>IFERROR(INDEX([1]!DIM_PREST[prestamo_key],MATCH($F25,[1]!DIM_PREST[id_natural],0)),0)</f>
        <v>9</v>
      </c>
      <c r="I25">
        <f>IFERROR(INDEX([1]!DIM_INV[inversion_key],MATCH($H25,[1]!DIM_INV[id_natural],0)),0)</f>
        <v>0</v>
      </c>
      <c r="K25">
        <f>IFERROR(INDEX([1]!DIM_CAT[categoria_key],MATCH($J25,[1]!DIM_CAT[categoria],0)),0)</f>
        <v>0</v>
      </c>
      <c r="L25">
        <f>IF($G25&gt;0,INDEX([1]!DIM_PREST[persona_key],MATCH($G25,[1]!DIM_PREST[prestamo_key],0)),IF($I25&gt;0,INDEX([1]!DIM_INV[persona_key],MATCH($I25,[1]!DIM_INV[inversion_key],0)),0))</f>
        <v>9</v>
      </c>
      <c r="M25" s="3">
        <v>45</v>
      </c>
      <c r="N25" t="s">
        <v>18</v>
      </c>
      <c r="O25" s="4">
        <f>$M25*INDEX([1]!DIM_TIPO[signo_caja],MATCH($E25,[1]!DIM_TIPO[tipo_key],0))*IF($N25="SI",1,0)</f>
        <v>0</v>
      </c>
      <c r="P25" t="s">
        <v>26</v>
      </c>
    </row>
    <row r="26" spans="1:16" x14ac:dyDescent="0.25">
      <c r="A26">
        <v>25</v>
      </c>
      <c r="B26" s="2">
        <v>46023</v>
      </c>
      <c r="C26">
        <f>IFERROR(INDEX([1]!DIM_FECHA_T[fecha_key],MATCH($B26,[1]!DIM_FECHA_T[fecha],0)),0)</f>
        <v>32</v>
      </c>
      <c r="D26" t="s">
        <v>16</v>
      </c>
      <c r="E26">
        <f>INDEX([1]!DIM_TIPO[tipo_key],MATCH($D26,[1]!DIM_TIPO[tipo_codigo],0))</f>
        <v>2</v>
      </c>
      <c r="F26" t="s">
        <v>32</v>
      </c>
      <c r="G26">
        <f>IFERROR(INDEX([1]!DIM_PREST[prestamo_key],MATCH($F26,[1]!DIM_PREST[id_natural],0)),0)</f>
        <v>10</v>
      </c>
      <c r="I26">
        <f>IFERROR(INDEX([1]!DIM_INV[inversion_key],MATCH($H26,[1]!DIM_INV[id_natural],0)),0)</f>
        <v>0</v>
      </c>
      <c r="K26">
        <f>IFERROR(INDEX([1]!DIM_CAT[categoria_key],MATCH($J26,[1]!DIM_CAT[categoria],0)),0)</f>
        <v>0</v>
      </c>
      <c r="L26">
        <f>IF($G26&gt;0,INDEX([1]!DIM_PREST[persona_key],MATCH($G26,[1]!DIM_PREST[prestamo_key],0)),IF($I26&gt;0,INDEX([1]!DIM_INV[persona_key],MATCH($I26,[1]!DIM_INV[inversion_key],0)),0))</f>
        <v>10</v>
      </c>
      <c r="M26" s="3">
        <v>1500</v>
      </c>
      <c r="N26" t="s">
        <v>18</v>
      </c>
      <c r="O26" s="4">
        <f>$M26*INDEX([1]!DIM_TIPO[signo_caja],MATCH($E26,[1]!DIM_TIPO[tipo_key],0))*IF($N26="SI",1,0)</f>
        <v>-1500</v>
      </c>
    </row>
    <row r="27" spans="1:16" x14ac:dyDescent="0.25">
      <c r="A27">
        <v>26</v>
      </c>
      <c r="B27" s="2">
        <v>46037</v>
      </c>
      <c r="C27">
        <f>IFERROR(INDEX([1]!DIM_FECHA_T[fecha_key],MATCH($B27,[1]!DIM_FECHA_T[fecha],0)),0)</f>
        <v>46</v>
      </c>
      <c r="D27" t="s">
        <v>19</v>
      </c>
      <c r="E27">
        <f>INDEX([1]!DIM_TIPO[tipo_key],MATCH($D27,[1]!DIM_TIPO[tipo_codigo],0))</f>
        <v>3</v>
      </c>
      <c r="F27" t="s">
        <v>32</v>
      </c>
      <c r="G27">
        <f>IFERROR(INDEX([1]!DIM_PREST[prestamo_key],MATCH($F27,[1]!DIM_PREST[id_natural],0)),0)</f>
        <v>10</v>
      </c>
      <c r="I27">
        <f>IFERROR(INDEX([1]!DIM_INV[inversion_key],MATCH($H27,[1]!DIM_INV[id_natural],0)),0)</f>
        <v>0</v>
      </c>
      <c r="K27">
        <f>IFERROR(INDEX([1]!DIM_CAT[categoria_key],MATCH($J27,[1]!DIM_CAT[categoria],0)),0)</f>
        <v>0</v>
      </c>
      <c r="L27">
        <f>IF($G27&gt;0,INDEX([1]!DIM_PREST[persona_key],MATCH($G27,[1]!DIM_PREST[prestamo_key],0)),IF($I27&gt;0,INDEX([1]!DIM_INV[persona_key],MATCH($I27,[1]!DIM_INV[inversion_key],0)),0))</f>
        <v>10</v>
      </c>
      <c r="M27" s="3">
        <v>1500</v>
      </c>
      <c r="N27" t="s">
        <v>18</v>
      </c>
      <c r="O27" s="4">
        <f>$M27*INDEX([1]!DIM_TIPO[signo_caja],MATCH($E27,[1]!DIM_TIPO[tipo_key],0))*IF($N27="SI",1,0)</f>
        <v>1500</v>
      </c>
      <c r="P27" t="s">
        <v>33</v>
      </c>
    </row>
    <row r="28" spans="1:16" x14ac:dyDescent="0.25">
      <c r="A28">
        <v>27</v>
      </c>
      <c r="B28" s="2">
        <v>46037</v>
      </c>
      <c r="C28">
        <f>IFERROR(INDEX([1]!DIM_FECHA_T[fecha_key],MATCH($B28,[1]!DIM_FECHA_T[fecha],0)),0)</f>
        <v>46</v>
      </c>
      <c r="D28" t="s">
        <v>20</v>
      </c>
      <c r="E28">
        <f>INDEX([1]!DIM_TIPO[tipo_key],MATCH($D28,[1]!DIM_TIPO[tipo_codigo],0))</f>
        <v>4</v>
      </c>
      <c r="F28" t="s">
        <v>32</v>
      </c>
      <c r="G28">
        <f>IFERROR(INDEX([1]!DIM_PREST[prestamo_key],MATCH($F28,[1]!DIM_PREST[id_natural],0)),0)</f>
        <v>10</v>
      </c>
      <c r="I28">
        <f>IFERROR(INDEX([1]!DIM_INV[inversion_key],MATCH($H28,[1]!DIM_INV[id_natural],0)),0)</f>
        <v>0</v>
      </c>
      <c r="K28">
        <f>IFERROR(INDEX([1]!DIM_CAT[categoria_key],MATCH($J28,[1]!DIM_CAT[categoria],0)),0)</f>
        <v>0</v>
      </c>
      <c r="L28">
        <f>IF($G28&gt;0,INDEX([1]!DIM_PREST[persona_key],MATCH($G28,[1]!DIM_PREST[prestamo_key],0)),IF($I28&gt;0,INDEX([1]!DIM_INV[persona_key],MATCH($I28,[1]!DIM_INV[inversion_key],0)),0))</f>
        <v>10</v>
      </c>
      <c r="M28" s="3">
        <v>75</v>
      </c>
      <c r="N28" t="s">
        <v>18</v>
      </c>
      <c r="O28" s="4">
        <f>$M28*INDEX([1]!DIM_TIPO[signo_caja],MATCH($E28,[1]!DIM_TIPO[tipo_key],0))*IF($N28="SI",1,0)</f>
        <v>75</v>
      </c>
    </row>
    <row r="29" spans="1:16" x14ac:dyDescent="0.25">
      <c r="A29">
        <v>28</v>
      </c>
      <c r="B29" s="2">
        <v>46037</v>
      </c>
      <c r="C29">
        <f>IFERROR(INDEX([1]!DIM_FECHA_T[fecha_key],MATCH($B29,[1]!DIM_FECHA_T[fecha],0)),0)</f>
        <v>46</v>
      </c>
      <c r="D29" t="s">
        <v>16</v>
      </c>
      <c r="E29">
        <f>INDEX([1]!DIM_TIPO[tipo_key],MATCH($D29,[1]!DIM_TIPO[tipo_codigo],0))</f>
        <v>2</v>
      </c>
      <c r="F29" t="s">
        <v>34</v>
      </c>
      <c r="G29">
        <f>IFERROR(INDEX([1]!DIM_PREST[prestamo_key],MATCH($F29,[1]!DIM_PREST[id_natural],0)),0)</f>
        <v>11</v>
      </c>
      <c r="I29">
        <f>IFERROR(INDEX([1]!DIM_INV[inversion_key],MATCH($H29,[1]!DIM_INV[id_natural],0)),0)</f>
        <v>0</v>
      </c>
      <c r="K29">
        <f>IFERROR(INDEX([1]!DIM_CAT[categoria_key],MATCH($J29,[1]!DIM_CAT[categoria],0)),0)</f>
        <v>0</v>
      </c>
      <c r="L29">
        <f>IF($G29&gt;0,INDEX([1]!DIM_PREST[persona_key],MATCH($G29,[1]!DIM_PREST[prestamo_key],0)),IF($I29&gt;0,INDEX([1]!DIM_INV[persona_key],MATCH($I29,[1]!DIM_INV[inversion_key],0)),0))</f>
        <v>11</v>
      </c>
      <c r="M29" s="3">
        <v>500</v>
      </c>
      <c r="N29" t="s">
        <v>18</v>
      </c>
      <c r="O29" s="4">
        <f>$M29*INDEX([1]!DIM_TIPO[signo_caja],MATCH($E29,[1]!DIM_TIPO[tipo_key],0))*IF($N29="SI",1,0)</f>
        <v>-500</v>
      </c>
    </row>
    <row r="30" spans="1:16" x14ac:dyDescent="0.25">
      <c r="A30">
        <v>29</v>
      </c>
      <c r="B30" s="2">
        <v>46037</v>
      </c>
      <c r="C30">
        <f>IFERROR(INDEX([1]!DIM_FECHA_T[fecha_key],MATCH($B30,[1]!DIM_FECHA_T[fecha],0)),0)</f>
        <v>46</v>
      </c>
      <c r="D30" t="s">
        <v>16</v>
      </c>
      <c r="E30">
        <f>INDEX([1]!DIM_TIPO[tipo_key],MATCH($D30,[1]!DIM_TIPO[tipo_codigo],0))</f>
        <v>2</v>
      </c>
      <c r="F30" t="s">
        <v>35</v>
      </c>
      <c r="G30">
        <f>IFERROR(INDEX([1]!DIM_PREST[prestamo_key],MATCH($F30,[1]!DIM_PREST[id_natural],0)),0)</f>
        <v>12</v>
      </c>
      <c r="I30">
        <f>IFERROR(INDEX([1]!DIM_INV[inversion_key],MATCH($H30,[1]!DIM_INV[id_natural],0)),0)</f>
        <v>0</v>
      </c>
      <c r="K30">
        <f>IFERROR(INDEX([1]!DIM_CAT[categoria_key],MATCH($J30,[1]!DIM_CAT[categoria],0)),0)</f>
        <v>0</v>
      </c>
      <c r="L30">
        <f>IF($G30&gt;0,INDEX([1]!DIM_PREST[persona_key],MATCH($G30,[1]!DIM_PREST[prestamo_key],0)),IF($I30&gt;0,INDEX([1]!DIM_INV[persona_key],MATCH($I30,[1]!DIM_INV[inversion_key],0)),0))</f>
        <v>12</v>
      </c>
      <c r="M30" s="3">
        <v>700</v>
      </c>
      <c r="N30" t="s">
        <v>18</v>
      </c>
      <c r="O30" s="4">
        <f>$M30*INDEX([1]!DIM_TIPO[signo_caja],MATCH($E30,[1]!DIM_TIPO[tipo_key],0))*IF($N30="SI",1,0)</f>
        <v>-700</v>
      </c>
    </row>
    <row r="31" spans="1:16" x14ac:dyDescent="0.25">
      <c r="A31">
        <v>30</v>
      </c>
      <c r="B31" s="2">
        <v>46052</v>
      </c>
      <c r="C31">
        <f>IFERROR(INDEX([1]!DIM_FECHA_T[fecha_key],MATCH($B31,[1]!DIM_FECHA_T[fecha],0)),0)</f>
        <v>61</v>
      </c>
      <c r="D31" t="s">
        <v>19</v>
      </c>
      <c r="E31">
        <f>INDEX([1]!DIM_TIPO[tipo_key],MATCH($D31,[1]!DIM_TIPO[tipo_codigo],0))</f>
        <v>3</v>
      </c>
      <c r="F31" t="s">
        <v>35</v>
      </c>
      <c r="G31">
        <f>IFERROR(INDEX([1]!DIM_PREST[prestamo_key],MATCH($F31,[1]!DIM_PREST[id_natural],0)),0)</f>
        <v>12</v>
      </c>
      <c r="I31">
        <f>IFERROR(INDEX([1]!DIM_INV[inversion_key],MATCH($H31,[1]!DIM_INV[id_natural],0)),0)</f>
        <v>0</v>
      </c>
      <c r="K31">
        <f>IFERROR(INDEX([1]!DIM_CAT[categoria_key],MATCH($J31,[1]!DIM_CAT[categoria],0)),0)</f>
        <v>0</v>
      </c>
      <c r="L31">
        <f>IF($G31&gt;0,INDEX([1]!DIM_PREST[persona_key],MATCH($G31,[1]!DIM_PREST[prestamo_key],0)),IF($I31&gt;0,INDEX([1]!DIM_INV[persona_key],MATCH($I31,[1]!DIM_INV[inversion_key],0)),0))</f>
        <v>12</v>
      </c>
      <c r="M31" s="3">
        <v>300</v>
      </c>
      <c r="N31" t="s">
        <v>18</v>
      </c>
      <c r="O31" s="4">
        <f>$M31*INDEX([1]!DIM_TIPO[signo_caja],MATCH($E31,[1]!DIM_TIPO[tipo_key],0))*IF($N31="SI",1,0)</f>
        <v>300</v>
      </c>
    </row>
    <row r="32" spans="1:16" x14ac:dyDescent="0.25">
      <c r="A32">
        <v>31</v>
      </c>
      <c r="B32" s="2">
        <v>46023</v>
      </c>
      <c r="C32">
        <f>IFERROR(INDEX([1]!DIM_FECHA_T[fecha_key],MATCH($B32,[1]!DIM_FECHA_T[fecha],0)),0)</f>
        <v>32</v>
      </c>
      <c r="D32" t="s">
        <v>16</v>
      </c>
      <c r="E32">
        <f>INDEX([1]!DIM_TIPO[tipo_key],MATCH($D32,[1]!DIM_TIPO[tipo_codigo],0))</f>
        <v>2</v>
      </c>
      <c r="F32" t="s">
        <v>36</v>
      </c>
      <c r="G32">
        <f>IFERROR(INDEX([1]!DIM_PREST[prestamo_key],MATCH($F32,[1]!DIM_PREST[id_natural],0)),0)</f>
        <v>13</v>
      </c>
      <c r="I32">
        <f>IFERROR(INDEX([1]!DIM_INV[inversion_key],MATCH($H32,[1]!DIM_INV[id_natural],0)),0)</f>
        <v>0</v>
      </c>
      <c r="K32">
        <f>IFERROR(INDEX([1]!DIM_CAT[categoria_key],MATCH($J32,[1]!DIM_CAT[categoria],0)),0)</f>
        <v>0</v>
      </c>
      <c r="L32">
        <f>IF($G32&gt;0,INDEX([1]!DIM_PREST[persona_key],MATCH($G32,[1]!DIM_PREST[prestamo_key],0)),IF($I32&gt;0,INDEX([1]!DIM_INV[persona_key],MATCH($I32,[1]!DIM_INV[inversion_key],0)),0))</f>
        <v>13</v>
      </c>
      <c r="M32" s="3">
        <v>2000</v>
      </c>
      <c r="N32" t="s">
        <v>18</v>
      </c>
      <c r="O32" s="4">
        <f>$M32*INDEX([1]!DIM_TIPO[signo_caja],MATCH($E32,[1]!DIM_TIPO[tipo_key],0))*IF($N32="SI",1,0)</f>
        <v>-2000</v>
      </c>
    </row>
    <row r="33" spans="1:16" x14ac:dyDescent="0.25">
      <c r="A33">
        <v>32</v>
      </c>
      <c r="B33" s="2">
        <v>46037</v>
      </c>
      <c r="C33">
        <f>IFERROR(INDEX([1]!DIM_FECHA_T[fecha_key],MATCH($B33,[1]!DIM_FECHA_T[fecha],0)),0)</f>
        <v>46</v>
      </c>
      <c r="D33" t="s">
        <v>19</v>
      </c>
      <c r="E33">
        <f>INDEX([1]!DIM_TIPO[tipo_key],MATCH($D33,[1]!DIM_TIPO[tipo_codigo],0))</f>
        <v>3</v>
      </c>
      <c r="F33" t="s">
        <v>36</v>
      </c>
      <c r="G33">
        <f>IFERROR(INDEX([1]!DIM_PREST[prestamo_key],MATCH($F33,[1]!DIM_PREST[id_natural],0)),0)</f>
        <v>13</v>
      </c>
      <c r="I33">
        <f>IFERROR(INDEX([1]!DIM_INV[inversion_key],MATCH($H33,[1]!DIM_INV[id_natural],0)),0)</f>
        <v>0</v>
      </c>
      <c r="K33">
        <f>IFERROR(INDEX([1]!DIM_CAT[categoria_key],MATCH($J33,[1]!DIM_CAT[categoria],0)),0)</f>
        <v>0</v>
      </c>
      <c r="L33">
        <f>IF($G33&gt;0,INDEX([1]!DIM_PREST[persona_key],MATCH($G33,[1]!DIM_PREST[prestamo_key],0)),IF($I33&gt;0,INDEX([1]!DIM_INV[persona_key],MATCH($I33,[1]!DIM_INV[inversion_key],0)),0))</f>
        <v>13</v>
      </c>
      <c r="M33" s="3">
        <v>100</v>
      </c>
      <c r="N33" t="s">
        <v>18</v>
      </c>
      <c r="O33" s="4">
        <f>$M33*INDEX([1]!DIM_TIPO[signo_caja],MATCH($E33,[1]!DIM_TIPO[tipo_key],0))*IF($N33="SI",1,0)</f>
        <v>100</v>
      </c>
    </row>
    <row r="34" spans="1:16" x14ac:dyDescent="0.25">
      <c r="A34">
        <v>33</v>
      </c>
      <c r="B34" s="2">
        <v>46023</v>
      </c>
      <c r="C34">
        <f>IFERROR(INDEX([1]!DIM_FECHA_T[fecha_key],MATCH($B34,[1]!DIM_FECHA_T[fecha],0)),0)</f>
        <v>32</v>
      </c>
      <c r="D34" t="s">
        <v>16</v>
      </c>
      <c r="E34">
        <f>INDEX([1]!DIM_TIPO[tipo_key],MATCH($D34,[1]!DIM_TIPO[tipo_codigo],0))</f>
        <v>2</v>
      </c>
      <c r="F34" t="s">
        <v>37</v>
      </c>
      <c r="G34">
        <f>IFERROR(INDEX([1]!DIM_PREST[prestamo_key],MATCH($F34,[1]!DIM_PREST[id_natural],0)),0)</f>
        <v>14</v>
      </c>
      <c r="I34">
        <f>IFERROR(INDEX([1]!DIM_INV[inversion_key],MATCH($H34,[1]!DIM_INV[id_natural],0)),0)</f>
        <v>0</v>
      </c>
      <c r="K34">
        <f>IFERROR(INDEX([1]!DIM_CAT[categoria_key],MATCH($J34,[1]!DIM_CAT[categoria],0)),0)</f>
        <v>0</v>
      </c>
      <c r="L34">
        <f>IF($G34&gt;0,INDEX([1]!DIM_PREST[persona_key],MATCH($G34,[1]!DIM_PREST[prestamo_key],0)),IF($I34&gt;0,INDEX([1]!DIM_INV[persona_key],MATCH($I34,[1]!DIM_INV[inversion_key],0)),0))</f>
        <v>14</v>
      </c>
      <c r="M34" s="3">
        <v>3000</v>
      </c>
      <c r="N34" t="s">
        <v>18</v>
      </c>
      <c r="O34" s="4">
        <f>$M34*INDEX([1]!DIM_TIPO[signo_caja],MATCH($E34,[1]!DIM_TIPO[tipo_key],0))*IF($N34="SI",1,0)</f>
        <v>-3000</v>
      </c>
    </row>
    <row r="35" spans="1:16" x14ac:dyDescent="0.25">
      <c r="A35">
        <v>34</v>
      </c>
      <c r="B35" s="2">
        <v>46051</v>
      </c>
      <c r="C35">
        <f>IFERROR(INDEX([1]!DIM_FECHA_T[fecha_key],MATCH($B35,[1]!DIM_FECHA_T[fecha],0)),0)</f>
        <v>60</v>
      </c>
      <c r="D35" t="s">
        <v>19</v>
      </c>
      <c r="E35">
        <f>INDEX([1]!DIM_TIPO[tipo_key],MATCH($D35,[1]!DIM_TIPO[tipo_codigo],0))</f>
        <v>3</v>
      </c>
      <c r="F35" t="s">
        <v>37</v>
      </c>
      <c r="G35">
        <f>IFERROR(INDEX([1]!DIM_PREST[prestamo_key],MATCH($F35,[1]!DIM_PREST[id_natural],0)),0)</f>
        <v>14</v>
      </c>
      <c r="I35">
        <f>IFERROR(INDEX([1]!DIM_INV[inversion_key],MATCH($H35,[1]!DIM_INV[id_natural],0)),0)</f>
        <v>0</v>
      </c>
      <c r="K35">
        <f>IFERROR(INDEX([1]!DIM_CAT[categoria_key],MATCH($J35,[1]!DIM_CAT[categoria],0)),0)</f>
        <v>0</v>
      </c>
      <c r="L35">
        <f>IF($G35&gt;0,INDEX([1]!DIM_PREST[persona_key],MATCH($G35,[1]!DIM_PREST[prestamo_key],0)),IF($I35&gt;0,INDEX([1]!DIM_INV[persona_key],MATCH($I35,[1]!DIM_INV[inversion_key],0)),0))</f>
        <v>14</v>
      </c>
      <c r="M35" s="3">
        <v>200</v>
      </c>
      <c r="N35" t="s">
        <v>18</v>
      </c>
      <c r="O35" s="4">
        <f>$M35*INDEX([1]!DIM_TIPO[signo_caja],MATCH($E35,[1]!DIM_TIPO[tipo_key],0))*IF($N35="SI",1,0)</f>
        <v>200</v>
      </c>
    </row>
    <row r="36" spans="1:16" x14ac:dyDescent="0.25">
      <c r="A36">
        <v>35</v>
      </c>
      <c r="B36" s="2">
        <v>46126</v>
      </c>
      <c r="C36">
        <f>IFERROR(INDEX([1]!DIM_FECHA_T[fecha_key],MATCH($B36,[1]!DIM_FECHA_T[fecha],0)),0)</f>
        <v>135</v>
      </c>
      <c r="D36" t="s">
        <v>19</v>
      </c>
      <c r="E36">
        <f>INDEX([1]!DIM_TIPO[tipo_key],MATCH($D36,[1]!DIM_TIPO[tipo_codigo],0))</f>
        <v>3</v>
      </c>
      <c r="F36" t="s">
        <v>37</v>
      </c>
      <c r="G36">
        <f>IFERROR(INDEX([1]!DIM_PREST[prestamo_key],MATCH($F36,[1]!DIM_PREST[id_natural],0)),0)</f>
        <v>14</v>
      </c>
      <c r="I36">
        <f>IFERROR(INDEX([1]!DIM_INV[inversion_key],MATCH($H36,[1]!DIM_INV[id_natural],0)),0)</f>
        <v>0</v>
      </c>
      <c r="K36">
        <f>IFERROR(INDEX([1]!DIM_CAT[categoria_key],MATCH($J36,[1]!DIM_CAT[categoria],0)),0)</f>
        <v>0</v>
      </c>
      <c r="L36">
        <f>IF($G36&gt;0,INDEX([1]!DIM_PREST[persona_key],MATCH($G36,[1]!DIM_PREST[prestamo_key],0)),IF($I36&gt;0,INDEX([1]!DIM_INV[persona_key],MATCH($I36,[1]!DIM_INV[inversion_key],0)),0))</f>
        <v>14</v>
      </c>
      <c r="M36" s="3">
        <v>200</v>
      </c>
      <c r="N36" t="s">
        <v>18</v>
      </c>
      <c r="O36" s="4">
        <f>$M36*INDEX([1]!DIM_TIPO[signo_caja],MATCH($E36,[1]!DIM_TIPO[tipo_key],0))*IF($N36="SI",1,0)</f>
        <v>200</v>
      </c>
    </row>
    <row r="37" spans="1:16" x14ac:dyDescent="0.25">
      <c r="A37">
        <v>36</v>
      </c>
      <c r="B37" s="2">
        <v>46141</v>
      </c>
      <c r="C37">
        <f>IFERROR(INDEX([1]!DIM_FECHA_T[fecha_key],MATCH($B37,[1]!DIM_FECHA_T[fecha],0)),0)</f>
        <v>150</v>
      </c>
      <c r="D37" t="s">
        <v>19</v>
      </c>
      <c r="E37">
        <f>INDEX([1]!DIM_TIPO[tipo_key],MATCH($D37,[1]!DIM_TIPO[tipo_codigo],0))</f>
        <v>3</v>
      </c>
      <c r="F37" t="s">
        <v>37</v>
      </c>
      <c r="G37">
        <f>IFERROR(INDEX([1]!DIM_PREST[prestamo_key],MATCH($F37,[1]!DIM_PREST[id_natural],0)),0)</f>
        <v>14</v>
      </c>
      <c r="I37">
        <f>IFERROR(INDEX([1]!DIM_INV[inversion_key],MATCH($H37,[1]!DIM_INV[id_natural],0)),0)</f>
        <v>0</v>
      </c>
      <c r="K37">
        <f>IFERROR(INDEX([1]!DIM_CAT[categoria_key],MATCH($J37,[1]!DIM_CAT[categoria],0)),0)</f>
        <v>0</v>
      </c>
      <c r="L37">
        <f>IF($G37&gt;0,INDEX([1]!DIM_PREST[persona_key],MATCH($G37,[1]!DIM_PREST[prestamo_key],0)),IF($I37&gt;0,INDEX([1]!DIM_INV[persona_key],MATCH($I37,[1]!DIM_INV[inversion_key],0)),0))</f>
        <v>14</v>
      </c>
      <c r="M37" s="3">
        <v>200</v>
      </c>
      <c r="N37" t="s">
        <v>18</v>
      </c>
      <c r="O37" s="4">
        <f>$M37*INDEX([1]!DIM_TIPO[signo_caja],MATCH($E37,[1]!DIM_TIPO[tipo_key],0))*IF($N37="SI",1,0)</f>
        <v>200</v>
      </c>
    </row>
    <row r="38" spans="1:16" x14ac:dyDescent="0.25">
      <c r="A38">
        <v>37</v>
      </c>
      <c r="B38" s="2">
        <v>46185</v>
      </c>
      <c r="C38">
        <f>IFERROR(INDEX([1]!DIM_FECHA_T[fecha_key],MATCH($B38,[1]!DIM_FECHA_T[fecha],0)),0)</f>
        <v>194</v>
      </c>
      <c r="D38" t="s">
        <v>19</v>
      </c>
      <c r="E38">
        <f>INDEX([1]!DIM_TIPO[tipo_key],MATCH($D38,[1]!DIM_TIPO[tipo_codigo],0))</f>
        <v>3</v>
      </c>
      <c r="F38" t="s">
        <v>37</v>
      </c>
      <c r="G38">
        <f>IFERROR(INDEX([1]!DIM_PREST[prestamo_key],MATCH($F38,[1]!DIM_PREST[id_natural],0)),0)</f>
        <v>14</v>
      </c>
      <c r="I38">
        <f>IFERROR(INDEX([1]!DIM_INV[inversion_key],MATCH($H38,[1]!DIM_INV[id_natural],0)),0)</f>
        <v>0</v>
      </c>
      <c r="K38">
        <f>IFERROR(INDEX([1]!DIM_CAT[categoria_key],MATCH($J38,[1]!DIM_CAT[categoria],0)),0)</f>
        <v>0</v>
      </c>
      <c r="L38">
        <f>IF($G38&gt;0,INDEX([1]!DIM_PREST[persona_key],MATCH($G38,[1]!DIM_PREST[prestamo_key],0)),IF($I38&gt;0,INDEX([1]!DIM_INV[persona_key],MATCH($I38,[1]!DIM_INV[inversion_key],0)),0))</f>
        <v>14</v>
      </c>
      <c r="M38" s="3">
        <v>200</v>
      </c>
      <c r="N38" t="s">
        <v>18</v>
      </c>
      <c r="O38" s="4">
        <f>$M38*INDEX([1]!DIM_TIPO[signo_caja],MATCH($E38,[1]!DIM_TIPO[tipo_key],0))*IF($N38="SI",1,0)</f>
        <v>200</v>
      </c>
    </row>
    <row r="39" spans="1:16" x14ac:dyDescent="0.25">
      <c r="A39">
        <v>38</v>
      </c>
      <c r="B39" s="2">
        <v>46217</v>
      </c>
      <c r="C39">
        <f>IFERROR(INDEX([1]!DIM_FECHA_T[fecha_key],MATCH($B39,[1]!DIM_FECHA_T[fecha],0)),0)</f>
        <v>226</v>
      </c>
      <c r="D39" t="s">
        <v>19</v>
      </c>
      <c r="E39">
        <f>INDEX([1]!DIM_TIPO[tipo_key],MATCH($D39,[1]!DIM_TIPO[tipo_codigo],0))</f>
        <v>3</v>
      </c>
      <c r="F39" t="s">
        <v>37</v>
      </c>
      <c r="G39">
        <f>IFERROR(INDEX([1]!DIM_PREST[prestamo_key],MATCH($F39,[1]!DIM_PREST[id_natural],0)),0)</f>
        <v>14</v>
      </c>
      <c r="I39">
        <f>IFERROR(INDEX([1]!DIM_INV[inversion_key],MATCH($H39,[1]!DIM_INV[id_natural],0)),0)</f>
        <v>0</v>
      </c>
      <c r="K39">
        <f>IFERROR(INDEX([1]!DIM_CAT[categoria_key],MATCH($J39,[1]!DIM_CAT[categoria],0)),0)</f>
        <v>0</v>
      </c>
      <c r="L39">
        <f>IF($G39&gt;0,INDEX([1]!DIM_PREST[persona_key],MATCH($G39,[1]!DIM_PREST[prestamo_key],0)),IF($I39&gt;0,INDEX([1]!DIM_INV[persona_key],MATCH($I39,[1]!DIM_INV[inversion_key],0)),0))</f>
        <v>14</v>
      </c>
      <c r="M39" s="3">
        <v>200</v>
      </c>
      <c r="N39" t="s">
        <v>18</v>
      </c>
      <c r="O39" s="4">
        <f>$M39*INDEX([1]!DIM_TIPO[signo_caja],MATCH($E39,[1]!DIM_TIPO[tipo_key],0))*IF($N39="SI",1,0)</f>
        <v>200</v>
      </c>
    </row>
    <row r="40" spans="1:16" x14ac:dyDescent="0.25">
      <c r="A40">
        <v>39</v>
      </c>
      <c r="B40" s="2">
        <v>46023</v>
      </c>
      <c r="C40">
        <f>IFERROR(INDEX([1]!DIM_FECHA_T[fecha_key],MATCH($B40,[1]!DIM_FECHA_T[fecha],0)),0)</f>
        <v>32</v>
      </c>
      <c r="D40" t="s">
        <v>16</v>
      </c>
      <c r="E40">
        <f>INDEX([1]!DIM_TIPO[tipo_key],MATCH($D40,[1]!DIM_TIPO[tipo_codigo],0))</f>
        <v>2</v>
      </c>
      <c r="F40" t="s">
        <v>38</v>
      </c>
      <c r="G40">
        <f>IFERROR(INDEX([1]!DIM_PREST[prestamo_key],MATCH($F40,[1]!DIM_PREST[id_natural],0)),0)</f>
        <v>15</v>
      </c>
      <c r="I40">
        <f>IFERROR(INDEX([1]!DIM_INV[inversion_key],MATCH($H40,[1]!DIM_INV[id_natural],0)),0)</f>
        <v>0</v>
      </c>
      <c r="K40">
        <f>IFERROR(INDEX([1]!DIM_CAT[categoria_key],MATCH($J40,[1]!DIM_CAT[categoria],0)),0)</f>
        <v>0</v>
      </c>
      <c r="L40">
        <f>IF($G40&gt;0,INDEX([1]!DIM_PREST[persona_key],MATCH($G40,[1]!DIM_PREST[prestamo_key],0)),IF($I40&gt;0,INDEX([1]!DIM_INV[persona_key],MATCH($I40,[1]!DIM_INV[inversion_key],0)),0))</f>
        <v>15</v>
      </c>
      <c r="M40" s="3">
        <v>500</v>
      </c>
      <c r="N40" t="s">
        <v>18</v>
      </c>
      <c r="O40" s="4">
        <f>$M40*INDEX([1]!DIM_TIPO[signo_caja],MATCH($E40,[1]!DIM_TIPO[tipo_key],0))*IF($N40="SI",1,0)</f>
        <v>-500</v>
      </c>
    </row>
    <row r="41" spans="1:16" x14ac:dyDescent="0.25">
      <c r="A41">
        <v>40</v>
      </c>
      <c r="B41" s="2">
        <v>46023</v>
      </c>
      <c r="C41">
        <f>IFERROR(INDEX([1]!DIM_FECHA_T[fecha_key],MATCH($B41,[1]!DIM_FECHA_T[fecha],0)),0)</f>
        <v>32</v>
      </c>
      <c r="D41" t="s">
        <v>16</v>
      </c>
      <c r="E41">
        <f>INDEX([1]!DIM_TIPO[tipo_key],MATCH($D41,[1]!DIM_TIPO[tipo_codigo],0))</f>
        <v>2</v>
      </c>
      <c r="F41" t="s">
        <v>39</v>
      </c>
      <c r="G41">
        <f>IFERROR(INDEX([1]!DIM_PREST[prestamo_key],MATCH($F41,[1]!DIM_PREST[id_natural],0)),0)</f>
        <v>16</v>
      </c>
      <c r="I41">
        <f>IFERROR(INDEX([1]!DIM_INV[inversion_key],MATCH($H41,[1]!DIM_INV[id_natural],0)),0)</f>
        <v>0</v>
      </c>
      <c r="K41">
        <f>IFERROR(INDEX([1]!DIM_CAT[categoria_key],MATCH($J41,[1]!DIM_CAT[categoria],0)),0)</f>
        <v>0</v>
      </c>
      <c r="L41">
        <f>IF($G41&gt;0,INDEX([1]!DIM_PREST[persona_key],MATCH($G41,[1]!DIM_PREST[prestamo_key],0)),IF($I41&gt;0,INDEX([1]!DIM_INV[persona_key],MATCH($I41,[1]!DIM_INV[inversion_key],0)),0))</f>
        <v>16</v>
      </c>
      <c r="M41" s="3">
        <v>1000</v>
      </c>
      <c r="N41" t="s">
        <v>18</v>
      </c>
      <c r="O41" s="4">
        <f>$M41*INDEX([1]!DIM_TIPO[signo_caja],MATCH($E41,[1]!DIM_TIPO[tipo_key],0))*IF($N41="SI",1,0)</f>
        <v>-1000</v>
      </c>
    </row>
    <row r="42" spans="1:16" x14ac:dyDescent="0.25">
      <c r="A42">
        <v>41</v>
      </c>
      <c r="B42" s="2">
        <v>46022</v>
      </c>
      <c r="C42">
        <f>IFERROR(INDEX([1]!DIM_FECHA_T[fecha_key],MATCH($B42,[1]!DIM_FECHA_T[fecha],0)),0)</f>
        <v>31</v>
      </c>
      <c r="D42" t="s">
        <v>40</v>
      </c>
      <c r="E42">
        <f>INDEX([1]!DIM_TIPO[tipo_key],MATCH($D42,[1]!DIM_TIPO[tipo_codigo],0))</f>
        <v>1</v>
      </c>
      <c r="F42" t="s">
        <v>41</v>
      </c>
      <c r="G42">
        <f>IFERROR(INDEX([1]!DIM_PREST[prestamo_key],MATCH($F42,[1]!DIM_PREST[id_natural],0)),0)</f>
        <v>17</v>
      </c>
      <c r="I42">
        <f>IFERROR(INDEX([1]!DIM_INV[inversion_key],MATCH($H42,[1]!DIM_INV[id_natural],0)),0)</f>
        <v>0</v>
      </c>
      <c r="K42">
        <f>IFERROR(INDEX([1]!DIM_CAT[categoria_key],MATCH($J42,[1]!DIM_CAT[categoria],0)),0)</f>
        <v>0</v>
      </c>
      <c r="L42">
        <f>IF($G42&gt;0,INDEX([1]!DIM_PREST[persona_key],MATCH($G42,[1]!DIM_PREST[prestamo_key],0)),IF($I42&gt;0,INDEX([1]!DIM_INV[persona_key],MATCH($I42,[1]!DIM_INV[inversion_key],0)),0))</f>
        <v>17</v>
      </c>
      <c r="M42" s="3">
        <v>12640</v>
      </c>
      <c r="N42" t="s">
        <v>18</v>
      </c>
      <c r="O42" s="4">
        <f>$M42*INDEX([1]!DIM_TIPO[signo_caja],MATCH($E42,[1]!DIM_TIPO[tipo_key],0))*IF($N42="SI",1,0)</f>
        <v>0</v>
      </c>
      <c r="P42" t="s">
        <v>42</v>
      </c>
    </row>
    <row r="43" spans="1:16" x14ac:dyDescent="0.25">
      <c r="A43">
        <v>42</v>
      </c>
      <c r="B43" s="2">
        <v>46022</v>
      </c>
      <c r="C43">
        <f>IFERROR(INDEX([1]!DIM_FECHA_T[fecha_key],MATCH($B43,[1]!DIM_FECHA_T[fecha],0)),0)</f>
        <v>31</v>
      </c>
      <c r="D43" t="s">
        <v>40</v>
      </c>
      <c r="E43">
        <f>INDEX([1]!DIM_TIPO[tipo_key],MATCH($D43,[1]!DIM_TIPO[tipo_codigo],0))</f>
        <v>1</v>
      </c>
      <c r="F43" t="s">
        <v>43</v>
      </c>
      <c r="G43">
        <f>IFERROR(INDEX([1]!DIM_PREST[prestamo_key],MATCH($F43,[1]!DIM_PREST[id_natural],0)),0)</f>
        <v>18</v>
      </c>
      <c r="I43">
        <f>IFERROR(INDEX([1]!DIM_INV[inversion_key],MATCH($H43,[1]!DIM_INV[id_natural],0)),0)</f>
        <v>0</v>
      </c>
      <c r="K43">
        <f>IFERROR(INDEX([1]!DIM_CAT[categoria_key],MATCH($J43,[1]!DIM_CAT[categoria],0)),0)</f>
        <v>0</v>
      </c>
      <c r="L43">
        <f>IF($G43&gt;0,INDEX([1]!DIM_PREST[persona_key],MATCH($G43,[1]!DIM_PREST[prestamo_key],0)),IF($I43&gt;0,INDEX([1]!DIM_INV[persona_key],MATCH($I43,[1]!DIM_INV[inversion_key],0)),0))</f>
        <v>18</v>
      </c>
      <c r="M43" s="3">
        <v>7250</v>
      </c>
      <c r="N43" t="s">
        <v>18</v>
      </c>
      <c r="O43" s="4">
        <f>$M43*INDEX([1]!DIM_TIPO[signo_caja],MATCH($E43,[1]!DIM_TIPO[tipo_key],0))*IF($N43="SI",1,0)</f>
        <v>0</v>
      </c>
      <c r="P43" t="s">
        <v>44</v>
      </c>
    </row>
    <row r="44" spans="1:16" x14ac:dyDescent="0.25">
      <c r="A44">
        <v>43</v>
      </c>
      <c r="B44" s="2"/>
      <c r="C44">
        <f>IFERROR(INDEX([1]!DIM_FECHA_T[fecha_key],MATCH($B44,[1]!DIM_FECHA_T[fecha],0)),0)</f>
        <v>0</v>
      </c>
      <c r="D44" t="s">
        <v>19</v>
      </c>
      <c r="E44">
        <f>INDEX([1]!DIM_TIPO[tipo_key],MATCH($D44,[1]!DIM_TIPO[tipo_codigo],0))</f>
        <v>3</v>
      </c>
      <c r="F44" t="s">
        <v>43</v>
      </c>
      <c r="G44">
        <f>IFERROR(INDEX([1]!DIM_PREST[prestamo_key],MATCH($F44,[1]!DIM_PREST[id_natural],0)),0)</f>
        <v>18</v>
      </c>
      <c r="I44">
        <f>IFERROR(INDEX([1]!DIM_INV[inversion_key],MATCH($H44,[1]!DIM_INV[id_natural],0)),0)</f>
        <v>0</v>
      </c>
      <c r="K44">
        <f>IFERROR(INDEX([1]!DIM_CAT[categoria_key],MATCH($J44,[1]!DIM_CAT[categoria],0)),0)</f>
        <v>0</v>
      </c>
      <c r="L44">
        <f>IF($G44&gt;0,INDEX([1]!DIM_PREST[persona_key],MATCH($G44,[1]!DIM_PREST[prestamo_key],0)),IF($I44&gt;0,INDEX([1]!DIM_INV[persona_key],MATCH($I44,[1]!DIM_INV[inversion_key],0)),0))</f>
        <v>18</v>
      </c>
      <c r="M44" s="3">
        <v>500</v>
      </c>
      <c r="N44" t="s">
        <v>45</v>
      </c>
      <c r="O44" s="4">
        <f>$M44*INDEX([1]!DIM_TIPO[signo_caja],MATCH($E44,[1]!DIM_TIPO[tipo_key],0))*IF($N44="SI",1,0)</f>
        <v>0</v>
      </c>
      <c r="P44" t="s">
        <v>46</v>
      </c>
    </row>
    <row r="45" spans="1:16" x14ac:dyDescent="0.25">
      <c r="A45">
        <v>44</v>
      </c>
      <c r="B45" s="2">
        <v>46022</v>
      </c>
      <c r="C45">
        <f>IFERROR(INDEX([1]!DIM_FECHA_T[fecha_key],MATCH($B45,[1]!DIM_FECHA_T[fecha],0)),0)</f>
        <v>31</v>
      </c>
      <c r="D45" t="s">
        <v>40</v>
      </c>
      <c r="E45">
        <f>INDEX([1]!DIM_TIPO[tipo_key],MATCH($D45,[1]!DIM_TIPO[tipo_codigo],0))</f>
        <v>1</v>
      </c>
      <c r="F45" t="s">
        <v>47</v>
      </c>
      <c r="G45">
        <f>IFERROR(INDEX([1]!DIM_PREST[prestamo_key],MATCH($F45,[1]!DIM_PREST[id_natural],0)),0)</f>
        <v>19</v>
      </c>
      <c r="I45">
        <f>IFERROR(INDEX([1]!DIM_INV[inversion_key],MATCH($H45,[1]!DIM_INV[id_natural],0)),0)</f>
        <v>0</v>
      </c>
      <c r="K45">
        <f>IFERROR(INDEX([1]!DIM_CAT[categoria_key],MATCH($J45,[1]!DIM_CAT[categoria],0)),0)</f>
        <v>0</v>
      </c>
      <c r="L45">
        <f>IF($G45&gt;0,INDEX([1]!DIM_PREST[persona_key],MATCH($G45,[1]!DIM_PREST[prestamo_key],0)),IF($I45&gt;0,INDEX([1]!DIM_INV[persona_key],MATCH($I45,[1]!DIM_INV[inversion_key],0)),0))</f>
        <v>19</v>
      </c>
      <c r="M45" s="3">
        <v>12870</v>
      </c>
      <c r="N45" t="s">
        <v>18</v>
      </c>
      <c r="O45" s="4">
        <f>$M45*INDEX([1]!DIM_TIPO[signo_caja],MATCH($E45,[1]!DIM_TIPO[tipo_key],0))*IF($N45="SI",1,0)</f>
        <v>0</v>
      </c>
      <c r="P45" t="s">
        <v>48</v>
      </c>
    </row>
    <row r="46" spans="1:16" x14ac:dyDescent="0.25">
      <c r="A46">
        <v>45</v>
      </c>
      <c r="B46" s="2">
        <v>46023</v>
      </c>
      <c r="C46">
        <f>IFERROR(INDEX([1]!DIM_FECHA_T[fecha_key],MATCH($B46,[1]!DIM_FECHA_T[fecha],0)),0)</f>
        <v>32</v>
      </c>
      <c r="D46" t="s">
        <v>49</v>
      </c>
      <c r="E46">
        <f>INDEX([1]!DIM_TIPO[tipo_key],MATCH($D46,[1]!DIM_TIPO[tipo_codigo],0))</f>
        <v>6</v>
      </c>
      <c r="G46">
        <f>IFERROR(INDEX([1]!DIM_PREST[prestamo_key],MATCH($F46,[1]!DIM_PREST[id_natural],0)),0)</f>
        <v>0</v>
      </c>
      <c r="H46" t="s">
        <v>50</v>
      </c>
      <c r="I46">
        <f>IFERROR(INDEX([1]!DIM_INV[inversion_key],MATCH($H46,[1]!DIM_INV[id_natural],0)),0)</f>
        <v>1</v>
      </c>
      <c r="K46">
        <f>IFERROR(INDEX([1]!DIM_CAT[categoria_key],MATCH($J46,[1]!DIM_CAT[categoria],0)),0)</f>
        <v>0</v>
      </c>
      <c r="L46">
        <f>IF($G46&gt;0,INDEX([1]!DIM_PREST[persona_key],MATCH($G46,[1]!DIM_PREST[prestamo_key],0)),IF($I46&gt;0,INDEX([1]!DIM_INV[persona_key],MATCH($I46,[1]!DIM_INV[inversion_key],0)),0))</f>
        <v>20</v>
      </c>
      <c r="M46" s="3">
        <v>10000</v>
      </c>
      <c r="N46" t="s">
        <v>18</v>
      </c>
      <c r="O46" s="4">
        <f>$M46*INDEX([1]!DIM_TIPO[signo_caja],MATCH($E46,[1]!DIM_TIPO[tipo_key],0))*IF($N46="SI",1,0)</f>
        <v>10000</v>
      </c>
    </row>
    <row r="47" spans="1:16" x14ac:dyDescent="0.25">
      <c r="A47">
        <v>46</v>
      </c>
      <c r="B47" s="2">
        <v>46037</v>
      </c>
      <c r="C47">
        <f>IFERROR(INDEX([1]!DIM_FECHA_T[fecha_key],MATCH($B47,[1]!DIM_FECHA_T[fecha],0)),0)</f>
        <v>46</v>
      </c>
      <c r="D47" t="s">
        <v>51</v>
      </c>
      <c r="E47">
        <f>INDEX([1]!DIM_TIPO[tipo_key],MATCH($D47,[1]!DIM_TIPO[tipo_codigo],0))</f>
        <v>7</v>
      </c>
      <c r="G47">
        <f>IFERROR(INDEX([1]!DIM_PREST[prestamo_key],MATCH($F47,[1]!DIM_PREST[id_natural],0)),0)</f>
        <v>0</v>
      </c>
      <c r="H47" t="s">
        <v>50</v>
      </c>
      <c r="I47">
        <f>IFERROR(INDEX([1]!DIM_INV[inversion_key],MATCH($H47,[1]!DIM_INV[id_natural],0)),0)</f>
        <v>1</v>
      </c>
      <c r="K47">
        <f>IFERROR(INDEX([1]!DIM_CAT[categoria_key],MATCH($J47,[1]!DIM_CAT[categoria],0)),0)</f>
        <v>0</v>
      </c>
      <c r="L47">
        <f>IF($G47&gt;0,INDEX([1]!DIM_PREST[persona_key],MATCH($G47,[1]!DIM_PREST[prestamo_key],0)),IF($I47&gt;0,INDEX([1]!DIM_INV[persona_key],MATCH($I47,[1]!DIM_INV[inversion_key],0)),0))</f>
        <v>20</v>
      </c>
      <c r="M47" s="3">
        <v>3000</v>
      </c>
      <c r="N47" t="s">
        <v>18</v>
      </c>
      <c r="O47" s="4">
        <f>$M47*INDEX([1]!DIM_TIPO[signo_caja],MATCH($E47,[1]!DIM_TIPO[tipo_key],0))*IF($N47="SI",1,0)</f>
        <v>-3000</v>
      </c>
    </row>
    <row r="48" spans="1:16" x14ac:dyDescent="0.25">
      <c r="A48">
        <v>47</v>
      </c>
      <c r="B48" s="2">
        <v>46052</v>
      </c>
      <c r="C48">
        <f>IFERROR(INDEX([1]!DIM_FECHA_T[fecha_key],MATCH($B48,[1]!DIM_FECHA_T[fecha],0)),0)</f>
        <v>61</v>
      </c>
      <c r="D48" t="s">
        <v>52</v>
      </c>
      <c r="E48">
        <f>INDEX([1]!DIM_TIPO[tipo_key],MATCH($D48,[1]!DIM_TIPO[tipo_codigo],0))</f>
        <v>8</v>
      </c>
      <c r="G48">
        <f>IFERROR(INDEX([1]!DIM_PREST[prestamo_key],MATCH($F48,[1]!DIM_PREST[id_natural],0)),0)</f>
        <v>0</v>
      </c>
      <c r="H48" t="s">
        <v>50</v>
      </c>
      <c r="I48">
        <f>IFERROR(INDEX([1]!DIM_INV[inversion_key],MATCH($H48,[1]!DIM_INV[id_natural],0)),0)</f>
        <v>1</v>
      </c>
      <c r="K48">
        <f>IFERROR(INDEX([1]!DIM_CAT[categoria_key],MATCH($J48,[1]!DIM_CAT[categoria],0)),0)</f>
        <v>0</v>
      </c>
      <c r="L48">
        <f>IF($G48&gt;0,INDEX([1]!DIM_PREST[persona_key],MATCH($G48,[1]!DIM_PREST[prestamo_key],0)),IF($I48&gt;0,INDEX([1]!DIM_INV[persona_key],MATCH($I48,[1]!DIM_INV[inversion_key],0)),0))</f>
        <v>20</v>
      </c>
      <c r="M48" s="3">
        <v>72.5</v>
      </c>
      <c r="N48" t="s">
        <v>18</v>
      </c>
      <c r="O48" s="4">
        <f>$M48*INDEX([1]!DIM_TIPO[signo_caja],MATCH($E48,[1]!DIM_TIPO[tipo_key],0))*IF($N48="SI",1,0)</f>
        <v>-72.5</v>
      </c>
      <c r="P48" t="s">
        <v>53</v>
      </c>
    </row>
    <row r="49" spans="1:16" x14ac:dyDescent="0.25">
      <c r="A49">
        <v>48</v>
      </c>
      <c r="B49" s="2">
        <v>46023</v>
      </c>
      <c r="C49">
        <f>IFERROR(INDEX([1]!DIM_FECHA_T[fecha_key],MATCH($B49,[1]!DIM_FECHA_T[fecha],0)),0)</f>
        <v>32</v>
      </c>
      <c r="D49" t="s">
        <v>49</v>
      </c>
      <c r="E49">
        <f>INDEX([1]!DIM_TIPO[tipo_key],MATCH($D49,[1]!DIM_TIPO[tipo_codigo],0))</f>
        <v>6</v>
      </c>
      <c r="G49">
        <f>IFERROR(INDEX([1]!DIM_PREST[prestamo_key],MATCH($F49,[1]!DIM_PREST[id_natural],0)),0)</f>
        <v>0</v>
      </c>
      <c r="H49" t="s">
        <v>54</v>
      </c>
      <c r="I49">
        <f>IFERROR(INDEX([1]!DIM_INV[inversion_key],MATCH($H49,[1]!DIM_INV[id_natural],0)),0)</f>
        <v>2</v>
      </c>
      <c r="K49">
        <f>IFERROR(INDEX([1]!DIM_CAT[categoria_key],MATCH($J49,[1]!DIM_CAT[categoria],0)),0)</f>
        <v>0</v>
      </c>
      <c r="L49">
        <f>IF($G49&gt;0,INDEX([1]!DIM_PREST[persona_key],MATCH($G49,[1]!DIM_PREST[prestamo_key],0)),IF($I49&gt;0,INDEX([1]!DIM_INV[persona_key],MATCH($I49,[1]!DIM_INV[inversion_key],0)),0))</f>
        <v>21</v>
      </c>
      <c r="M49" s="3">
        <v>7000</v>
      </c>
      <c r="N49" t="s">
        <v>18</v>
      </c>
      <c r="O49" s="4">
        <f>$M49*INDEX([1]!DIM_TIPO[signo_caja],MATCH($E49,[1]!DIM_TIPO[tipo_key],0))*IF($N49="SI",1,0)</f>
        <v>7000</v>
      </c>
    </row>
    <row r="50" spans="1:16" x14ac:dyDescent="0.25">
      <c r="A50">
        <v>49</v>
      </c>
      <c r="B50" s="2">
        <v>46037</v>
      </c>
      <c r="C50">
        <f>IFERROR(INDEX([1]!DIM_FECHA_T[fecha_key],MATCH($B50,[1]!DIM_FECHA_T[fecha],0)),0)</f>
        <v>46</v>
      </c>
      <c r="D50" t="s">
        <v>55</v>
      </c>
      <c r="E50">
        <f>INDEX([1]!DIM_TIPO[tipo_key],MATCH($D50,[1]!DIM_TIPO[tipo_codigo],0))</f>
        <v>9</v>
      </c>
      <c r="G50">
        <f>IFERROR(INDEX([1]!DIM_PREST[prestamo_key],MATCH($F50,[1]!DIM_PREST[id_natural],0)),0)</f>
        <v>0</v>
      </c>
      <c r="H50" t="s">
        <v>54</v>
      </c>
      <c r="I50">
        <f>IFERROR(INDEX([1]!DIM_INV[inversion_key],MATCH($H50,[1]!DIM_INV[id_natural],0)),0)</f>
        <v>2</v>
      </c>
      <c r="K50">
        <f>IFERROR(INDEX([1]!DIM_CAT[categoria_key],MATCH($J50,[1]!DIM_CAT[categoria],0)),0)</f>
        <v>0</v>
      </c>
      <c r="L50">
        <f>IF($G50&gt;0,INDEX([1]!DIM_PREST[persona_key],MATCH($G50,[1]!DIM_PREST[prestamo_key],0)),IF($I50&gt;0,INDEX([1]!DIM_INV[persona_key],MATCH($I50,[1]!DIM_INV[inversion_key],0)),0))</f>
        <v>21</v>
      </c>
      <c r="M50" s="3">
        <v>89</v>
      </c>
      <c r="N50" t="s">
        <v>18</v>
      </c>
      <c r="O50" s="4">
        <f>$M50*INDEX([1]!DIM_TIPO[signo_caja],MATCH($E50,[1]!DIM_TIPO[tipo_key],0))*IF($N50="SI",1,0)</f>
        <v>0</v>
      </c>
      <c r="P50" t="s">
        <v>56</v>
      </c>
    </row>
    <row r="51" spans="1:16" x14ac:dyDescent="0.25">
      <c r="A51">
        <v>50</v>
      </c>
      <c r="B51" s="2">
        <v>46023</v>
      </c>
      <c r="C51">
        <f>IFERROR(INDEX([1]!DIM_FECHA_T[fecha_key],MATCH($B51,[1]!DIM_FECHA_T[fecha],0)),0)</f>
        <v>32</v>
      </c>
      <c r="D51" t="s">
        <v>49</v>
      </c>
      <c r="E51">
        <f>INDEX([1]!DIM_TIPO[tipo_key],MATCH($D51,[1]!DIM_TIPO[tipo_codigo],0))</f>
        <v>6</v>
      </c>
      <c r="G51">
        <f>IFERROR(INDEX([1]!DIM_PREST[prestamo_key],MATCH($F51,[1]!DIM_PREST[id_natural],0)),0)</f>
        <v>0</v>
      </c>
      <c r="H51" t="s">
        <v>57</v>
      </c>
      <c r="I51">
        <f>IFERROR(INDEX([1]!DIM_INV[inversion_key],MATCH($H51,[1]!DIM_INV[id_natural],0)),0)</f>
        <v>3</v>
      </c>
      <c r="K51">
        <f>IFERROR(INDEX([1]!DIM_CAT[categoria_key],MATCH($J51,[1]!DIM_CAT[categoria],0)),0)</f>
        <v>0</v>
      </c>
      <c r="L51">
        <f>IF($G51&gt;0,INDEX([1]!DIM_PREST[persona_key],MATCH($G51,[1]!DIM_PREST[prestamo_key],0)),IF($I51&gt;0,INDEX([1]!DIM_INV[persona_key],MATCH($I51,[1]!DIM_INV[inversion_key],0)),0))</f>
        <v>22</v>
      </c>
      <c r="M51" s="3">
        <v>12000</v>
      </c>
      <c r="N51" t="s">
        <v>18</v>
      </c>
      <c r="O51" s="4">
        <f>$M51*INDEX([1]!DIM_TIPO[signo_caja],MATCH($E51,[1]!DIM_TIPO[tipo_key],0))*IF($N51="SI",1,0)</f>
        <v>12000</v>
      </c>
    </row>
    <row r="52" spans="1:16" x14ac:dyDescent="0.25">
      <c r="A52">
        <v>51</v>
      </c>
      <c r="B52" s="2">
        <v>46037</v>
      </c>
      <c r="C52">
        <f>IFERROR(INDEX([1]!DIM_FECHA_T[fecha_key],MATCH($B52,[1]!DIM_FECHA_T[fecha],0)),0)</f>
        <v>46</v>
      </c>
      <c r="D52" t="s">
        <v>55</v>
      </c>
      <c r="E52">
        <f>INDEX([1]!DIM_TIPO[tipo_key],MATCH($D52,[1]!DIM_TIPO[tipo_codigo],0))</f>
        <v>9</v>
      </c>
      <c r="G52">
        <f>IFERROR(INDEX([1]!DIM_PREST[prestamo_key],MATCH($F52,[1]!DIM_PREST[id_natural],0)),0)</f>
        <v>0</v>
      </c>
      <c r="H52" t="s">
        <v>57</v>
      </c>
      <c r="I52">
        <f>IFERROR(INDEX([1]!DIM_INV[inversion_key],MATCH($H52,[1]!DIM_INV[id_natural],0)),0)</f>
        <v>3</v>
      </c>
      <c r="K52">
        <f>IFERROR(INDEX([1]!DIM_CAT[categoria_key],MATCH($J52,[1]!DIM_CAT[categoria],0)),0)</f>
        <v>0</v>
      </c>
      <c r="L52">
        <f>IF($G52&gt;0,INDEX([1]!DIM_PREST[persona_key],MATCH($G52,[1]!DIM_PREST[prestamo_key],0)),IF($I52&gt;0,INDEX([1]!DIM_INV[persona_key],MATCH($I52,[1]!DIM_INV[inversion_key],0)),0))</f>
        <v>22</v>
      </c>
      <c r="M52" s="3">
        <v>150</v>
      </c>
      <c r="N52" t="s">
        <v>18</v>
      </c>
      <c r="O52" s="4">
        <f>$M52*INDEX([1]!DIM_TIPO[signo_caja],MATCH($E52,[1]!DIM_TIPO[tipo_key],0))*IF($N52="SI",1,0)</f>
        <v>0</v>
      </c>
      <c r="P52" t="s">
        <v>58</v>
      </c>
    </row>
    <row r="53" spans="1:16" x14ac:dyDescent="0.25">
      <c r="A53">
        <v>52</v>
      </c>
      <c r="B53" s="2">
        <v>46023</v>
      </c>
      <c r="C53">
        <f>IFERROR(INDEX([1]!DIM_FECHA_T[fecha_key],MATCH($B53,[1]!DIM_FECHA_T[fecha],0)),0)</f>
        <v>32</v>
      </c>
      <c r="D53" t="s">
        <v>49</v>
      </c>
      <c r="E53">
        <f>INDEX([1]!DIM_TIPO[tipo_key],MATCH($D53,[1]!DIM_TIPO[tipo_codigo],0))</f>
        <v>6</v>
      </c>
      <c r="G53">
        <f>IFERROR(INDEX([1]!DIM_PREST[prestamo_key],MATCH($F53,[1]!DIM_PREST[id_natural],0)),0)</f>
        <v>0</v>
      </c>
      <c r="H53" t="s">
        <v>59</v>
      </c>
      <c r="I53">
        <f>IFERROR(INDEX([1]!DIM_INV[inversion_key],MATCH($H53,[1]!DIM_INV[id_natural],0)),0)</f>
        <v>4</v>
      </c>
      <c r="K53">
        <f>IFERROR(INDEX([1]!DIM_CAT[categoria_key],MATCH($J53,[1]!DIM_CAT[categoria],0)),0)</f>
        <v>0</v>
      </c>
      <c r="L53">
        <f>IF($G53&gt;0,INDEX([1]!DIM_PREST[persona_key],MATCH($G53,[1]!DIM_PREST[prestamo_key],0)),IF($I53&gt;0,INDEX([1]!DIM_INV[persona_key],MATCH($I53,[1]!DIM_INV[inversion_key],0)),0))</f>
        <v>23</v>
      </c>
      <c r="M53" s="3">
        <v>3000</v>
      </c>
      <c r="N53" t="s">
        <v>18</v>
      </c>
      <c r="O53" s="4">
        <f>$M53*INDEX([1]!DIM_TIPO[signo_caja],MATCH($E53,[1]!DIM_TIPO[tipo_key],0))*IF($N53="SI",1,0)</f>
        <v>3000</v>
      </c>
    </row>
    <row r="54" spans="1:16" x14ac:dyDescent="0.25">
      <c r="A54">
        <v>53</v>
      </c>
      <c r="B54" s="2">
        <v>46037</v>
      </c>
      <c r="C54">
        <f>IFERROR(INDEX([1]!DIM_FECHA_T[fecha_key],MATCH($B54,[1]!DIM_FECHA_T[fecha],0)),0)</f>
        <v>46</v>
      </c>
      <c r="D54" t="s">
        <v>49</v>
      </c>
      <c r="E54">
        <f>INDEX([1]!DIM_TIPO[tipo_key],MATCH($D54,[1]!DIM_TIPO[tipo_codigo],0))</f>
        <v>6</v>
      </c>
      <c r="G54">
        <f>IFERROR(INDEX([1]!DIM_PREST[prestamo_key],MATCH($F54,[1]!DIM_PREST[id_natural],0)),0)</f>
        <v>0</v>
      </c>
      <c r="H54" t="s">
        <v>59</v>
      </c>
      <c r="I54">
        <f>IFERROR(INDEX([1]!DIM_INV[inversion_key],MATCH($H54,[1]!DIM_INV[id_natural],0)),0)</f>
        <v>4</v>
      </c>
      <c r="K54">
        <f>IFERROR(INDEX([1]!DIM_CAT[categoria_key],MATCH($J54,[1]!DIM_CAT[categoria],0)),0)</f>
        <v>0</v>
      </c>
      <c r="L54">
        <f>IF($G54&gt;0,INDEX([1]!DIM_PREST[persona_key],MATCH($G54,[1]!DIM_PREST[prestamo_key],0)),IF($I54&gt;0,INDEX([1]!DIM_INV[persona_key],MATCH($I54,[1]!DIM_INV[inversion_key],0)),0))</f>
        <v>23</v>
      </c>
      <c r="M54" s="3">
        <v>2000</v>
      </c>
      <c r="N54" t="s">
        <v>18</v>
      </c>
      <c r="O54" s="4">
        <f>$M54*INDEX([1]!DIM_TIPO[signo_caja],MATCH($E54,[1]!DIM_TIPO[tipo_key],0))*IF($N54="SI",1,0)</f>
        <v>2000</v>
      </c>
      <c r="P54" t="s">
        <v>60</v>
      </c>
    </row>
    <row r="55" spans="1:16" x14ac:dyDescent="0.25">
      <c r="A55">
        <v>54</v>
      </c>
      <c r="B55" s="2">
        <v>46037</v>
      </c>
      <c r="C55">
        <f>IFERROR(INDEX([1]!DIM_FECHA_T[fecha_key],MATCH($B55,[1]!DIM_FECHA_T[fecha],0)),0)</f>
        <v>46</v>
      </c>
      <c r="D55" t="s">
        <v>52</v>
      </c>
      <c r="E55">
        <f>INDEX([1]!DIM_TIPO[tipo_key],MATCH($D55,[1]!DIM_TIPO[tipo_codigo],0))</f>
        <v>8</v>
      </c>
      <c r="G55">
        <f>IFERROR(INDEX([1]!DIM_PREST[prestamo_key],MATCH($F55,[1]!DIM_PREST[id_natural],0)),0)</f>
        <v>0</v>
      </c>
      <c r="H55" t="s">
        <v>59</v>
      </c>
      <c r="I55">
        <f>IFERROR(INDEX([1]!DIM_INV[inversion_key],MATCH($H55,[1]!DIM_INV[id_natural],0)),0)</f>
        <v>4</v>
      </c>
      <c r="K55">
        <f>IFERROR(INDEX([1]!DIM_CAT[categoria_key],MATCH($J55,[1]!DIM_CAT[categoria],0)),0)</f>
        <v>0</v>
      </c>
      <c r="L55">
        <f>IF($G55&gt;0,INDEX([1]!DIM_PREST[persona_key],MATCH($G55,[1]!DIM_PREST[prestamo_key],0)),IF($I55&gt;0,INDEX([1]!DIM_INV[persona_key],MATCH($I55,[1]!DIM_INV[inversion_key],0)),0))</f>
        <v>23</v>
      </c>
      <c r="M55" s="3">
        <v>75</v>
      </c>
      <c r="N55" t="s">
        <v>18</v>
      </c>
      <c r="O55" s="4">
        <f>$M55*INDEX([1]!DIM_TIPO[signo_caja],MATCH($E55,[1]!DIM_TIPO[tipo_key],0))*IF($N55="SI",1,0)</f>
        <v>-75</v>
      </c>
      <c r="P55" t="s">
        <v>61</v>
      </c>
    </row>
    <row r="56" spans="1:16" x14ac:dyDescent="0.25">
      <c r="A56">
        <v>55</v>
      </c>
      <c r="B56" s="2"/>
      <c r="C56">
        <f>IFERROR(INDEX([1]!DIM_FECHA_T[fecha_key],MATCH($B56,[1]!DIM_FECHA_T[fecha],0)),0)</f>
        <v>0</v>
      </c>
      <c r="D56" t="s">
        <v>51</v>
      </c>
      <c r="E56">
        <f>INDEX([1]!DIM_TIPO[tipo_key],MATCH($D56,[1]!DIM_TIPO[tipo_codigo],0))</f>
        <v>7</v>
      </c>
      <c r="G56">
        <f>IFERROR(INDEX([1]!DIM_PREST[prestamo_key],MATCH($F56,[1]!DIM_PREST[id_natural],0)),0)</f>
        <v>0</v>
      </c>
      <c r="H56" t="s">
        <v>59</v>
      </c>
      <c r="I56">
        <f>IFERROR(INDEX([1]!DIM_INV[inversion_key],MATCH($H56,[1]!DIM_INV[id_natural],0)),0)</f>
        <v>4</v>
      </c>
      <c r="K56">
        <f>IFERROR(INDEX([1]!DIM_CAT[categoria_key],MATCH($J56,[1]!DIM_CAT[categoria],0)),0)</f>
        <v>0</v>
      </c>
      <c r="L56">
        <f>IF($G56&gt;0,INDEX([1]!DIM_PREST[persona_key],MATCH($G56,[1]!DIM_PREST[prestamo_key],0)),IF($I56&gt;0,INDEX([1]!DIM_INV[persona_key],MATCH($I56,[1]!DIM_INV[inversion_key],0)),0))</f>
        <v>23</v>
      </c>
      <c r="M56" s="3">
        <v>500</v>
      </c>
      <c r="N56" t="s">
        <v>18</v>
      </c>
      <c r="O56" s="4">
        <f>$M56*INDEX([1]!DIM_TIPO[signo_caja],MATCH($E56,[1]!DIM_TIPO[tipo_key],0))*IF($N56="SI",1,0)</f>
        <v>-500</v>
      </c>
      <c r="P56" t="s">
        <v>62</v>
      </c>
    </row>
    <row r="57" spans="1:16" x14ac:dyDescent="0.25">
      <c r="A57">
        <v>56</v>
      </c>
      <c r="B57" s="2"/>
      <c r="C57">
        <f>IFERROR(INDEX([1]!DIM_FECHA_T[fecha_key],MATCH($B57,[1]!DIM_FECHA_T[fecha],0)),0)</f>
        <v>0</v>
      </c>
      <c r="D57" t="s">
        <v>51</v>
      </c>
      <c r="E57">
        <f>INDEX([1]!DIM_TIPO[tipo_key],MATCH($D57,[1]!DIM_TIPO[tipo_codigo],0))</f>
        <v>7</v>
      </c>
      <c r="G57">
        <f>IFERROR(INDEX([1]!DIM_PREST[prestamo_key],MATCH($F57,[1]!DIM_PREST[id_natural],0)),0)</f>
        <v>0</v>
      </c>
      <c r="H57" t="s">
        <v>59</v>
      </c>
      <c r="I57">
        <f>IFERROR(INDEX([1]!DIM_INV[inversion_key],MATCH($H57,[1]!DIM_INV[id_natural],0)),0)</f>
        <v>4</v>
      </c>
      <c r="K57">
        <f>IFERROR(INDEX([1]!DIM_CAT[categoria_key],MATCH($J57,[1]!DIM_CAT[categoria],0)),0)</f>
        <v>0</v>
      </c>
      <c r="L57">
        <f>IF($G57&gt;0,INDEX([1]!DIM_PREST[persona_key],MATCH($G57,[1]!DIM_PREST[prestamo_key],0)),IF($I57&gt;0,INDEX([1]!DIM_INV[persona_key],MATCH($I57,[1]!DIM_INV[inversion_key],0)),0))</f>
        <v>23</v>
      </c>
      <c r="M57" s="3">
        <v>1500</v>
      </c>
      <c r="N57" t="s">
        <v>18</v>
      </c>
      <c r="O57" s="4">
        <f>$M57*INDEX([1]!DIM_TIPO[signo_caja],MATCH($E57,[1]!DIM_TIPO[tipo_key],0))*IF($N57="SI",1,0)</f>
        <v>-1500</v>
      </c>
      <c r="P57" t="s">
        <v>62</v>
      </c>
    </row>
    <row r="58" spans="1:16" x14ac:dyDescent="0.25">
      <c r="A58">
        <v>57</v>
      </c>
      <c r="B58" s="2"/>
      <c r="C58">
        <f>IFERROR(INDEX([1]!DIM_FECHA_T[fecha_key],MATCH($B58,[1]!DIM_FECHA_T[fecha],0)),0)</f>
        <v>0</v>
      </c>
      <c r="D58" t="s">
        <v>51</v>
      </c>
      <c r="E58">
        <f>INDEX([1]!DIM_TIPO[tipo_key],MATCH($D58,[1]!DIM_TIPO[tipo_codigo],0))</f>
        <v>7</v>
      </c>
      <c r="G58">
        <f>IFERROR(INDEX([1]!DIM_PREST[prestamo_key],MATCH($F58,[1]!DIM_PREST[id_natural],0)),0)</f>
        <v>0</v>
      </c>
      <c r="H58" t="s">
        <v>59</v>
      </c>
      <c r="I58">
        <f>IFERROR(INDEX([1]!DIM_INV[inversion_key],MATCH($H58,[1]!DIM_INV[id_natural],0)),0)</f>
        <v>4</v>
      </c>
      <c r="K58">
        <f>IFERROR(INDEX([1]!DIM_CAT[categoria_key],MATCH($J58,[1]!DIM_CAT[categoria],0)),0)</f>
        <v>0</v>
      </c>
      <c r="L58">
        <f>IF($G58&gt;0,INDEX([1]!DIM_PREST[persona_key],MATCH($G58,[1]!DIM_PREST[prestamo_key],0)),IF($I58&gt;0,INDEX([1]!DIM_INV[persona_key],MATCH($I58,[1]!DIM_INV[inversion_key],0)),0))</f>
        <v>23</v>
      </c>
      <c r="M58" s="3">
        <v>200</v>
      </c>
      <c r="N58" t="s">
        <v>18</v>
      </c>
      <c r="O58" s="4">
        <f>$M58*INDEX([1]!DIM_TIPO[signo_caja],MATCH($E58,[1]!DIM_TIPO[tipo_key],0))*IF($N58="SI",1,0)</f>
        <v>-200</v>
      </c>
      <c r="P58" t="s">
        <v>62</v>
      </c>
    </row>
    <row r="59" spans="1:16" x14ac:dyDescent="0.25">
      <c r="A59">
        <v>58</v>
      </c>
      <c r="B59" s="2">
        <v>46022</v>
      </c>
      <c r="C59">
        <f>IFERROR(INDEX([1]!DIM_FECHA_T[fecha_key],MATCH($B59,[1]!DIM_FECHA_T[fecha],0)),0)</f>
        <v>31</v>
      </c>
      <c r="D59" t="s">
        <v>63</v>
      </c>
      <c r="E59">
        <f>INDEX([1]!DIM_TIPO[tipo_key],MATCH($D59,[1]!DIM_TIPO[tipo_codigo],0))</f>
        <v>10</v>
      </c>
      <c r="G59">
        <f>IFERROR(INDEX([1]!DIM_PREST[prestamo_key],MATCH($F59,[1]!DIM_PREST[id_natural],0)),0)</f>
        <v>0</v>
      </c>
      <c r="I59">
        <f>IFERROR(INDEX([1]!DIM_INV[inversion_key],MATCH($H59,[1]!DIM_INV[id_natural],0)),0)</f>
        <v>0</v>
      </c>
      <c r="J59" t="s">
        <v>64</v>
      </c>
      <c r="K59">
        <f>IFERROR(INDEX([1]!DIM_CAT[categoria_key],MATCH($J59,[1]!DIM_CAT[categoria],0)),0)</f>
        <v>1</v>
      </c>
      <c r="L59">
        <f>IF($G59&gt;0,INDEX([1]!DIM_PREST[persona_key],MATCH($G59,[1]!DIM_PREST[prestamo_key],0)),IF($I59&gt;0,INDEX([1]!DIM_INV[persona_key],MATCH($I59,[1]!DIM_INV[inversion_key],0)),0))</f>
        <v>0</v>
      </c>
      <c r="M59" s="3">
        <v>2.7</v>
      </c>
      <c r="N59" t="s">
        <v>18</v>
      </c>
      <c r="O59" s="4">
        <f>$M59*INDEX([1]!DIM_TIPO[signo_caja],MATCH($E59,[1]!DIM_TIPO[tipo_key],0))*IF($N59="SI",1,0)</f>
        <v>2.7</v>
      </c>
      <c r="P59" t="s">
        <v>65</v>
      </c>
    </row>
    <row r="60" spans="1:16" x14ac:dyDescent="0.25">
      <c r="A60">
        <v>59</v>
      </c>
      <c r="B60" s="2">
        <v>46053</v>
      </c>
      <c r="C60">
        <f>IFERROR(INDEX([1]!DIM_FECHA_T[fecha_key],MATCH($B60,[1]!DIM_FECHA_T[fecha],0)),0)</f>
        <v>62</v>
      </c>
      <c r="D60" t="s">
        <v>63</v>
      </c>
      <c r="E60">
        <f>INDEX([1]!DIM_TIPO[tipo_key],MATCH($D60,[1]!DIM_TIPO[tipo_codigo],0))</f>
        <v>10</v>
      </c>
      <c r="G60">
        <f>IFERROR(INDEX([1]!DIM_PREST[prestamo_key],MATCH($F60,[1]!DIM_PREST[id_natural],0)),0)</f>
        <v>0</v>
      </c>
      <c r="I60">
        <f>IFERROR(INDEX([1]!DIM_INV[inversion_key],MATCH($H60,[1]!DIM_INV[id_natural],0)),0)</f>
        <v>0</v>
      </c>
      <c r="J60" t="s">
        <v>64</v>
      </c>
      <c r="K60">
        <f>IFERROR(INDEX([1]!DIM_CAT[categoria_key],MATCH($J60,[1]!DIM_CAT[categoria],0)),0)</f>
        <v>1</v>
      </c>
      <c r="L60">
        <f>IF($G60&gt;0,INDEX([1]!DIM_PREST[persona_key],MATCH($G60,[1]!DIM_PREST[prestamo_key],0)),IF($I60&gt;0,INDEX([1]!DIM_INV[persona_key],MATCH($I60,[1]!DIM_INV[inversion_key],0)),0))</f>
        <v>0</v>
      </c>
      <c r="M60" s="3">
        <v>1.25</v>
      </c>
      <c r="N60" t="s">
        <v>18</v>
      </c>
      <c r="O60" s="4">
        <f>$M60*INDEX([1]!DIM_TIPO[signo_caja],MATCH($E60,[1]!DIM_TIPO[tipo_key],0))*IF($N60="SI",1,0)</f>
        <v>1.25</v>
      </c>
      <c r="P60" t="s">
        <v>66</v>
      </c>
    </row>
    <row r="61" spans="1:16" x14ac:dyDescent="0.25">
      <c r="A61">
        <v>60</v>
      </c>
      <c r="B61" s="2">
        <v>46081</v>
      </c>
      <c r="C61">
        <f>IFERROR(INDEX([1]!DIM_FECHA_T[fecha_key],MATCH($B61,[1]!DIM_FECHA_T[fecha],0)),0)</f>
        <v>90</v>
      </c>
      <c r="D61" t="s">
        <v>63</v>
      </c>
      <c r="E61">
        <f>INDEX([1]!DIM_TIPO[tipo_key],MATCH($D61,[1]!DIM_TIPO[tipo_codigo],0))</f>
        <v>10</v>
      </c>
      <c r="G61">
        <f>IFERROR(INDEX([1]!DIM_PREST[prestamo_key],MATCH($F61,[1]!DIM_PREST[id_natural],0)),0)</f>
        <v>0</v>
      </c>
      <c r="I61">
        <f>IFERROR(INDEX([1]!DIM_INV[inversion_key],MATCH($H61,[1]!DIM_INV[id_natural],0)),0)</f>
        <v>0</v>
      </c>
      <c r="J61" t="s">
        <v>64</v>
      </c>
      <c r="K61">
        <f>IFERROR(INDEX([1]!DIM_CAT[categoria_key],MATCH($J61,[1]!DIM_CAT[categoria],0)),0)</f>
        <v>1</v>
      </c>
      <c r="L61">
        <f>IF($G61&gt;0,INDEX([1]!DIM_PREST[persona_key],MATCH($G61,[1]!DIM_PREST[prestamo_key],0)),IF($I61&gt;0,INDEX([1]!DIM_INV[persona_key],MATCH($I61,[1]!DIM_INV[inversion_key],0)),0))</f>
        <v>0</v>
      </c>
      <c r="M61" s="3">
        <v>3</v>
      </c>
      <c r="N61" t="s">
        <v>18</v>
      </c>
      <c r="O61" s="4">
        <f>$M61*INDEX([1]!DIM_TIPO[signo_caja],MATCH($E61,[1]!DIM_TIPO[tipo_key],0))*IF($N61="SI",1,0)</f>
        <v>3</v>
      </c>
      <c r="P61" t="s">
        <v>67</v>
      </c>
    </row>
    <row r="62" spans="1:16" x14ac:dyDescent="0.25">
      <c r="A62">
        <v>61</v>
      </c>
      <c r="B62" s="2">
        <v>46112</v>
      </c>
      <c r="C62">
        <f>IFERROR(INDEX([1]!DIM_FECHA_T[fecha_key],MATCH($B62,[1]!DIM_FECHA_T[fecha],0)),0)</f>
        <v>121</v>
      </c>
      <c r="D62" t="s">
        <v>63</v>
      </c>
      <c r="E62">
        <f>INDEX([1]!DIM_TIPO[tipo_key],MATCH($D62,[1]!DIM_TIPO[tipo_codigo],0))</f>
        <v>10</v>
      </c>
      <c r="G62">
        <f>IFERROR(INDEX([1]!DIM_PREST[prestamo_key],MATCH($F62,[1]!DIM_PREST[id_natural],0)),0)</f>
        <v>0</v>
      </c>
      <c r="I62">
        <f>IFERROR(INDEX([1]!DIM_INV[inversion_key],MATCH($H62,[1]!DIM_INV[id_natural],0)),0)</f>
        <v>0</v>
      </c>
      <c r="J62" t="s">
        <v>64</v>
      </c>
      <c r="K62">
        <f>IFERROR(INDEX([1]!DIM_CAT[categoria_key],MATCH($J62,[1]!DIM_CAT[categoria],0)),0)</f>
        <v>1</v>
      </c>
      <c r="L62">
        <f>IF($G62&gt;0,INDEX([1]!DIM_PREST[persona_key],MATCH($G62,[1]!DIM_PREST[prestamo_key],0)),IF($I62&gt;0,INDEX([1]!DIM_INV[persona_key],MATCH($I62,[1]!DIM_INV[inversion_key],0)),0))</f>
        <v>0</v>
      </c>
      <c r="M62" s="3">
        <v>16.670000000000002</v>
      </c>
      <c r="N62" t="s">
        <v>18</v>
      </c>
      <c r="O62" s="4">
        <f>$M62*INDEX([1]!DIM_TIPO[signo_caja],MATCH($E62,[1]!DIM_TIPO[tipo_key],0))*IF($N62="SI",1,0)</f>
        <v>16.670000000000002</v>
      </c>
      <c r="P62" t="s">
        <v>68</v>
      </c>
    </row>
    <row r="63" spans="1:16" x14ac:dyDescent="0.25">
      <c r="A63">
        <v>62</v>
      </c>
      <c r="B63" s="2"/>
      <c r="C63">
        <f>IFERROR(INDEX([1]!DIM_FECHA_T[fecha_key],MATCH($B63,[1]!DIM_FECHA_T[fecha],0)),0)</f>
        <v>0</v>
      </c>
      <c r="D63" t="s">
        <v>69</v>
      </c>
      <c r="E63">
        <f>INDEX([1]!DIM_TIPO[tipo_key],MATCH($D63,[1]!DIM_TIPO[tipo_codigo],0))</f>
        <v>11</v>
      </c>
      <c r="G63">
        <f>IFERROR(INDEX([1]!DIM_PREST[prestamo_key],MATCH($F63,[1]!DIM_PREST[id_natural],0)),0)</f>
        <v>0</v>
      </c>
      <c r="I63">
        <f>IFERROR(INDEX([1]!DIM_INV[inversion_key],MATCH($H63,[1]!DIM_INV[id_natural],0)),0)</f>
        <v>0</v>
      </c>
      <c r="J63" t="s">
        <v>70</v>
      </c>
      <c r="K63">
        <f>IFERROR(INDEX([1]!DIM_CAT[categoria_key],MATCH($J63,[1]!DIM_CAT[categoria],0)),0)</f>
        <v>2</v>
      </c>
      <c r="L63">
        <f>IF($G63&gt;0,INDEX([1]!DIM_PREST[persona_key],MATCH($G63,[1]!DIM_PREST[prestamo_key],0)),IF($I63&gt;0,INDEX([1]!DIM_INV[persona_key],MATCH($I63,[1]!DIM_INV[inversion_key],0)),0))</f>
        <v>0</v>
      </c>
      <c r="M63" s="3">
        <v>40</v>
      </c>
      <c r="N63" t="s">
        <v>18</v>
      </c>
      <c r="O63" s="4">
        <f>$M63*INDEX([1]!DIM_TIPO[signo_caja],MATCH($E63,[1]!DIM_TIPO[tipo_key],0))*IF($N63="SI",1,0)</f>
        <v>-40</v>
      </c>
      <c r="P63" t="s">
        <v>71</v>
      </c>
    </row>
    <row r="64" spans="1:16" x14ac:dyDescent="0.25">
      <c r="A64">
        <v>63</v>
      </c>
      <c r="B64" s="2"/>
      <c r="C64">
        <f>IFERROR(INDEX([1]!DIM_FECHA_T[fecha_key],MATCH($B64,[1]!DIM_FECHA_T[fecha],0)),0)</f>
        <v>0</v>
      </c>
      <c r="D64" t="s">
        <v>72</v>
      </c>
      <c r="E64">
        <f>INDEX([1]!DIM_TIPO[tipo_key],MATCH($D64,[1]!DIM_TIPO[tipo_codigo],0))</f>
        <v>12</v>
      </c>
      <c r="G64">
        <f>IFERROR(INDEX([1]!DIM_PREST[prestamo_key],MATCH($F64,[1]!DIM_PREST[id_natural],0)),0)</f>
        <v>0</v>
      </c>
      <c r="I64">
        <f>IFERROR(INDEX([1]!DIM_INV[inversion_key],MATCH($H64,[1]!DIM_INV[id_natural],0)),0)</f>
        <v>0</v>
      </c>
      <c r="J64" t="s">
        <v>73</v>
      </c>
      <c r="K64">
        <f>IFERROR(INDEX([1]!DIM_CAT[categoria_key],MATCH($J64,[1]!DIM_CAT[categoria],0)),0)</f>
        <v>3</v>
      </c>
      <c r="L64">
        <f>IF($G64&gt;0,INDEX([1]!DIM_PREST[persona_key],MATCH($G64,[1]!DIM_PREST[prestamo_key],0)),IF($I64&gt;0,INDEX([1]!DIM_INV[persona_key],MATCH($I64,[1]!DIM_INV[inversion_key],0)),0))</f>
        <v>0</v>
      </c>
      <c r="M64" s="3">
        <v>100</v>
      </c>
      <c r="N64" t="s">
        <v>18</v>
      </c>
      <c r="O64" s="4">
        <f>$M64*INDEX([1]!DIM_TIPO[signo_caja],MATCH($E64,[1]!DIM_TIPO[tipo_key],0))*IF($N64="SI",1,0)</f>
        <v>-100</v>
      </c>
      <c r="P64" t="s">
        <v>71</v>
      </c>
    </row>
    <row r="65" spans="1:16" x14ac:dyDescent="0.25">
      <c r="A65">
        <v>64</v>
      </c>
      <c r="B65" s="2"/>
      <c r="C65">
        <f>IFERROR(INDEX([1]!DIM_FECHA_T[fecha_key],MATCH($B65,[1]!DIM_FECHA_T[fecha],0)),0)</f>
        <v>0</v>
      </c>
      <c r="D65" t="s">
        <v>74</v>
      </c>
      <c r="E65">
        <f>INDEX([1]!DIM_TIPO[tipo_key],MATCH($D65,[1]!DIM_TIPO[tipo_codigo],0))</f>
        <v>13</v>
      </c>
      <c r="G65">
        <f>IFERROR(INDEX([1]!DIM_PREST[prestamo_key],MATCH($F65,[1]!DIM_PREST[id_natural],0)),0)</f>
        <v>0</v>
      </c>
      <c r="I65">
        <f>IFERROR(INDEX([1]!DIM_INV[inversion_key],MATCH($H65,[1]!DIM_INV[id_natural],0)),0)</f>
        <v>0</v>
      </c>
      <c r="J65" t="s">
        <v>75</v>
      </c>
      <c r="K65">
        <f>IFERROR(INDEX([1]!DIM_CAT[categoria_key],MATCH($J65,[1]!DIM_CAT[categoria],0)),0)</f>
        <v>4</v>
      </c>
      <c r="L65">
        <f>IF($G65&gt;0,INDEX([1]!DIM_PREST[persona_key],MATCH($G65,[1]!DIM_PREST[prestamo_key],0)),IF($I65&gt;0,INDEX([1]!DIM_INV[persona_key],MATCH($I65,[1]!DIM_INV[inversion_key],0)),0))</f>
        <v>0</v>
      </c>
      <c r="M65" s="3">
        <v>1000</v>
      </c>
      <c r="N65" t="s">
        <v>18</v>
      </c>
      <c r="O65" s="4">
        <f>$M65*INDEX([1]!DIM_TIPO[signo_caja],MATCH($E65,[1]!DIM_TIPO[tipo_key],0))*IF($N65="SI",1,0)</f>
        <v>-1000</v>
      </c>
      <c r="P65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F37B-53A3-4497-86BA-2108FADDD10B}">
  <dimension ref="A1:M10"/>
  <sheetViews>
    <sheetView workbookViewId="0">
      <selection activeCell="G26" sqref="G26"/>
    </sheetView>
  </sheetViews>
  <sheetFormatPr defaultRowHeight="15" x14ac:dyDescent="0.25"/>
  <sheetData>
    <row r="1" spans="1:13" x14ac:dyDescent="0.25">
      <c r="A1" s="1" t="s">
        <v>8</v>
      </c>
      <c r="B1" s="1" t="s">
        <v>76</v>
      </c>
      <c r="C1" s="1" t="s">
        <v>77</v>
      </c>
      <c r="D1" s="1" t="s">
        <v>11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5" t="s">
        <v>84</v>
      </c>
      <c r="L1" s="5" t="s">
        <v>85</v>
      </c>
      <c r="M1" s="5" t="s">
        <v>86</v>
      </c>
    </row>
    <row r="2" spans="1:13" x14ac:dyDescent="0.25">
      <c r="A2">
        <v>0</v>
      </c>
      <c r="B2" t="s">
        <v>87</v>
      </c>
      <c r="C2" t="s">
        <v>88</v>
      </c>
      <c r="D2">
        <v>0</v>
      </c>
      <c r="E2" t="s">
        <v>87</v>
      </c>
      <c r="I2" t="s">
        <v>87</v>
      </c>
      <c r="J2" t="s">
        <v>88</v>
      </c>
      <c r="K2" s="6">
        <v>0</v>
      </c>
      <c r="L2" s="6">
        <v>0</v>
      </c>
      <c r="M2" s="6">
        <v>0</v>
      </c>
    </row>
    <row r="3" spans="1:13" x14ac:dyDescent="0.25">
      <c r="A3">
        <v>1</v>
      </c>
      <c r="B3" t="s">
        <v>50</v>
      </c>
      <c r="C3" t="str">
        <f>INDEX([1]!tblInversiones[id_persona],MATCH($B3,[1]!tblInversiones[id_inversion],0))</f>
        <v>P020</v>
      </c>
      <c r="D3">
        <f>INDEX([1]!DIM_PERS[persona_key],MATCH($C3,[1]!DIM_PERS[id_natural],0))</f>
        <v>20</v>
      </c>
      <c r="E3" t="str">
        <f>INDEX([1]!tblInversiones[nombre],MATCH($B3,[1]!tblInversiones[id_inversion],0))</f>
        <v>INVERSIONISTA 1</v>
      </c>
      <c r="F3" s="2">
        <f>IF(INDEX([1]!tblInversiones[fecha_aporte],MATCH($B3,[1]!tblInversiones[id_inversion],0))=0,"",INDEX([1]!tblInversiones[fecha_aporte],MATCH($B3,[1]!tblInversiones[id_inversion],0)))</f>
        <v>46023</v>
      </c>
      <c r="G3" s="3">
        <f>INDEX([1]!tblInversiones[monto_inicial],MATCH($B3,[1]!tblInversiones[id_inversion],0))</f>
        <v>10000</v>
      </c>
      <c r="H3" s="7">
        <f>INDEX([1]!tblInversiones[tasa_mensual],MATCH($B3,[1]!tblInversiones[id_inversion],0))</f>
        <v>1.2500000000000001E-2</v>
      </c>
      <c r="I3" t="str">
        <f>INDEX([1]!tblInversiones[estado],MATCH($B3,[1]!tblInversiones[id_inversion],0))</f>
        <v>VIGENTE</v>
      </c>
      <c r="J3" t="str">
        <f>IF(INDEX([1]!tblInversiones[cuenta_acreditar],MATCH($B3,[1]!tblInversiones[id_inversion],0))=0,"",INDEX([1]!tblInversiones[cuenta_acreditar],MATCH($B3,[1]!tblInversiones[id_inversion],0)))</f>
        <v/>
      </c>
      <c r="K3" s="6">
        <f>SUMIFS([1]!FACT_MOV[monto],[1]!FACT_MOV[inversion_key],$A3,[1]!FACT_MOV[tipo_codigo],"APORTE_INVERSION")-SUMIFS([1]!FACT_MOV[monto],[1]!FACT_MOV[inversion_key],$A3,[1]!FACT_MOV[tipo_codigo],"DEVOLUCION_INVERSION")</f>
        <v>7000</v>
      </c>
      <c r="L3" s="6">
        <f>SUMIFS([1]!FACT_MOV[monto],[1]!FACT_MOV[inversion_key],$A3,[1]!FACT_MOV[tipo_codigo],"INTERES_PAGADO_INV")</f>
        <v>72.5</v>
      </c>
      <c r="M3" s="6">
        <f>SUMIFS([1]!FACT_MOV[monto],[1]!FACT_MOV[inversion_key],$A3,[1]!FACT_MOV[tipo_codigo],"INTERES_PEND_INV")</f>
        <v>0</v>
      </c>
    </row>
    <row r="4" spans="1:13" x14ac:dyDescent="0.25">
      <c r="A4">
        <v>2</v>
      </c>
      <c r="B4" t="s">
        <v>54</v>
      </c>
      <c r="C4" t="str">
        <f>INDEX([1]!tblInversiones[id_persona],MATCH($B4,[1]!tblInversiones[id_inversion],0))</f>
        <v>P021</v>
      </c>
      <c r="D4">
        <f>INDEX([1]!DIM_PERS[persona_key],MATCH($C4,[1]!DIM_PERS[id_natural],0))</f>
        <v>21</v>
      </c>
      <c r="E4" t="str">
        <f>INDEX([1]!tblInversiones[nombre],MATCH($B4,[1]!tblInversiones[id_inversion],0))</f>
        <v>INVERSIONISTA 2</v>
      </c>
      <c r="F4" s="2">
        <f>IF(INDEX([1]!tblInversiones[fecha_aporte],MATCH($B4,[1]!tblInversiones[id_inversion],0))=0,"",INDEX([1]!tblInversiones[fecha_aporte],MATCH($B4,[1]!tblInversiones[id_inversion],0)))</f>
        <v>46023</v>
      </c>
      <c r="G4" s="3">
        <f>INDEX([1]!tblInversiones[monto_inicial],MATCH($B4,[1]!tblInversiones[id_inversion],0))</f>
        <v>7000</v>
      </c>
      <c r="H4" s="7">
        <f>INDEX([1]!tblInversiones[tasa_mensual],MATCH($B4,[1]!tblInversiones[id_inversion],0))</f>
        <v>1.4999999999999999E-2</v>
      </c>
      <c r="I4" t="str">
        <f>INDEX([1]!tblInversiones[estado],MATCH($B4,[1]!tblInversiones[id_inversion],0))</f>
        <v>VIGENTE</v>
      </c>
      <c r="J4" t="str">
        <f>IF(INDEX([1]!tblInversiones[cuenta_acreditar],MATCH($B4,[1]!tblInversiones[id_inversion],0))=0,"",INDEX([1]!tblInversiones[cuenta_acreditar],MATCH($B4,[1]!tblInversiones[id_inversion],0)))</f>
        <v/>
      </c>
      <c r="K4" s="6">
        <f>SUMIFS([1]!FACT_MOV[monto],[1]!FACT_MOV[inversion_key],$A4,[1]!FACT_MOV[tipo_codigo],"APORTE_INVERSION")-SUMIFS([1]!FACT_MOV[monto],[1]!FACT_MOV[inversion_key],$A4,[1]!FACT_MOV[tipo_codigo],"DEVOLUCION_INVERSION")</f>
        <v>7000</v>
      </c>
      <c r="L4" s="6">
        <f>SUMIFS([1]!FACT_MOV[monto],[1]!FACT_MOV[inversion_key],$A4,[1]!FACT_MOV[tipo_codigo],"INTERES_PAGADO_INV")</f>
        <v>0</v>
      </c>
      <c r="M4" s="6">
        <f>SUMIFS([1]!FACT_MOV[monto],[1]!FACT_MOV[inversion_key],$A4,[1]!FACT_MOV[tipo_codigo],"INTERES_PEND_INV")</f>
        <v>89</v>
      </c>
    </row>
    <row r="5" spans="1:13" x14ac:dyDescent="0.25">
      <c r="A5">
        <v>3</v>
      </c>
      <c r="B5" t="s">
        <v>57</v>
      </c>
      <c r="C5" t="str">
        <f>INDEX([1]!tblInversiones[id_persona],MATCH($B5,[1]!tblInversiones[id_inversion],0))</f>
        <v>P022</v>
      </c>
      <c r="D5">
        <f>INDEX([1]!DIM_PERS[persona_key],MATCH($C5,[1]!DIM_PERS[id_natural],0))</f>
        <v>22</v>
      </c>
      <c r="E5" t="str">
        <f>INDEX([1]!tblInversiones[nombre],MATCH($B5,[1]!tblInversiones[id_inversion],0))</f>
        <v>ANA MARIA RAMIREZ</v>
      </c>
      <c r="F5" s="2">
        <f>IF(INDEX([1]!tblInversiones[fecha_aporte],MATCH($B5,[1]!tblInversiones[id_inversion],0))=0,"",INDEX([1]!tblInversiones[fecha_aporte],MATCH($B5,[1]!tblInversiones[id_inversion],0)))</f>
        <v>46023</v>
      </c>
      <c r="G5" s="3">
        <f>INDEX([1]!tblInversiones[monto_inicial],MATCH($B5,[1]!tblInversiones[id_inversion],0))</f>
        <v>12000</v>
      </c>
      <c r="H5" s="7">
        <f>INDEX([1]!tblInversiones[tasa_mensual],MATCH($B5,[1]!tblInversiones[id_inversion],0))</f>
        <v>1.2500000000000001E-2</v>
      </c>
      <c r="I5" t="str">
        <f>INDEX([1]!tblInversiones[estado],MATCH($B5,[1]!tblInversiones[id_inversion],0))</f>
        <v>VIGENTE</v>
      </c>
      <c r="J5" t="str">
        <f>IF(INDEX([1]!tblInversiones[cuenta_acreditar],MATCH($B5,[1]!tblInversiones[id_inversion],0))=0,"",INDEX([1]!tblInversiones[cuenta_acreditar],MATCH($B5,[1]!tblInversiones[id_inversion],0)))</f>
        <v>12-345-6789-0</v>
      </c>
      <c r="K5" s="6">
        <f>SUMIFS([1]!FACT_MOV[monto],[1]!FACT_MOV[inversion_key],$A5,[1]!FACT_MOV[tipo_codigo],"APORTE_INVERSION")-SUMIFS([1]!FACT_MOV[monto],[1]!FACT_MOV[inversion_key],$A5,[1]!FACT_MOV[tipo_codigo],"DEVOLUCION_INVERSION")</f>
        <v>12000</v>
      </c>
      <c r="L5" s="6">
        <f>SUMIFS([1]!FACT_MOV[monto],[1]!FACT_MOV[inversion_key],$A5,[1]!FACT_MOV[tipo_codigo],"INTERES_PAGADO_INV")</f>
        <v>0</v>
      </c>
      <c r="M5" s="6">
        <f>SUMIFS([1]!FACT_MOV[monto],[1]!FACT_MOV[inversion_key],$A5,[1]!FACT_MOV[tipo_codigo],"INTERES_PEND_INV")</f>
        <v>150</v>
      </c>
    </row>
    <row r="6" spans="1:13" x14ac:dyDescent="0.25">
      <c r="A6">
        <v>4</v>
      </c>
      <c r="B6" t="s">
        <v>59</v>
      </c>
      <c r="C6" t="str">
        <f>INDEX([1]!tblInversiones[id_persona],MATCH($B6,[1]!tblInversiones[id_inversion],0))</f>
        <v>P023</v>
      </c>
      <c r="D6">
        <f>INDEX([1]!DIM_PERS[persona_key],MATCH($C6,[1]!DIM_PERS[id_natural],0))</f>
        <v>23</v>
      </c>
      <c r="E6" t="str">
        <f>INDEX([1]!tblInversiones[nombre],MATCH($B6,[1]!tblInversiones[id_inversion],0))</f>
        <v>INVERSIONISTA 4</v>
      </c>
      <c r="F6" s="2">
        <f>IF(INDEX([1]!tblInversiones[fecha_aporte],MATCH($B6,[1]!tblInversiones[id_inversion],0))=0,"",INDEX([1]!tblInversiones[fecha_aporte],MATCH($B6,[1]!tblInversiones[id_inversion],0)))</f>
        <v>46023</v>
      </c>
      <c r="G6" s="3">
        <f>INDEX([1]!tblInversiones[monto_inicial],MATCH($B6,[1]!tblInversiones[id_inversion],0))</f>
        <v>3000</v>
      </c>
      <c r="H6" s="7">
        <f>INDEX([1]!tblInversiones[tasa_mensual],MATCH($B6,[1]!tblInversiones[id_inversion],0))</f>
        <v>2.5000000000000001E-2</v>
      </c>
      <c r="I6" t="str">
        <f>INDEX([1]!tblInversiones[estado],MATCH($B6,[1]!tblInversiones[id_inversion],0))</f>
        <v>VIGENTE</v>
      </c>
      <c r="J6" t="str">
        <f>IF(INDEX([1]!tblInversiones[cuenta_acreditar],MATCH($B6,[1]!tblInversiones[id_inversion],0))=0,"",INDEX([1]!tblInversiones[cuenta_acreditar],MATCH($B6,[1]!tblInversiones[id_inversion],0)))</f>
        <v/>
      </c>
      <c r="K6" s="6">
        <f>SUMIFS([1]!FACT_MOV[monto],[1]!FACT_MOV[inversion_key],$A6,[1]!FACT_MOV[tipo_codigo],"APORTE_INVERSION")-SUMIFS([1]!FACT_MOV[monto],[1]!FACT_MOV[inversion_key],$A6,[1]!FACT_MOV[tipo_codigo],"DEVOLUCION_INVERSION")</f>
        <v>2800</v>
      </c>
      <c r="L6" s="6">
        <f>SUMIFS([1]!FACT_MOV[monto],[1]!FACT_MOV[inversion_key],$A6,[1]!FACT_MOV[tipo_codigo],"INTERES_PAGADO_INV")</f>
        <v>75</v>
      </c>
      <c r="M6" s="6">
        <f>SUMIFS([1]!FACT_MOV[monto],[1]!FACT_MOV[inversion_key],$A6,[1]!FACT_MOV[tipo_codigo],"INTERES_PEND_INV")</f>
        <v>0</v>
      </c>
    </row>
    <row r="7" spans="1:13" x14ac:dyDescent="0.25">
      <c r="A7">
        <v>5</v>
      </c>
      <c r="B7" t="s">
        <v>89</v>
      </c>
      <c r="C7" t="str">
        <f>INDEX([1]!tblInversiones[id_persona],MATCH($B7,[1]!tblInversiones[id_inversion],0))</f>
        <v>P024</v>
      </c>
      <c r="D7">
        <f>INDEX([1]!DIM_PERS[persona_key],MATCH($C7,[1]!DIM_PERS[id_natural],0))</f>
        <v>24</v>
      </c>
      <c r="E7" t="str">
        <f>INDEX([1]!tblInversiones[nombre],MATCH($B7,[1]!tblInversiones[id_inversion],0))</f>
        <v>INVERSIONISTA 5</v>
      </c>
      <c r="F7" s="2">
        <f>IF(INDEX([1]!tblInversiones[fecha_aporte],MATCH($B7,[1]!tblInversiones[id_inversion],0))=0,"",INDEX([1]!tblInversiones[fecha_aporte],MATCH($B7,[1]!tblInversiones[id_inversion],0)))</f>
        <v>46023</v>
      </c>
      <c r="G7" s="3">
        <f>INDEX([1]!tblInversiones[monto_inicial],MATCH($B7,[1]!tblInversiones[id_inversion],0))</f>
        <v>0</v>
      </c>
      <c r="H7" s="7">
        <f>INDEX([1]!tblInversiones[tasa_mensual],MATCH($B7,[1]!tblInversiones[id_inversion],0))</f>
        <v>0.02</v>
      </c>
      <c r="I7" t="str">
        <f>INDEX([1]!tblInversiones[estado],MATCH($B7,[1]!tblInversiones[id_inversion],0))</f>
        <v>SIN FONDEAR</v>
      </c>
      <c r="J7" t="str">
        <f>IF(INDEX([1]!tblInversiones[cuenta_acreditar],MATCH($B7,[1]!tblInversiones[id_inversion],0))=0,"",INDEX([1]!tblInversiones[cuenta_acreditar],MATCH($B7,[1]!tblInversiones[id_inversion],0)))</f>
        <v/>
      </c>
      <c r="K7" s="6">
        <f>SUMIFS([1]!FACT_MOV[monto],[1]!FACT_MOV[inversion_key],$A7,[1]!FACT_MOV[tipo_codigo],"APORTE_INVERSION")-SUMIFS([1]!FACT_MOV[monto],[1]!FACT_MOV[inversion_key],$A7,[1]!FACT_MOV[tipo_codigo],"DEVOLUCION_INVERSION")</f>
        <v>0</v>
      </c>
      <c r="L7" s="6">
        <f>SUMIFS([1]!FACT_MOV[monto],[1]!FACT_MOV[inversion_key],$A7,[1]!FACT_MOV[tipo_codigo],"INTERES_PAGADO_INV")</f>
        <v>0</v>
      </c>
      <c r="M7" s="6">
        <f>SUMIFS([1]!FACT_MOV[monto],[1]!FACT_MOV[inversion_key],$A7,[1]!FACT_MOV[tipo_codigo],"INTERES_PEND_INV")</f>
        <v>0</v>
      </c>
    </row>
    <row r="8" spans="1:13" x14ac:dyDescent="0.25">
      <c r="A8">
        <v>6</v>
      </c>
      <c r="B8" t="s">
        <v>90</v>
      </c>
      <c r="C8" t="str">
        <f>INDEX([1]!tblInversiones[id_persona],MATCH($B8,[1]!tblInversiones[id_inversion],0))</f>
        <v>P025</v>
      </c>
      <c r="D8">
        <f>INDEX([1]!DIM_PERS[persona_key],MATCH($C8,[1]!DIM_PERS[id_natural],0))</f>
        <v>25</v>
      </c>
      <c r="E8" t="str">
        <f>INDEX([1]!tblInversiones[nombre],MATCH($B8,[1]!tblInversiones[id_inversion],0))</f>
        <v>INVERSIONISTA 6</v>
      </c>
      <c r="F8" s="2">
        <f>IF(INDEX([1]!tblInversiones[fecha_aporte],MATCH($B8,[1]!tblInversiones[id_inversion],0))=0,"",INDEX([1]!tblInversiones[fecha_aporte],MATCH($B8,[1]!tblInversiones[id_inversion],0)))</f>
        <v>46023</v>
      </c>
      <c r="G8" s="3">
        <f>INDEX([1]!tblInversiones[monto_inicial],MATCH($B8,[1]!tblInversiones[id_inversion],0))</f>
        <v>0</v>
      </c>
      <c r="H8" s="7">
        <f>INDEX([1]!tblInversiones[tasa_mensual],MATCH($B8,[1]!tblInversiones[id_inversion],0))</f>
        <v>2.5000000000000001E-2</v>
      </c>
      <c r="I8" t="str">
        <f>INDEX([1]!tblInversiones[estado],MATCH($B8,[1]!tblInversiones[id_inversion],0))</f>
        <v>SIN FONDEAR</v>
      </c>
      <c r="J8" t="str">
        <f>IF(INDEX([1]!tblInversiones[cuenta_acreditar],MATCH($B8,[1]!tblInversiones[id_inversion],0))=0,"",INDEX([1]!tblInversiones[cuenta_acreditar],MATCH($B8,[1]!tblInversiones[id_inversion],0)))</f>
        <v/>
      </c>
      <c r="K8" s="6">
        <f>SUMIFS([1]!FACT_MOV[monto],[1]!FACT_MOV[inversion_key],$A8,[1]!FACT_MOV[tipo_codigo],"APORTE_INVERSION")-SUMIFS([1]!FACT_MOV[monto],[1]!FACT_MOV[inversion_key],$A8,[1]!FACT_MOV[tipo_codigo],"DEVOLUCION_INVERSION")</f>
        <v>0</v>
      </c>
      <c r="L8" s="6">
        <f>SUMIFS([1]!FACT_MOV[monto],[1]!FACT_MOV[inversion_key],$A8,[1]!FACT_MOV[tipo_codigo],"INTERES_PAGADO_INV")</f>
        <v>0</v>
      </c>
      <c r="M8" s="6">
        <f>SUMIFS([1]!FACT_MOV[monto],[1]!FACT_MOV[inversion_key],$A8,[1]!FACT_MOV[tipo_codigo],"INTERES_PEND_INV")</f>
        <v>0</v>
      </c>
    </row>
    <row r="9" spans="1:13" x14ac:dyDescent="0.25">
      <c r="A9">
        <v>7</v>
      </c>
      <c r="B9" t="s">
        <v>91</v>
      </c>
      <c r="C9" t="str">
        <f>INDEX([1]!tblInversiones[id_persona],MATCH($B9,[1]!tblInversiones[id_inversion],0))</f>
        <v>P026</v>
      </c>
      <c r="D9">
        <f>INDEX([1]!DIM_PERS[persona_key],MATCH($C9,[1]!DIM_PERS[id_natural],0))</f>
        <v>26</v>
      </c>
      <c r="E9" t="str">
        <f>INDEX([1]!tblInversiones[nombre],MATCH($B9,[1]!tblInversiones[id_inversion],0))</f>
        <v>OLGA RODRIGUEZ</v>
      </c>
      <c r="F9" s="2" t="str">
        <f>IF(INDEX([1]!tblInversiones[fecha_aporte],MATCH($B9,[1]!tblInversiones[id_inversion],0))=0,"",INDEX([1]!tblInversiones[fecha_aporte],MATCH($B9,[1]!tblInversiones[id_inversion],0)))</f>
        <v/>
      </c>
      <c r="G9" s="3">
        <f>INDEX([1]!tblInversiones[monto_inicial],MATCH($B9,[1]!tblInversiones[id_inversion],0))</f>
        <v>0</v>
      </c>
      <c r="H9" s="7">
        <f>INDEX([1]!tblInversiones[tasa_mensual],MATCH($B9,[1]!tblInversiones[id_inversion],0))</f>
        <v>5.0000000000000001E-3</v>
      </c>
      <c r="I9" t="str">
        <f>INDEX([1]!tblInversiones[estado],MATCH($B9,[1]!tblInversiones[id_inversion],0))</f>
        <v>SIN FONDEAR</v>
      </c>
      <c r="J9" t="str">
        <f>IF(INDEX([1]!tblInversiones[cuenta_acreditar],MATCH($B9,[1]!tblInversiones[id_inversion],0))=0,"",INDEX([1]!tblInversiones[cuenta_acreditar],MATCH($B9,[1]!tblInversiones[id_inversion],0)))</f>
        <v/>
      </c>
      <c r="K9" s="6">
        <f>SUMIFS([1]!FACT_MOV[monto],[1]!FACT_MOV[inversion_key],$A9,[1]!FACT_MOV[tipo_codigo],"APORTE_INVERSION")-SUMIFS([1]!FACT_MOV[monto],[1]!FACT_MOV[inversion_key],$A9,[1]!FACT_MOV[tipo_codigo],"DEVOLUCION_INVERSION")</f>
        <v>0</v>
      </c>
      <c r="L9" s="6">
        <f>SUMIFS([1]!FACT_MOV[monto],[1]!FACT_MOV[inversion_key],$A9,[1]!FACT_MOV[tipo_codigo],"INTERES_PAGADO_INV")</f>
        <v>0</v>
      </c>
      <c r="M9" s="6">
        <f>SUMIFS([1]!FACT_MOV[monto],[1]!FACT_MOV[inversion_key],$A9,[1]!FACT_MOV[tipo_codigo],"INTERES_PEND_INV")</f>
        <v>0</v>
      </c>
    </row>
    <row r="10" spans="1:13" x14ac:dyDescent="0.25">
      <c r="A10">
        <v>8</v>
      </c>
      <c r="B10" t="s">
        <v>92</v>
      </c>
      <c r="C10" t="str">
        <f>INDEX([1]!tblInversiones[id_persona],MATCH($B10,[1]!tblInversiones[id_inversion],0))</f>
        <v>P027</v>
      </c>
      <c r="D10">
        <f>INDEX([1]!DIM_PERS[persona_key],MATCH($C10,[1]!DIM_PERS[id_natural],0))</f>
        <v>27</v>
      </c>
      <c r="E10" t="str">
        <f>INDEX([1]!tblInversiones[nombre],MATCH($B10,[1]!tblInversiones[id_inversion],0))</f>
        <v>LAZARO RIVERA</v>
      </c>
      <c r="F10" s="2" t="str">
        <f>IF(INDEX([1]!tblInversiones[fecha_aporte],MATCH($B10,[1]!tblInversiones[id_inversion],0))=0,"",INDEX([1]!tblInversiones[fecha_aporte],MATCH($B10,[1]!tblInversiones[id_inversion],0)))</f>
        <v/>
      </c>
      <c r="G10" s="3">
        <f>INDEX([1]!tblInversiones[monto_inicial],MATCH($B10,[1]!tblInversiones[id_inversion],0))</f>
        <v>0</v>
      </c>
      <c r="H10" s="7">
        <f>INDEX([1]!tblInversiones[tasa_mensual],MATCH($B10,[1]!tblInversiones[id_inversion],0))</f>
        <v>5.0000000000000001E-3</v>
      </c>
      <c r="I10" t="str">
        <f>INDEX([1]!tblInversiones[estado],MATCH($B10,[1]!tblInversiones[id_inversion],0))</f>
        <v>SIN FONDEAR</v>
      </c>
      <c r="J10" t="str">
        <f>IF(INDEX([1]!tblInversiones[cuenta_acreditar],MATCH($B10,[1]!tblInversiones[id_inversion],0))=0,"",INDEX([1]!tblInversiones[cuenta_acreditar],MATCH($B10,[1]!tblInversiones[id_inversion],0)))</f>
        <v/>
      </c>
      <c r="K10" s="6">
        <f>SUMIFS([1]!FACT_MOV[monto],[1]!FACT_MOV[inversion_key],$A10,[1]!FACT_MOV[tipo_codigo],"APORTE_INVERSION")-SUMIFS([1]!FACT_MOV[monto],[1]!FACT_MOV[inversion_key],$A10,[1]!FACT_MOV[tipo_codigo],"DEVOLUCION_INVERSION")</f>
        <v>0</v>
      </c>
      <c r="L10" s="6">
        <f>SUMIFS([1]!FACT_MOV[monto],[1]!FACT_MOV[inversion_key],$A10,[1]!FACT_MOV[tipo_codigo],"INTERES_PAGADO_INV")</f>
        <v>0</v>
      </c>
      <c r="M10" s="6">
        <f>SUMIFS([1]!FACT_MOV[monto],[1]!FACT_MOV[inversion_key],$A10,[1]!FACT_MOV[tipo_codigo],"INTERES_PEND_INV")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ECB1-787E-4018-B328-5C2C6E5EBE9A}">
  <dimension ref="A1:N21"/>
  <sheetViews>
    <sheetView workbookViewId="0">
      <selection activeCell="L20" sqref="L20"/>
    </sheetView>
  </sheetViews>
  <sheetFormatPr defaultRowHeight="15" x14ac:dyDescent="0.25"/>
  <cols>
    <col min="1" max="1" width="16" bestFit="1" customWidth="1"/>
    <col min="2" max="2" width="12.140625" bestFit="1" customWidth="1"/>
    <col min="3" max="3" width="17" bestFit="1" customWidth="1"/>
    <col min="4" max="4" width="14.5703125" bestFit="1" customWidth="1"/>
    <col min="5" max="5" width="31.42578125" bestFit="1" customWidth="1"/>
    <col min="6" max="6" width="20.5703125" bestFit="1" customWidth="1"/>
    <col min="7" max="7" width="16.85546875" bestFit="1" customWidth="1"/>
    <col min="8" max="8" width="15.7109375" bestFit="1" customWidth="1"/>
    <col min="9" max="9" width="12" bestFit="1" customWidth="1"/>
    <col min="10" max="10" width="17.5703125" bestFit="1" customWidth="1"/>
    <col min="11" max="11" width="15" bestFit="1" customWidth="1"/>
    <col min="12" max="12" width="20.7109375" bestFit="1" customWidth="1"/>
    <col min="13" max="13" width="13.85546875" bestFit="1" customWidth="1"/>
    <col min="14" max="14" width="16" bestFit="1" customWidth="1"/>
  </cols>
  <sheetData>
    <row r="1" spans="1:14" x14ac:dyDescent="0.25">
      <c r="A1" s="1" t="s">
        <v>6</v>
      </c>
      <c r="B1" s="1" t="s">
        <v>76</v>
      </c>
      <c r="C1" s="1" t="s">
        <v>77</v>
      </c>
      <c r="D1" s="1" t="s">
        <v>11</v>
      </c>
      <c r="E1" s="1" t="s">
        <v>93</v>
      </c>
      <c r="F1" s="1" t="s">
        <v>94</v>
      </c>
      <c r="G1" s="1" t="s">
        <v>95</v>
      </c>
      <c r="H1" s="1" t="s">
        <v>81</v>
      </c>
      <c r="I1" s="1" t="s">
        <v>82</v>
      </c>
      <c r="J1" s="1" t="s">
        <v>96</v>
      </c>
      <c r="K1" s="5" t="s">
        <v>97</v>
      </c>
      <c r="L1" s="5" t="s">
        <v>98</v>
      </c>
      <c r="M1" s="5" t="s">
        <v>99</v>
      </c>
      <c r="N1" s="5" t="s">
        <v>86</v>
      </c>
    </row>
    <row r="2" spans="1:14" x14ac:dyDescent="0.25">
      <c r="A2">
        <v>0</v>
      </c>
      <c r="B2" t="s">
        <v>87</v>
      </c>
      <c r="C2" t="s">
        <v>88</v>
      </c>
      <c r="D2">
        <v>0</v>
      </c>
      <c r="E2" t="s">
        <v>87</v>
      </c>
      <c r="I2" t="s">
        <v>87</v>
      </c>
      <c r="J2" t="s">
        <v>88</v>
      </c>
      <c r="K2" s="6">
        <v>0</v>
      </c>
      <c r="L2" s="6">
        <v>0</v>
      </c>
      <c r="M2" s="6">
        <v>0</v>
      </c>
      <c r="N2" s="6">
        <v>0</v>
      </c>
    </row>
    <row r="3" spans="1:14" x14ac:dyDescent="0.25">
      <c r="A3">
        <v>1</v>
      </c>
      <c r="B3" t="s">
        <v>17</v>
      </c>
      <c r="C3" t="str">
        <f>INDEX([1]!tblPrestamos[id_persona],MATCH($B3,[1]!tblPrestamos[id_prestamo],0))</f>
        <v>P001</v>
      </c>
      <c r="D3">
        <f>INDEX([1]!DIM_PERS[persona_key],MATCH($C3,[1]!DIM_PERS[id_natural],0))</f>
        <v>1</v>
      </c>
      <c r="E3" t="str">
        <f>INDEX([1]!tblPrestamos[nombre],MATCH($B3,[1]!tblPrestamos[id_prestamo],0))</f>
        <v>PRESTAMO 1</v>
      </c>
      <c r="F3" s="2">
        <f>INDEX([1]!tblPrestamos[fecha_desembolso],MATCH($B3,[1]!tblPrestamos[id_prestamo],0))</f>
        <v>46023</v>
      </c>
      <c r="G3" s="3">
        <f>INDEX([1]!tblPrestamos[monto_original],MATCH($B3,[1]!tblPrestamos[id_prestamo],0))</f>
        <v>2000</v>
      </c>
      <c r="H3" s="7">
        <f>INDEX([1]!tblPrestamos[tasa_mensual],MATCH($B3,[1]!tblPrestamos[id_prestamo],0))</f>
        <v>0.05</v>
      </c>
      <c r="I3" t="str">
        <f>INDEX([1]!tblPrestamos[estado],MATCH($B3,[1]!tblPrestamos[id_prestamo],0))</f>
        <v>ACTIVO</v>
      </c>
      <c r="J3" t="str">
        <f>INDEX([1]!tblPrestamos[origen],MATCH($B3,[1]!tblPrestamos[id_prestamo],0))</f>
        <v>PTM</v>
      </c>
      <c r="K3" s="6">
        <f>SUMIFS([1]!FACT_MOV[monto],[1]!FACT_MOV[prestamo_key],$A3,[1]!FACT_MOV[tipo_codigo],"SALDO_INICIAL")+SUMIFS([1]!FACT_MOV[monto],[1]!FACT_MOV[prestamo_key],$A3,[1]!FACT_MOV[tipo_codigo],"DESEMBOLSO")-SUMIFS([1]!FACT_MOV[monto],[1]!FACT_MOV[prestamo_key],$A3,[1]!FACT_MOV[tipo_codigo],"ABONO_CAPITAL")</f>
        <v>1700</v>
      </c>
      <c r="L3" s="6">
        <f>SUMIFS([1]!FACT_MOV[monto],[1]!FACT_MOV[prestamo_key],$A3,[1]!FACT_MOV[tipo_codigo],"ABONO_CAPITAL")</f>
        <v>300</v>
      </c>
      <c r="M3" s="6">
        <f>SUMIFS([1]!FACT_MOV[monto],[1]!FACT_MOV[prestamo_key],$A3,[1]!FACT_MOV[tipo_codigo],"INTERES_COBRADO")</f>
        <v>100</v>
      </c>
      <c r="N3" s="6">
        <f>SUMIFS([1]!FACT_MOV[monto],[1]!FACT_MOV[prestamo_key],$A3,[1]!FACT_MOV[tipo_codigo],"INTERES_PENDIENTE")</f>
        <v>0</v>
      </c>
    </row>
    <row r="4" spans="1:14" x14ac:dyDescent="0.25">
      <c r="A4">
        <v>2</v>
      </c>
      <c r="B4" t="s">
        <v>21</v>
      </c>
      <c r="C4" t="str">
        <f>INDEX([1]!tblPrestamos[id_persona],MATCH($B4,[1]!tblPrestamos[id_prestamo],0))</f>
        <v>P002</v>
      </c>
      <c r="D4">
        <f>INDEX([1]!DIM_PERS[persona_key],MATCH($C4,[1]!DIM_PERS[id_natural],0))</f>
        <v>2</v>
      </c>
      <c r="E4" t="str">
        <f>INDEX([1]!tblPrestamos[nombre],MATCH($B4,[1]!tblPrestamos[id_prestamo],0))</f>
        <v>PRESTAMO 2</v>
      </c>
      <c r="F4" s="2">
        <f>INDEX([1]!tblPrestamos[fecha_desembolso],MATCH($B4,[1]!tblPrestamos[id_prestamo],0))</f>
        <v>46023</v>
      </c>
      <c r="G4" s="3">
        <f>INDEX([1]!tblPrestamos[monto_original],MATCH($B4,[1]!tblPrestamos[id_prestamo],0))</f>
        <v>800</v>
      </c>
      <c r="H4" s="7">
        <f>INDEX([1]!tblPrestamos[tasa_mensual],MATCH($B4,[1]!tblPrestamos[id_prestamo],0))</f>
        <v>0.03</v>
      </c>
      <c r="I4" t="str">
        <f>INDEX([1]!tblPrestamos[estado],MATCH($B4,[1]!tblPrestamos[id_prestamo],0))</f>
        <v>ACTIVO</v>
      </c>
      <c r="J4" t="str">
        <f>INDEX([1]!tblPrestamos[origen],MATCH($B4,[1]!tblPrestamos[id_prestamo],0))</f>
        <v>PTM</v>
      </c>
      <c r="K4" s="6">
        <f>SUMIFS([1]!FACT_MOV[monto],[1]!FACT_MOV[prestamo_key],$A4,[1]!FACT_MOV[tipo_codigo],"SALDO_INICIAL")+SUMIFS([1]!FACT_MOV[monto],[1]!FACT_MOV[prestamo_key],$A4,[1]!FACT_MOV[tipo_codigo],"DESEMBOLSO")-SUMIFS([1]!FACT_MOV[monto],[1]!FACT_MOV[prestamo_key],$A4,[1]!FACT_MOV[tipo_codigo],"ABONO_CAPITAL")</f>
        <v>1000</v>
      </c>
      <c r="L4" s="6">
        <f>SUMIFS([1]!FACT_MOV[monto],[1]!FACT_MOV[prestamo_key],$A4,[1]!FACT_MOV[tipo_codigo],"ABONO_CAPITAL")</f>
        <v>0</v>
      </c>
      <c r="M4" s="6">
        <f>SUMIFS([1]!FACT_MOV[monto],[1]!FACT_MOV[prestamo_key],$A4,[1]!FACT_MOV[tipo_codigo],"INTERES_COBRADO")</f>
        <v>24</v>
      </c>
      <c r="N4" s="6">
        <f>SUMIFS([1]!FACT_MOV[monto],[1]!FACT_MOV[prestamo_key],$A4,[1]!FACT_MOV[tipo_codigo],"INTERES_PENDIENTE")</f>
        <v>0</v>
      </c>
    </row>
    <row r="5" spans="1:14" x14ac:dyDescent="0.25">
      <c r="A5">
        <v>3</v>
      </c>
      <c r="B5" t="s">
        <v>23</v>
      </c>
      <c r="C5" t="str">
        <f>INDEX([1]!tblPrestamos[id_persona],MATCH($B5,[1]!tblPrestamos[id_prestamo],0))</f>
        <v>P003</v>
      </c>
      <c r="D5">
        <f>INDEX([1]!DIM_PERS[persona_key],MATCH($C5,[1]!DIM_PERS[id_natural],0))</f>
        <v>3</v>
      </c>
      <c r="E5" t="str">
        <f>INDEX([1]!tblPrestamos[nombre],MATCH($B5,[1]!tblPrestamos[id_prestamo],0))</f>
        <v>PRESTAMO 3</v>
      </c>
      <c r="F5" s="2">
        <f>INDEX([1]!tblPrestamos[fecha_desembolso],MATCH($B5,[1]!tblPrestamos[id_prestamo],0))</f>
        <v>46023</v>
      </c>
      <c r="G5" s="3">
        <f>INDEX([1]!tblPrestamos[monto_original],MATCH($B5,[1]!tblPrestamos[id_prestamo],0))</f>
        <v>4200</v>
      </c>
      <c r="H5" s="7">
        <f>INDEX([1]!tblPrestamos[tasa_mensual],MATCH($B5,[1]!tblPrestamos[id_prestamo],0))</f>
        <v>0.02</v>
      </c>
      <c r="I5" t="str">
        <f>INDEX([1]!tblPrestamos[estado],MATCH($B5,[1]!tblPrestamos[id_prestamo],0))</f>
        <v>ACTIVO</v>
      </c>
      <c r="J5" t="str">
        <f>INDEX([1]!tblPrestamos[origen],MATCH($B5,[1]!tblPrestamos[id_prestamo],0))</f>
        <v>PTM</v>
      </c>
      <c r="K5" s="6">
        <f>SUMIFS([1]!FACT_MOV[monto],[1]!FACT_MOV[prestamo_key],$A5,[1]!FACT_MOV[tipo_codigo],"SALDO_INICIAL")+SUMIFS([1]!FACT_MOV[monto],[1]!FACT_MOV[prestamo_key],$A5,[1]!FACT_MOV[tipo_codigo],"DESEMBOLSO")-SUMIFS([1]!FACT_MOV[monto],[1]!FACT_MOV[prestamo_key],$A5,[1]!FACT_MOV[tipo_codigo],"ABONO_CAPITAL")</f>
        <v>4000</v>
      </c>
      <c r="L5" s="6">
        <f>SUMIFS([1]!FACT_MOV[monto],[1]!FACT_MOV[prestamo_key],$A5,[1]!FACT_MOV[tipo_codigo],"ABONO_CAPITAL")</f>
        <v>200</v>
      </c>
      <c r="M5" s="6">
        <f>SUMIFS([1]!FACT_MOV[monto],[1]!FACT_MOV[prestamo_key],$A5,[1]!FACT_MOV[tipo_codigo],"INTERES_COBRADO")</f>
        <v>84</v>
      </c>
      <c r="N5" s="6">
        <f>SUMIFS([1]!FACT_MOV[monto],[1]!FACT_MOV[prestamo_key],$A5,[1]!FACT_MOV[tipo_codigo],"INTERES_PENDIENTE")</f>
        <v>0</v>
      </c>
    </row>
    <row r="6" spans="1:14" x14ac:dyDescent="0.25">
      <c r="A6">
        <v>4</v>
      </c>
      <c r="B6" t="s">
        <v>24</v>
      </c>
      <c r="C6" t="str">
        <f>INDEX([1]!tblPrestamos[id_persona],MATCH($B6,[1]!tblPrestamos[id_prestamo],0))</f>
        <v>P004</v>
      </c>
      <c r="D6">
        <f>INDEX([1]!DIM_PERS[persona_key],MATCH($C6,[1]!DIM_PERS[id_natural],0))</f>
        <v>4</v>
      </c>
      <c r="E6" t="str">
        <f>INDEX([1]!tblPrestamos[nombre],MATCH($B6,[1]!tblPrestamos[id_prestamo],0))</f>
        <v>PRESTAMO 4</v>
      </c>
      <c r="F6" s="2">
        <f>INDEX([1]!tblPrestamos[fecha_desembolso],MATCH($B6,[1]!tblPrestamos[id_prestamo],0))</f>
        <v>46023</v>
      </c>
      <c r="G6" s="3">
        <f>INDEX([1]!tblPrestamos[monto_original],MATCH($B6,[1]!tblPrestamos[id_prestamo],0))</f>
        <v>1000</v>
      </c>
      <c r="H6" s="7">
        <f>INDEX([1]!tblPrestamos[tasa_mensual],MATCH($B6,[1]!tblPrestamos[id_prestamo],0))</f>
        <v>0.02</v>
      </c>
      <c r="I6" t="str">
        <f>INDEX([1]!tblPrestamos[estado],MATCH($B6,[1]!tblPrestamos[id_prestamo],0))</f>
        <v>ACTIVO</v>
      </c>
      <c r="J6" t="str">
        <f>INDEX([1]!tblPrestamos[origen],MATCH($B6,[1]!tblPrestamos[id_prestamo],0))</f>
        <v>PTM</v>
      </c>
      <c r="K6" s="6">
        <f>SUMIFS([1]!FACT_MOV[monto],[1]!FACT_MOV[prestamo_key],$A6,[1]!FACT_MOV[tipo_codigo],"SALDO_INICIAL")+SUMIFS([1]!FACT_MOV[monto],[1]!FACT_MOV[prestamo_key],$A6,[1]!FACT_MOV[tipo_codigo],"DESEMBOLSO")-SUMIFS([1]!FACT_MOV[monto],[1]!FACT_MOV[prestamo_key],$A6,[1]!FACT_MOV[tipo_codigo],"ABONO_CAPITAL")</f>
        <v>1000</v>
      </c>
      <c r="L6" s="6">
        <f>SUMIFS([1]!FACT_MOV[monto],[1]!FACT_MOV[prestamo_key],$A6,[1]!FACT_MOV[tipo_codigo],"ABONO_CAPITAL")</f>
        <v>0</v>
      </c>
      <c r="M6" s="6">
        <f>SUMIFS([1]!FACT_MOV[monto],[1]!FACT_MOV[prestamo_key],$A6,[1]!FACT_MOV[tipo_codigo],"INTERES_COBRADO")</f>
        <v>0</v>
      </c>
      <c r="N6" s="6">
        <f>SUMIFS([1]!FACT_MOV[monto],[1]!FACT_MOV[prestamo_key],$A6,[1]!FACT_MOV[tipo_codigo],"INTERES_PENDIENTE")</f>
        <v>40</v>
      </c>
    </row>
    <row r="7" spans="1:14" x14ac:dyDescent="0.25">
      <c r="A7">
        <v>5</v>
      </c>
      <c r="B7" t="s">
        <v>27</v>
      </c>
      <c r="C7" t="str">
        <f>INDEX([1]!tblPrestamos[id_persona],MATCH($B7,[1]!tblPrestamos[id_prestamo],0))</f>
        <v>P005</v>
      </c>
      <c r="D7">
        <f>INDEX([1]!DIM_PERS[persona_key],MATCH($C7,[1]!DIM_PERS[id_natural],0))</f>
        <v>5</v>
      </c>
      <c r="E7" t="str">
        <f>INDEX([1]!tblPrestamos[nombre],MATCH($B7,[1]!tblPrestamos[id_prestamo],0))</f>
        <v>PRESTAMO 5</v>
      </c>
      <c r="F7" s="2">
        <f>INDEX([1]!tblPrestamos[fecha_desembolso],MATCH($B7,[1]!tblPrestamos[id_prestamo],0))</f>
        <v>46023</v>
      </c>
      <c r="G7" s="3">
        <f>INDEX([1]!tblPrestamos[monto_original],MATCH($B7,[1]!tblPrestamos[id_prestamo],0))</f>
        <v>1000</v>
      </c>
      <c r="H7" s="7">
        <f>INDEX([1]!tblPrestamos[tasa_mensual],MATCH($B7,[1]!tblPrestamos[id_prestamo],0))</f>
        <v>0.04</v>
      </c>
      <c r="I7" t="str">
        <f>INDEX([1]!tblPrestamos[estado],MATCH($B7,[1]!tblPrestamos[id_prestamo],0))</f>
        <v>ACTIVO</v>
      </c>
      <c r="J7" t="str">
        <f>INDEX([1]!tblPrestamos[origen],MATCH($B7,[1]!tblPrestamos[id_prestamo],0))</f>
        <v>PTM</v>
      </c>
      <c r="K7" s="6">
        <f>SUMIFS([1]!FACT_MOV[monto],[1]!FACT_MOV[prestamo_key],$A7,[1]!FACT_MOV[tipo_codigo],"SALDO_INICIAL")+SUMIFS([1]!FACT_MOV[monto],[1]!FACT_MOV[prestamo_key],$A7,[1]!FACT_MOV[tipo_codigo],"DESEMBOLSO")-SUMIFS([1]!FACT_MOV[monto],[1]!FACT_MOV[prestamo_key],$A7,[1]!FACT_MOV[tipo_codigo],"ABONO_CAPITAL")</f>
        <v>2000</v>
      </c>
      <c r="L7" s="6">
        <f>SUMIFS([1]!FACT_MOV[monto],[1]!FACT_MOV[prestamo_key],$A7,[1]!FACT_MOV[tipo_codigo],"ABONO_CAPITAL")</f>
        <v>0</v>
      </c>
      <c r="M7" s="6">
        <f>SUMIFS([1]!FACT_MOV[monto],[1]!FACT_MOV[prestamo_key],$A7,[1]!FACT_MOV[tipo_codigo],"INTERES_COBRADO")</f>
        <v>40</v>
      </c>
      <c r="N7" s="6">
        <f>SUMIFS([1]!FACT_MOV[monto],[1]!FACT_MOV[prestamo_key],$A7,[1]!FACT_MOV[tipo_codigo],"INTERES_PENDIENTE")</f>
        <v>0</v>
      </c>
    </row>
    <row r="8" spans="1:14" x14ac:dyDescent="0.25">
      <c r="A8">
        <v>6</v>
      </c>
      <c r="B8" t="s">
        <v>28</v>
      </c>
      <c r="C8" t="str">
        <f>INDEX([1]!tblPrestamos[id_persona],MATCH($B8,[1]!tblPrestamos[id_prestamo],0))</f>
        <v>P006</v>
      </c>
      <c r="D8">
        <f>INDEX([1]!DIM_PERS[persona_key],MATCH($C8,[1]!DIM_PERS[id_natural],0))</f>
        <v>6</v>
      </c>
      <c r="E8" t="str">
        <f>INDEX([1]!tblPrestamos[nombre],MATCH($B8,[1]!tblPrestamos[id_prestamo],0))</f>
        <v>PRESTAMO 6</v>
      </c>
      <c r="F8" s="2">
        <f>INDEX([1]!tblPrestamos[fecha_desembolso],MATCH($B8,[1]!tblPrestamos[id_prestamo],0))</f>
        <v>46023</v>
      </c>
      <c r="G8" s="3">
        <f>INDEX([1]!tblPrestamos[monto_original],MATCH($B8,[1]!tblPrestamos[id_prestamo],0))</f>
        <v>1000</v>
      </c>
      <c r="H8" s="7">
        <f>INDEX([1]!tblPrestamos[tasa_mensual],MATCH($B8,[1]!tblPrestamos[id_prestamo],0))</f>
        <v>3.5000000000000003E-2</v>
      </c>
      <c r="I8" t="str">
        <f>INDEX([1]!tblPrestamos[estado],MATCH($B8,[1]!tblPrestamos[id_prestamo],0))</f>
        <v>ACTIVO</v>
      </c>
      <c r="J8" t="str">
        <f>INDEX([1]!tblPrestamos[origen],MATCH($B8,[1]!tblPrestamos[id_prestamo],0))</f>
        <v>PTM</v>
      </c>
      <c r="K8" s="6">
        <f>SUMIFS([1]!FACT_MOV[monto],[1]!FACT_MOV[prestamo_key],$A8,[1]!FACT_MOV[tipo_codigo],"SALDO_INICIAL")+SUMIFS([1]!FACT_MOV[monto],[1]!FACT_MOV[prestamo_key],$A8,[1]!FACT_MOV[tipo_codigo],"DESEMBOLSO")-SUMIFS([1]!FACT_MOV[monto],[1]!FACT_MOV[prestamo_key],$A8,[1]!FACT_MOV[tipo_codigo],"ABONO_CAPITAL")</f>
        <v>1000</v>
      </c>
      <c r="L8" s="6">
        <f>SUMIFS([1]!FACT_MOV[monto],[1]!FACT_MOV[prestamo_key],$A8,[1]!FACT_MOV[tipo_codigo],"ABONO_CAPITAL")</f>
        <v>0</v>
      </c>
      <c r="M8" s="6">
        <f>SUMIFS([1]!FACT_MOV[monto],[1]!FACT_MOV[prestamo_key],$A8,[1]!FACT_MOV[tipo_codigo],"INTERES_COBRADO")</f>
        <v>0</v>
      </c>
      <c r="N8" s="6">
        <f>SUMIFS([1]!FACT_MOV[monto],[1]!FACT_MOV[prestamo_key],$A8,[1]!FACT_MOV[tipo_codigo],"INTERES_PENDIENTE")</f>
        <v>35</v>
      </c>
    </row>
    <row r="9" spans="1:14" x14ac:dyDescent="0.25">
      <c r="A9">
        <v>7</v>
      </c>
      <c r="B9" t="s">
        <v>29</v>
      </c>
      <c r="C9" t="str">
        <f>INDEX([1]!tblPrestamos[id_persona],MATCH($B9,[1]!tblPrestamos[id_prestamo],0))</f>
        <v>P007</v>
      </c>
      <c r="D9">
        <f>INDEX([1]!DIM_PERS[persona_key],MATCH($C9,[1]!DIM_PERS[id_natural],0))</f>
        <v>7</v>
      </c>
      <c r="E9" t="str">
        <f>INDEX([1]!tblPrestamos[nombre],MATCH($B9,[1]!tblPrestamos[id_prestamo],0))</f>
        <v>PRESTAMO 7</v>
      </c>
      <c r="F9" s="2">
        <f>INDEX([1]!tblPrestamos[fecha_desembolso],MATCH($B9,[1]!tblPrestamos[id_prestamo],0))</f>
        <v>46023</v>
      </c>
      <c r="G9" s="3">
        <f>INDEX([1]!tblPrestamos[monto_original],MATCH($B9,[1]!tblPrestamos[id_prestamo],0))</f>
        <v>1200</v>
      </c>
      <c r="H9" s="7">
        <f>INDEX([1]!tblPrestamos[tasa_mensual],MATCH($B9,[1]!tblPrestamos[id_prestamo],0))</f>
        <v>3.5000000000000003E-2</v>
      </c>
      <c r="I9" t="str">
        <f>INDEX([1]!tblPrestamos[estado],MATCH($B9,[1]!tblPrestamos[id_prestamo],0))</f>
        <v>ACTIVO</v>
      </c>
      <c r="J9" t="str">
        <f>INDEX([1]!tblPrestamos[origen],MATCH($B9,[1]!tblPrestamos[id_prestamo],0))</f>
        <v>PTM</v>
      </c>
      <c r="K9" s="6">
        <f>SUMIFS([1]!FACT_MOV[monto],[1]!FACT_MOV[prestamo_key],$A9,[1]!FACT_MOV[tipo_codigo],"SALDO_INICIAL")+SUMIFS([1]!FACT_MOV[monto],[1]!FACT_MOV[prestamo_key],$A9,[1]!FACT_MOV[tipo_codigo],"DESEMBOLSO")-SUMIFS([1]!FACT_MOV[monto],[1]!FACT_MOV[prestamo_key],$A9,[1]!FACT_MOV[tipo_codigo],"ABONO_CAPITAL")</f>
        <v>1150</v>
      </c>
      <c r="L9" s="6">
        <f>SUMIFS([1]!FACT_MOV[monto],[1]!FACT_MOV[prestamo_key],$A9,[1]!FACT_MOV[tipo_codigo],"ABONO_CAPITAL")</f>
        <v>50</v>
      </c>
      <c r="M9" s="6">
        <f>SUMIFS([1]!FACT_MOV[monto],[1]!FACT_MOV[prestamo_key],$A9,[1]!FACT_MOV[tipo_codigo],"INTERES_COBRADO")</f>
        <v>42</v>
      </c>
      <c r="N9" s="6">
        <f>SUMIFS([1]!FACT_MOV[monto],[1]!FACT_MOV[prestamo_key],$A9,[1]!FACT_MOV[tipo_codigo],"INTERES_PENDIENTE")</f>
        <v>0</v>
      </c>
    </row>
    <row r="10" spans="1:14" x14ac:dyDescent="0.25">
      <c r="A10">
        <v>8</v>
      </c>
      <c r="B10" t="s">
        <v>30</v>
      </c>
      <c r="C10" t="str">
        <f>INDEX([1]!tblPrestamos[id_persona],MATCH($B10,[1]!tblPrestamos[id_prestamo],0))</f>
        <v>P008</v>
      </c>
      <c r="D10">
        <f>INDEX([1]!DIM_PERS[persona_key],MATCH($C10,[1]!DIM_PERS[id_natural],0))</f>
        <v>8</v>
      </c>
      <c r="E10" t="str">
        <f>INDEX([1]!tblPrestamos[nombre],MATCH($B10,[1]!tblPrestamos[id_prestamo],0))</f>
        <v>PRESTAMO 8</v>
      </c>
      <c r="F10" s="2">
        <f>INDEX([1]!tblPrestamos[fecha_desembolso],MATCH($B10,[1]!tblPrestamos[id_prestamo],0))</f>
        <v>46023</v>
      </c>
      <c r="G10" s="3">
        <f>INDEX([1]!tblPrestamos[monto_original],MATCH($B10,[1]!tblPrestamos[id_prestamo],0))</f>
        <v>5000</v>
      </c>
      <c r="H10" s="7">
        <f>INDEX([1]!tblPrestamos[tasa_mensual],MATCH($B10,[1]!tblPrestamos[id_prestamo],0))</f>
        <v>4.4999999999999998E-2</v>
      </c>
      <c r="I10" t="str">
        <f>INDEX([1]!tblPrestamos[estado],MATCH($B10,[1]!tblPrestamos[id_prestamo],0))</f>
        <v>ACTIVO</v>
      </c>
      <c r="J10" t="str">
        <f>INDEX([1]!tblPrestamos[origen],MATCH($B10,[1]!tblPrestamos[id_prestamo],0))</f>
        <v>PTM</v>
      </c>
      <c r="K10" s="6">
        <f>SUMIFS([1]!FACT_MOV[monto],[1]!FACT_MOV[prestamo_key],$A10,[1]!FACT_MOV[tipo_codigo],"SALDO_INICIAL")+SUMIFS([1]!FACT_MOV[monto],[1]!FACT_MOV[prestamo_key],$A10,[1]!FACT_MOV[tipo_codigo],"DESEMBOLSO")-SUMIFS([1]!FACT_MOV[monto],[1]!FACT_MOV[prestamo_key],$A10,[1]!FACT_MOV[tipo_codigo],"ABONO_CAPITAL")</f>
        <v>7000</v>
      </c>
      <c r="L10" s="6">
        <f>SUMIFS([1]!FACT_MOV[monto],[1]!FACT_MOV[prestamo_key],$A10,[1]!FACT_MOV[tipo_codigo],"ABONO_CAPITAL")</f>
        <v>0</v>
      </c>
      <c r="M10" s="6">
        <f>SUMIFS([1]!FACT_MOV[monto],[1]!FACT_MOV[prestamo_key],$A10,[1]!FACT_MOV[tipo_codigo],"INTERES_COBRADO")</f>
        <v>225</v>
      </c>
      <c r="N10" s="6">
        <f>SUMIFS([1]!FACT_MOV[monto],[1]!FACT_MOV[prestamo_key],$A10,[1]!FACT_MOV[tipo_codigo],"INTERES_PENDIENTE")</f>
        <v>0</v>
      </c>
    </row>
    <row r="11" spans="1:14" x14ac:dyDescent="0.25">
      <c r="A11">
        <v>9</v>
      </c>
      <c r="B11" t="s">
        <v>31</v>
      </c>
      <c r="C11" t="str">
        <f>INDEX([1]!tblPrestamos[id_persona],MATCH($B11,[1]!tblPrestamos[id_prestamo],0))</f>
        <v>P009</v>
      </c>
      <c r="D11">
        <f>INDEX([1]!DIM_PERS[persona_key],MATCH($C11,[1]!DIM_PERS[id_natural],0))</f>
        <v>9</v>
      </c>
      <c r="E11" t="str">
        <f>INDEX([1]!tblPrestamos[nombre],MATCH($B11,[1]!tblPrestamos[id_prestamo],0))</f>
        <v>PRESTAMO 9</v>
      </c>
      <c r="F11" s="2">
        <f>INDEX([1]!tblPrestamos[fecha_desembolso],MATCH($B11,[1]!tblPrestamos[id_prestamo],0))</f>
        <v>46023</v>
      </c>
      <c r="G11" s="3">
        <f>INDEX([1]!tblPrestamos[monto_original],MATCH($B11,[1]!tblPrestamos[id_prestamo],0))</f>
        <v>1000</v>
      </c>
      <c r="H11" s="7">
        <f>INDEX([1]!tblPrestamos[tasa_mensual],MATCH($B11,[1]!tblPrestamos[id_prestamo],0))</f>
        <v>4.4999999999999998E-2</v>
      </c>
      <c r="I11" t="str">
        <f>INDEX([1]!tblPrestamos[estado],MATCH($B11,[1]!tblPrestamos[id_prestamo],0))</f>
        <v>ACTIVO</v>
      </c>
      <c r="J11" t="str">
        <f>INDEX([1]!tblPrestamos[origen],MATCH($B11,[1]!tblPrestamos[id_prestamo],0))</f>
        <v>PTM</v>
      </c>
      <c r="K11" s="6">
        <f>SUMIFS([1]!FACT_MOV[monto],[1]!FACT_MOV[prestamo_key],$A11,[1]!FACT_MOV[tipo_codigo],"SALDO_INICIAL")+SUMIFS([1]!FACT_MOV[monto],[1]!FACT_MOV[prestamo_key],$A11,[1]!FACT_MOV[tipo_codigo],"DESEMBOLSO")-SUMIFS([1]!FACT_MOV[monto],[1]!FACT_MOV[prestamo_key],$A11,[1]!FACT_MOV[tipo_codigo],"ABONO_CAPITAL")</f>
        <v>1000</v>
      </c>
      <c r="L11" s="6">
        <f>SUMIFS([1]!FACT_MOV[monto],[1]!FACT_MOV[prestamo_key],$A11,[1]!FACT_MOV[tipo_codigo],"ABONO_CAPITAL")</f>
        <v>0</v>
      </c>
      <c r="M11" s="6">
        <f>SUMIFS([1]!FACT_MOV[monto],[1]!FACT_MOV[prestamo_key],$A11,[1]!FACT_MOV[tipo_codigo],"INTERES_COBRADO")</f>
        <v>0</v>
      </c>
      <c r="N11" s="6">
        <f>SUMIFS([1]!FACT_MOV[monto],[1]!FACT_MOV[prestamo_key],$A11,[1]!FACT_MOV[tipo_codigo],"INTERES_PENDIENTE")</f>
        <v>45</v>
      </c>
    </row>
    <row r="12" spans="1:14" x14ac:dyDescent="0.25">
      <c r="A12">
        <v>10</v>
      </c>
      <c r="B12" t="s">
        <v>32</v>
      </c>
      <c r="C12" t="str">
        <f>INDEX([1]!tblPrestamos[id_persona],MATCH($B12,[1]!tblPrestamos[id_prestamo],0))</f>
        <v>P010</v>
      </c>
      <c r="D12">
        <f>INDEX([1]!DIM_PERS[persona_key],MATCH($C12,[1]!DIM_PERS[id_natural],0))</f>
        <v>10</v>
      </c>
      <c r="E12" t="str">
        <f>INDEX([1]!tblPrestamos[nombre],MATCH($B12,[1]!tblPrestamos[id_prestamo],0))</f>
        <v>PRESTAMO 10</v>
      </c>
      <c r="F12" s="2">
        <f>INDEX([1]!tblPrestamos[fecha_desembolso],MATCH($B12,[1]!tblPrestamos[id_prestamo],0))</f>
        <v>46023</v>
      </c>
      <c r="G12" s="3">
        <f>INDEX([1]!tblPrestamos[monto_original],MATCH($B12,[1]!tblPrestamos[id_prestamo],0))</f>
        <v>1500</v>
      </c>
      <c r="H12" s="7">
        <f>INDEX([1]!tblPrestamos[tasa_mensual],MATCH($B12,[1]!tblPrestamos[id_prestamo],0))</f>
        <v>0.05</v>
      </c>
      <c r="I12" t="str">
        <f>INDEX([1]!tblPrestamos[estado],MATCH($B12,[1]!tblPrestamos[id_prestamo],0))</f>
        <v>PAGADO</v>
      </c>
      <c r="J12" t="str">
        <f>INDEX([1]!tblPrestamos[origen],MATCH($B12,[1]!tblPrestamos[id_prestamo],0))</f>
        <v>PTM</v>
      </c>
      <c r="K12" s="6">
        <f>SUMIFS([1]!FACT_MOV[monto],[1]!FACT_MOV[prestamo_key],$A12,[1]!FACT_MOV[tipo_codigo],"SALDO_INICIAL")+SUMIFS([1]!FACT_MOV[monto],[1]!FACT_MOV[prestamo_key],$A12,[1]!FACT_MOV[tipo_codigo],"DESEMBOLSO")-SUMIFS([1]!FACT_MOV[monto],[1]!FACT_MOV[prestamo_key],$A12,[1]!FACT_MOV[tipo_codigo],"ABONO_CAPITAL")</f>
        <v>0</v>
      </c>
      <c r="L12" s="6">
        <f>SUMIFS([1]!FACT_MOV[monto],[1]!FACT_MOV[prestamo_key],$A12,[1]!FACT_MOV[tipo_codigo],"ABONO_CAPITAL")</f>
        <v>1500</v>
      </c>
      <c r="M12" s="6">
        <f>SUMIFS([1]!FACT_MOV[monto],[1]!FACT_MOV[prestamo_key],$A12,[1]!FACT_MOV[tipo_codigo],"INTERES_COBRADO")</f>
        <v>75</v>
      </c>
      <c r="N12" s="6">
        <f>SUMIFS([1]!FACT_MOV[monto],[1]!FACT_MOV[prestamo_key],$A12,[1]!FACT_MOV[tipo_codigo],"INTERES_PENDIENTE")</f>
        <v>0</v>
      </c>
    </row>
    <row r="13" spans="1:14" x14ac:dyDescent="0.25">
      <c r="A13">
        <v>11</v>
      </c>
      <c r="B13" t="s">
        <v>34</v>
      </c>
      <c r="C13" t="str">
        <f>INDEX([1]!tblPrestamos[id_persona],MATCH($B13,[1]!tblPrestamos[id_prestamo],0))</f>
        <v>P011</v>
      </c>
      <c r="D13">
        <f>INDEX([1]!DIM_PERS[persona_key],MATCH($C13,[1]!DIM_PERS[id_natural],0))</f>
        <v>11</v>
      </c>
      <c r="E13" t="str">
        <f>INDEX([1]!tblPrestamos[nombre],MATCH($B13,[1]!tblPrestamos[id_prestamo],0))</f>
        <v>DEUDOR 1</v>
      </c>
      <c r="F13" s="2">
        <f>INDEX([1]!tblPrestamos[fecha_desembolso],MATCH($B13,[1]!tblPrestamos[id_prestamo],0))</f>
        <v>46037</v>
      </c>
      <c r="G13" s="3">
        <f>INDEX([1]!tblPrestamos[monto_original],MATCH($B13,[1]!tblPrestamos[id_prestamo],0))</f>
        <v>500</v>
      </c>
      <c r="H13" s="7">
        <f>INDEX([1]!tblPrestamos[tasa_mensual],MATCH($B13,[1]!tblPrestamos[id_prestamo],0))</f>
        <v>0</v>
      </c>
      <c r="I13" t="str">
        <f>INDEX([1]!tblPrestamos[estado],MATCH($B13,[1]!tblPrestamos[id_prestamo],0))</f>
        <v>CONGELADO</v>
      </c>
      <c r="J13" t="str">
        <f>INDEX([1]!tblPrestamos[origen],MATCH($B13,[1]!tblPrestamos[id_prestamo],0))</f>
        <v>REC. CONGELAD</v>
      </c>
      <c r="K13" s="6">
        <f>SUMIFS([1]!FACT_MOV[monto],[1]!FACT_MOV[prestamo_key],$A13,[1]!FACT_MOV[tipo_codigo],"SALDO_INICIAL")+SUMIFS([1]!FACT_MOV[monto],[1]!FACT_MOV[prestamo_key],$A13,[1]!FACT_MOV[tipo_codigo],"DESEMBOLSO")-SUMIFS([1]!FACT_MOV[monto],[1]!FACT_MOV[prestamo_key],$A13,[1]!FACT_MOV[tipo_codigo],"ABONO_CAPITAL")</f>
        <v>500</v>
      </c>
      <c r="L13" s="6">
        <f>SUMIFS([1]!FACT_MOV[monto],[1]!FACT_MOV[prestamo_key],$A13,[1]!FACT_MOV[tipo_codigo],"ABONO_CAPITAL")</f>
        <v>0</v>
      </c>
      <c r="M13" s="6">
        <f>SUMIFS([1]!FACT_MOV[monto],[1]!FACT_MOV[prestamo_key],$A13,[1]!FACT_MOV[tipo_codigo],"INTERES_COBRADO")</f>
        <v>0</v>
      </c>
      <c r="N13" s="6">
        <f>SUMIFS([1]!FACT_MOV[monto],[1]!FACT_MOV[prestamo_key],$A13,[1]!FACT_MOV[tipo_codigo],"INTERES_PENDIENTE")</f>
        <v>0</v>
      </c>
    </row>
    <row r="14" spans="1:14" x14ac:dyDescent="0.25">
      <c r="A14">
        <v>12</v>
      </c>
      <c r="B14" t="s">
        <v>35</v>
      </c>
      <c r="C14" t="str">
        <f>INDEX([1]!tblPrestamos[id_persona],MATCH($B14,[1]!tblPrestamos[id_prestamo],0))</f>
        <v>P012</v>
      </c>
      <c r="D14">
        <f>INDEX([1]!DIM_PERS[persona_key],MATCH($C14,[1]!DIM_PERS[id_natural],0))</f>
        <v>12</v>
      </c>
      <c r="E14" t="str">
        <f>INDEX([1]!tblPrestamos[nombre],MATCH($B14,[1]!tblPrestamos[id_prestamo],0))</f>
        <v>DEUDOR 2</v>
      </c>
      <c r="F14" s="2">
        <f>INDEX([1]!tblPrestamos[fecha_desembolso],MATCH($B14,[1]!tblPrestamos[id_prestamo],0))</f>
        <v>46037</v>
      </c>
      <c r="G14" s="3">
        <f>INDEX([1]!tblPrestamos[monto_original],MATCH($B14,[1]!tblPrestamos[id_prestamo],0))</f>
        <v>700</v>
      </c>
      <c r="H14" s="7">
        <f>INDEX([1]!tblPrestamos[tasa_mensual],MATCH($B14,[1]!tblPrestamos[id_prestamo],0))</f>
        <v>0</v>
      </c>
      <c r="I14" t="str">
        <f>INDEX([1]!tblPrestamos[estado],MATCH($B14,[1]!tblPrestamos[id_prestamo],0))</f>
        <v>CONGELADO</v>
      </c>
      <c r="J14" t="str">
        <f>INDEX([1]!tblPrestamos[origen],MATCH($B14,[1]!tblPrestamos[id_prestamo],0))</f>
        <v>REC. CONGELAD</v>
      </c>
      <c r="K14" s="6">
        <f>SUMIFS([1]!FACT_MOV[monto],[1]!FACT_MOV[prestamo_key],$A14,[1]!FACT_MOV[tipo_codigo],"SALDO_INICIAL")+SUMIFS([1]!FACT_MOV[monto],[1]!FACT_MOV[prestamo_key],$A14,[1]!FACT_MOV[tipo_codigo],"DESEMBOLSO")-SUMIFS([1]!FACT_MOV[monto],[1]!FACT_MOV[prestamo_key],$A14,[1]!FACT_MOV[tipo_codigo],"ABONO_CAPITAL")</f>
        <v>400</v>
      </c>
      <c r="L14" s="6">
        <f>SUMIFS([1]!FACT_MOV[monto],[1]!FACT_MOV[prestamo_key],$A14,[1]!FACT_MOV[tipo_codigo],"ABONO_CAPITAL")</f>
        <v>300</v>
      </c>
      <c r="M14" s="6">
        <f>SUMIFS([1]!FACT_MOV[monto],[1]!FACT_MOV[prestamo_key],$A14,[1]!FACT_MOV[tipo_codigo],"INTERES_COBRADO")</f>
        <v>0</v>
      </c>
      <c r="N14" s="6">
        <f>SUMIFS([1]!FACT_MOV[monto],[1]!FACT_MOV[prestamo_key],$A14,[1]!FACT_MOV[tipo_codigo],"INTERES_PENDIENTE")</f>
        <v>0</v>
      </c>
    </row>
    <row r="15" spans="1:14" x14ac:dyDescent="0.25">
      <c r="A15">
        <v>13</v>
      </c>
      <c r="B15" t="s">
        <v>36</v>
      </c>
      <c r="C15" t="str">
        <f>INDEX([1]!tblPrestamos[id_persona],MATCH($B15,[1]!tblPrestamos[id_prestamo],0))</f>
        <v>P013</v>
      </c>
      <c r="D15">
        <f>INDEX([1]!DIM_PERS[persona_key],MATCH($C15,[1]!DIM_PERS[id_natural],0))</f>
        <v>13</v>
      </c>
      <c r="E15" t="str">
        <f>INDEX([1]!tblPrestamos[nombre],MATCH($B15,[1]!tblPrestamos[id_prestamo],0))</f>
        <v>DEUDOR 3</v>
      </c>
      <c r="F15" s="2">
        <f>INDEX([1]!tblPrestamos[fecha_desembolso],MATCH($B15,[1]!tblPrestamos[id_prestamo],0))</f>
        <v>46023</v>
      </c>
      <c r="G15" s="3">
        <f>INDEX([1]!tblPrestamos[monto_original],MATCH($B15,[1]!tblPrestamos[id_prestamo],0))</f>
        <v>2000</v>
      </c>
      <c r="H15" s="7">
        <f>INDEX([1]!tblPrestamos[tasa_mensual],MATCH($B15,[1]!tblPrestamos[id_prestamo],0))</f>
        <v>0</v>
      </c>
      <c r="I15" t="str">
        <f>INDEX([1]!tblPrestamos[estado],MATCH($B15,[1]!tblPrestamos[id_prestamo],0))</f>
        <v>CONGELADO</v>
      </c>
      <c r="J15" t="str">
        <f>INDEX([1]!tblPrestamos[origen],MATCH($B15,[1]!tblPrestamos[id_prestamo],0))</f>
        <v>REC. CONGELAD</v>
      </c>
      <c r="K15" s="6">
        <f>SUMIFS([1]!FACT_MOV[monto],[1]!FACT_MOV[prestamo_key],$A15,[1]!FACT_MOV[tipo_codigo],"SALDO_INICIAL")+SUMIFS([1]!FACT_MOV[monto],[1]!FACT_MOV[prestamo_key],$A15,[1]!FACT_MOV[tipo_codigo],"DESEMBOLSO")-SUMIFS([1]!FACT_MOV[monto],[1]!FACT_MOV[prestamo_key],$A15,[1]!FACT_MOV[tipo_codigo],"ABONO_CAPITAL")</f>
        <v>1900</v>
      </c>
      <c r="L15" s="6">
        <f>SUMIFS([1]!FACT_MOV[monto],[1]!FACT_MOV[prestamo_key],$A15,[1]!FACT_MOV[tipo_codigo],"ABONO_CAPITAL")</f>
        <v>100</v>
      </c>
      <c r="M15" s="6">
        <f>SUMIFS([1]!FACT_MOV[monto],[1]!FACT_MOV[prestamo_key],$A15,[1]!FACT_MOV[tipo_codigo],"INTERES_COBRADO")</f>
        <v>0</v>
      </c>
      <c r="N15" s="6">
        <f>SUMIFS([1]!FACT_MOV[monto],[1]!FACT_MOV[prestamo_key],$A15,[1]!FACT_MOV[tipo_codigo],"INTERES_PENDIENTE")</f>
        <v>0</v>
      </c>
    </row>
    <row r="16" spans="1:14" x14ac:dyDescent="0.25">
      <c r="A16">
        <v>14</v>
      </c>
      <c r="B16" t="s">
        <v>37</v>
      </c>
      <c r="C16" t="str">
        <f>INDEX([1]!tblPrestamos[id_persona],MATCH($B16,[1]!tblPrestamos[id_prestamo],0))</f>
        <v>P014</v>
      </c>
      <c r="D16">
        <f>INDEX([1]!DIM_PERS[persona_key],MATCH($C16,[1]!DIM_PERS[id_natural],0))</f>
        <v>14</v>
      </c>
      <c r="E16" t="str">
        <f>INDEX([1]!tblPrestamos[nombre],MATCH($B16,[1]!tblPrestamos[id_prestamo],0))</f>
        <v>DEUDOR 4</v>
      </c>
      <c r="F16" s="2">
        <f>INDEX([1]!tblPrestamos[fecha_desembolso],MATCH($B16,[1]!tblPrestamos[id_prestamo],0))</f>
        <v>46023</v>
      </c>
      <c r="G16" s="3">
        <f>INDEX([1]!tblPrestamos[monto_original],MATCH($B16,[1]!tblPrestamos[id_prestamo],0))</f>
        <v>3000</v>
      </c>
      <c r="H16" s="7">
        <f>INDEX([1]!tblPrestamos[tasa_mensual],MATCH($B16,[1]!tblPrestamos[id_prestamo],0))</f>
        <v>0</v>
      </c>
      <c r="I16" t="str">
        <f>INDEX([1]!tblPrestamos[estado],MATCH($B16,[1]!tblPrestamos[id_prestamo],0))</f>
        <v>CONGELADO</v>
      </c>
      <c r="J16" t="str">
        <f>INDEX([1]!tblPrestamos[origen],MATCH($B16,[1]!tblPrestamos[id_prestamo],0))</f>
        <v>REC. CONGELAD</v>
      </c>
      <c r="K16" s="6">
        <f>SUMIFS([1]!FACT_MOV[monto],[1]!FACT_MOV[prestamo_key],$A16,[1]!FACT_MOV[tipo_codigo],"SALDO_INICIAL")+SUMIFS([1]!FACT_MOV[monto],[1]!FACT_MOV[prestamo_key],$A16,[1]!FACT_MOV[tipo_codigo],"DESEMBOLSO")-SUMIFS([1]!FACT_MOV[monto],[1]!FACT_MOV[prestamo_key],$A16,[1]!FACT_MOV[tipo_codigo],"ABONO_CAPITAL")</f>
        <v>2000</v>
      </c>
      <c r="L16" s="6">
        <f>SUMIFS([1]!FACT_MOV[monto],[1]!FACT_MOV[prestamo_key],$A16,[1]!FACT_MOV[tipo_codigo],"ABONO_CAPITAL")</f>
        <v>1000</v>
      </c>
      <c r="M16" s="6">
        <f>SUMIFS([1]!FACT_MOV[monto],[1]!FACT_MOV[prestamo_key],$A16,[1]!FACT_MOV[tipo_codigo],"INTERES_COBRADO")</f>
        <v>0</v>
      </c>
      <c r="N16" s="6">
        <f>SUMIFS([1]!FACT_MOV[monto],[1]!FACT_MOV[prestamo_key],$A16,[1]!FACT_MOV[tipo_codigo],"INTERES_PENDIENTE")</f>
        <v>0</v>
      </c>
    </row>
    <row r="17" spans="1:14" x14ac:dyDescent="0.25">
      <c r="A17">
        <v>15</v>
      </c>
      <c r="B17" t="s">
        <v>38</v>
      </c>
      <c r="C17" t="str">
        <f>INDEX([1]!tblPrestamos[id_persona],MATCH($B17,[1]!tblPrestamos[id_prestamo],0))</f>
        <v>P015</v>
      </c>
      <c r="D17">
        <f>INDEX([1]!DIM_PERS[persona_key],MATCH($C17,[1]!DIM_PERS[id_natural],0))</f>
        <v>15</v>
      </c>
      <c r="E17" t="str">
        <f>INDEX([1]!tblPrestamos[nombre],MATCH($B17,[1]!tblPrestamos[id_prestamo],0))</f>
        <v>DEUDOR 5</v>
      </c>
      <c r="F17" s="2">
        <f>INDEX([1]!tblPrestamos[fecha_desembolso],MATCH($B17,[1]!tblPrestamos[id_prestamo],0))</f>
        <v>46023</v>
      </c>
      <c r="G17" s="3">
        <f>INDEX([1]!tblPrestamos[monto_original],MATCH($B17,[1]!tblPrestamos[id_prestamo],0))</f>
        <v>500</v>
      </c>
      <c r="H17" s="7">
        <f>INDEX([1]!tblPrestamos[tasa_mensual],MATCH($B17,[1]!tblPrestamos[id_prestamo],0))</f>
        <v>0</v>
      </c>
      <c r="I17" t="str">
        <f>INDEX([1]!tblPrestamos[estado],MATCH($B17,[1]!tblPrestamos[id_prestamo],0))</f>
        <v>CONGELADO</v>
      </c>
      <c r="J17" t="str">
        <f>INDEX([1]!tblPrestamos[origen],MATCH($B17,[1]!tblPrestamos[id_prestamo],0))</f>
        <v>REC. CONGELAD</v>
      </c>
      <c r="K17" s="6">
        <f>SUMIFS([1]!FACT_MOV[monto],[1]!FACT_MOV[prestamo_key],$A17,[1]!FACT_MOV[tipo_codigo],"SALDO_INICIAL")+SUMIFS([1]!FACT_MOV[monto],[1]!FACT_MOV[prestamo_key],$A17,[1]!FACT_MOV[tipo_codigo],"DESEMBOLSO")-SUMIFS([1]!FACT_MOV[monto],[1]!FACT_MOV[prestamo_key],$A17,[1]!FACT_MOV[tipo_codigo],"ABONO_CAPITAL")</f>
        <v>500</v>
      </c>
      <c r="L17" s="6">
        <f>SUMIFS([1]!FACT_MOV[monto],[1]!FACT_MOV[prestamo_key],$A17,[1]!FACT_MOV[tipo_codigo],"ABONO_CAPITAL")</f>
        <v>0</v>
      </c>
      <c r="M17" s="6">
        <f>SUMIFS([1]!FACT_MOV[monto],[1]!FACT_MOV[prestamo_key],$A17,[1]!FACT_MOV[tipo_codigo],"INTERES_COBRADO")</f>
        <v>0</v>
      </c>
      <c r="N17" s="6">
        <f>SUMIFS([1]!FACT_MOV[monto],[1]!FACT_MOV[prestamo_key],$A17,[1]!FACT_MOV[tipo_codigo],"INTERES_PENDIENTE")</f>
        <v>0</v>
      </c>
    </row>
    <row r="18" spans="1:14" x14ac:dyDescent="0.25">
      <c r="A18">
        <v>16</v>
      </c>
      <c r="B18" t="s">
        <v>39</v>
      </c>
      <c r="C18" t="str">
        <f>INDEX([1]!tblPrestamos[id_persona],MATCH($B18,[1]!tblPrestamos[id_prestamo],0))</f>
        <v>P016</v>
      </c>
      <c r="D18">
        <f>INDEX([1]!DIM_PERS[persona_key],MATCH($C18,[1]!DIM_PERS[id_natural],0))</f>
        <v>16</v>
      </c>
      <c r="E18" t="str">
        <f>INDEX([1]!tblPrestamos[nombre],MATCH($B18,[1]!tblPrestamos[id_prestamo],0))</f>
        <v>DEUDOR 6</v>
      </c>
      <c r="F18" s="2">
        <f>INDEX([1]!tblPrestamos[fecha_desembolso],MATCH($B18,[1]!tblPrestamos[id_prestamo],0))</f>
        <v>46023</v>
      </c>
      <c r="G18" s="3">
        <f>INDEX([1]!tblPrestamos[monto_original],MATCH($B18,[1]!tblPrestamos[id_prestamo],0))</f>
        <v>1000</v>
      </c>
      <c r="H18" s="7">
        <f>INDEX([1]!tblPrestamos[tasa_mensual],MATCH($B18,[1]!tblPrestamos[id_prestamo],0))</f>
        <v>0</v>
      </c>
      <c r="I18" t="str">
        <f>INDEX([1]!tblPrestamos[estado],MATCH($B18,[1]!tblPrestamos[id_prestamo],0))</f>
        <v>CONGELADO</v>
      </c>
      <c r="J18" t="str">
        <f>INDEX([1]!tblPrestamos[origen],MATCH($B18,[1]!tblPrestamos[id_prestamo],0))</f>
        <v>REC. CONGELAD</v>
      </c>
      <c r="K18" s="6">
        <f>SUMIFS([1]!FACT_MOV[monto],[1]!FACT_MOV[prestamo_key],$A18,[1]!FACT_MOV[tipo_codigo],"SALDO_INICIAL")+SUMIFS([1]!FACT_MOV[monto],[1]!FACT_MOV[prestamo_key],$A18,[1]!FACT_MOV[tipo_codigo],"DESEMBOLSO")-SUMIFS([1]!FACT_MOV[monto],[1]!FACT_MOV[prestamo_key],$A18,[1]!FACT_MOV[tipo_codigo],"ABONO_CAPITAL")</f>
        <v>1000</v>
      </c>
      <c r="L18" s="6">
        <f>SUMIFS([1]!FACT_MOV[monto],[1]!FACT_MOV[prestamo_key],$A18,[1]!FACT_MOV[tipo_codigo],"ABONO_CAPITAL")</f>
        <v>0</v>
      </c>
      <c r="M18" s="6">
        <f>SUMIFS([1]!FACT_MOV[monto],[1]!FACT_MOV[prestamo_key],$A18,[1]!FACT_MOV[tipo_codigo],"INTERES_COBRADO")</f>
        <v>0</v>
      </c>
      <c r="N18" s="6">
        <f>SUMIFS([1]!FACT_MOV[monto],[1]!FACT_MOV[prestamo_key],$A18,[1]!FACT_MOV[tipo_codigo],"INTERES_PENDIENTE")</f>
        <v>0</v>
      </c>
    </row>
    <row r="19" spans="1:14" x14ac:dyDescent="0.25">
      <c r="A19">
        <v>17</v>
      </c>
      <c r="B19" t="s">
        <v>41</v>
      </c>
      <c r="C19" t="str">
        <f>INDEX([1]!tblPrestamos[id_persona],MATCH($B19,[1]!tblPrestamos[id_prestamo],0))</f>
        <v>P017</v>
      </c>
      <c r="D19">
        <f>INDEX([1]!DIM_PERS[persona_key],MATCH($C19,[1]!DIM_PERS[id_natural],0))</f>
        <v>17</v>
      </c>
      <c r="E19" t="str">
        <f>INDEX([1]!tblPrestamos[nombre],MATCH($B19,[1]!tblPrestamos[id_prestamo],0))</f>
        <v>EDUARDO KALEB RIVERA REYES</v>
      </c>
      <c r="F19" s="2">
        <f>INDEX([1]!tblPrestamos[fecha_desembolso],MATCH($B19,[1]!tblPrestamos[id_prestamo],0))</f>
        <v>46022</v>
      </c>
      <c r="G19" s="3">
        <f>INDEX([1]!tblPrestamos[monto_original],MATCH($B19,[1]!tblPrestamos[id_prestamo],0))</f>
        <v>12640</v>
      </c>
      <c r="H19" s="7">
        <f>INDEX([1]!tblPrestamos[tasa_mensual],MATCH($B19,[1]!tblPrestamos[id_prestamo],0))</f>
        <v>0.04</v>
      </c>
      <c r="I19" t="str">
        <f>INDEX([1]!tblPrestamos[estado],MATCH($B19,[1]!tblPrestamos[id_prestamo],0))</f>
        <v>INCOBRABLE</v>
      </c>
      <c r="J19" t="str">
        <f>INDEX([1]!tblPrestamos[origen],MATCH($B19,[1]!tblPrestamos[id_prestamo],0))</f>
        <v>REC. INCOBRABLES</v>
      </c>
      <c r="K19" s="6">
        <f>SUMIFS([1]!FACT_MOV[monto],[1]!FACT_MOV[prestamo_key],$A19,[1]!FACT_MOV[tipo_codigo],"SALDO_INICIAL")+SUMIFS([1]!FACT_MOV[monto],[1]!FACT_MOV[prestamo_key],$A19,[1]!FACT_MOV[tipo_codigo],"DESEMBOLSO")-SUMIFS([1]!FACT_MOV[monto],[1]!FACT_MOV[prestamo_key],$A19,[1]!FACT_MOV[tipo_codigo],"ABONO_CAPITAL")</f>
        <v>12640</v>
      </c>
      <c r="L19" s="6">
        <f>SUMIFS([1]!FACT_MOV[monto],[1]!FACT_MOV[prestamo_key],$A19,[1]!FACT_MOV[tipo_codigo],"ABONO_CAPITAL")</f>
        <v>0</v>
      </c>
      <c r="M19" s="6">
        <f>SUMIFS([1]!FACT_MOV[monto],[1]!FACT_MOV[prestamo_key],$A19,[1]!FACT_MOV[tipo_codigo],"INTERES_COBRADO")</f>
        <v>0</v>
      </c>
      <c r="N19" s="6">
        <f>SUMIFS([1]!FACT_MOV[monto],[1]!FACT_MOV[prestamo_key],$A19,[1]!FACT_MOV[tipo_codigo],"INTERES_PENDIENTE")</f>
        <v>0</v>
      </c>
    </row>
    <row r="20" spans="1:14" x14ac:dyDescent="0.25">
      <c r="A20">
        <v>18</v>
      </c>
      <c r="B20" t="s">
        <v>43</v>
      </c>
      <c r="C20" t="str">
        <f>INDEX([1]!tblPrestamos[id_persona],MATCH($B20,[1]!tblPrestamos[id_prestamo],0))</f>
        <v>P018</v>
      </c>
      <c r="D20">
        <f>INDEX([1]!DIM_PERS[persona_key],MATCH($C20,[1]!DIM_PERS[id_natural],0))</f>
        <v>18</v>
      </c>
      <c r="E20" t="str">
        <f>INDEX([1]!tblPrestamos[nombre],MATCH($B20,[1]!tblPrestamos[id_prestamo],0))</f>
        <v>JORGE LUIS MEDRANO ANDINO</v>
      </c>
      <c r="F20" s="2">
        <f>INDEX([1]!tblPrestamos[fecha_desembolso],MATCH($B20,[1]!tblPrestamos[id_prestamo],0))</f>
        <v>46022</v>
      </c>
      <c r="G20" s="3">
        <f>INDEX([1]!tblPrestamos[monto_original],MATCH($B20,[1]!tblPrestamos[id_prestamo],0))</f>
        <v>7250</v>
      </c>
      <c r="H20" s="7">
        <f>INDEX([1]!tblPrestamos[tasa_mensual],MATCH($B20,[1]!tblPrestamos[id_prestamo],0))</f>
        <v>0</v>
      </c>
      <c r="I20" t="str">
        <f>INDEX([1]!tblPrestamos[estado],MATCH($B20,[1]!tblPrestamos[id_prestamo],0))</f>
        <v>INCOBRABLE</v>
      </c>
      <c r="J20" t="str">
        <f>INDEX([1]!tblPrestamos[origen],MATCH($B20,[1]!tblPrestamos[id_prestamo],0))</f>
        <v>REC. INCOBRABLES</v>
      </c>
      <c r="K20" s="6">
        <f>SUMIFS([1]!FACT_MOV[monto],[1]!FACT_MOV[prestamo_key],$A20,[1]!FACT_MOV[tipo_codigo],"SALDO_INICIAL")+SUMIFS([1]!FACT_MOV[monto],[1]!FACT_MOV[prestamo_key],$A20,[1]!FACT_MOV[tipo_codigo],"DESEMBOLSO")-SUMIFS([1]!FACT_MOV[monto],[1]!FACT_MOV[prestamo_key],$A20,[1]!FACT_MOV[tipo_codigo],"ABONO_CAPITAL")</f>
        <v>6750</v>
      </c>
      <c r="L20" s="6">
        <f>SUMIFS([1]!FACT_MOV[monto],[1]!FACT_MOV[prestamo_key],$A20,[1]!FACT_MOV[tipo_codigo],"ABONO_CAPITAL")</f>
        <v>500</v>
      </c>
      <c r="M20" s="6">
        <f>SUMIFS([1]!FACT_MOV[monto],[1]!FACT_MOV[prestamo_key],$A20,[1]!FACT_MOV[tipo_codigo],"INTERES_COBRADO")</f>
        <v>0</v>
      </c>
      <c r="N20" s="6">
        <f>SUMIFS([1]!FACT_MOV[monto],[1]!FACT_MOV[prestamo_key],$A20,[1]!FACT_MOV[tipo_codigo],"INTERES_PENDIENTE")</f>
        <v>0</v>
      </c>
    </row>
    <row r="21" spans="1:14" x14ac:dyDescent="0.25">
      <c r="A21">
        <v>19</v>
      </c>
      <c r="B21" t="s">
        <v>47</v>
      </c>
      <c r="C21" t="str">
        <f>INDEX([1]!tblPrestamos[id_persona],MATCH($B21,[1]!tblPrestamos[id_prestamo],0))</f>
        <v>P019</v>
      </c>
      <c r="D21">
        <f>INDEX([1]!DIM_PERS[persona_key],MATCH($C21,[1]!DIM_PERS[id_natural],0))</f>
        <v>19</v>
      </c>
      <c r="E21" t="str">
        <f>INDEX([1]!tblPrestamos[nombre],MATCH($B21,[1]!tblPrestamos[id_prestamo],0))</f>
        <v>JACOBO MADRID / EMELY CHAPINA</v>
      </c>
      <c r="F21" s="2">
        <f>INDEX([1]!tblPrestamos[fecha_desembolso],MATCH($B21,[1]!tblPrestamos[id_prestamo],0))</f>
        <v>46022</v>
      </c>
      <c r="G21" s="3">
        <f>INDEX([1]!tblPrestamos[monto_original],MATCH($B21,[1]!tblPrestamos[id_prestamo],0))</f>
        <v>12870</v>
      </c>
      <c r="H21" s="7">
        <f>INDEX([1]!tblPrestamos[tasa_mensual],MATCH($B21,[1]!tblPrestamos[id_prestamo],0))</f>
        <v>0</v>
      </c>
      <c r="I21" t="str">
        <f>INDEX([1]!tblPrestamos[estado],MATCH($B21,[1]!tblPrestamos[id_prestamo],0))</f>
        <v>INCOBRABLE</v>
      </c>
      <c r="J21" t="str">
        <f>INDEX([1]!tblPrestamos[origen],MATCH($B21,[1]!tblPrestamos[id_prestamo],0))</f>
        <v>REC. INCOBRABLES</v>
      </c>
      <c r="K21" s="6">
        <f>SUMIFS([1]!FACT_MOV[monto],[1]!FACT_MOV[prestamo_key],$A21,[1]!FACT_MOV[tipo_codigo],"SALDO_INICIAL")+SUMIFS([1]!FACT_MOV[monto],[1]!FACT_MOV[prestamo_key],$A21,[1]!FACT_MOV[tipo_codigo],"DESEMBOLSO")-SUMIFS([1]!FACT_MOV[monto],[1]!FACT_MOV[prestamo_key],$A21,[1]!FACT_MOV[tipo_codigo],"ABONO_CAPITAL")</f>
        <v>12870</v>
      </c>
      <c r="L21" s="6">
        <f>SUMIFS([1]!FACT_MOV[monto],[1]!FACT_MOV[prestamo_key],$A21,[1]!FACT_MOV[tipo_codigo],"ABONO_CAPITAL")</f>
        <v>0</v>
      </c>
      <c r="M21" s="6">
        <f>SUMIFS([1]!FACT_MOV[monto],[1]!FACT_MOV[prestamo_key],$A21,[1]!FACT_MOV[tipo_codigo],"INTERES_COBRADO")</f>
        <v>0</v>
      </c>
      <c r="N21" s="6">
        <f>SUMIFS([1]!FACT_MOV[monto],[1]!FACT_MOV[prestamo_key],$A21,[1]!FACT_MOV[tipo_codigo],"INTERES_PENDIENTE")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E854-ABA2-4A71-930C-3E1FB9C44F0F}">
  <dimension ref="A1:G28"/>
  <sheetViews>
    <sheetView workbookViewId="0">
      <selection activeCell="G2" sqref="G2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31.42578125" bestFit="1" customWidth="1"/>
    <col min="4" max="4" width="15.5703125" bestFit="1" customWidth="1"/>
    <col min="5" max="5" width="14.5703125" bestFit="1" customWidth="1"/>
    <col min="6" max="6" width="18.28515625" bestFit="1" customWidth="1"/>
    <col min="7" max="7" width="75.7109375" bestFit="1" customWidth="1"/>
  </cols>
  <sheetData>
    <row r="1" spans="1:7" x14ac:dyDescent="0.25">
      <c r="A1" s="1" t="s">
        <v>11</v>
      </c>
      <c r="B1" s="1" t="s">
        <v>76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</row>
    <row r="2" spans="1:7" x14ac:dyDescent="0.25">
      <c r="A2">
        <v>1</v>
      </c>
      <c r="B2" t="s">
        <v>105</v>
      </c>
      <c r="C2" t="str">
        <f>INDEX([1]!tblPersonas[nombre],MATCH($B2,[1]!tblPersonas[id_persona],0))</f>
        <v>PRESTAMO 1</v>
      </c>
      <c r="D2" t="str">
        <f>IF(INDEX([1]!tblPersonas[identidad],MATCH($B2,[1]!tblPersonas[id_persona],0))=0,"",INDEX([1]!tblPersonas[identidad],MATCH($B2,[1]!tblPersonas[id_persona],0)))</f>
        <v/>
      </c>
      <c r="E2" t="str">
        <f>INDEX([1]!tblPersonas[tipo],MATCH($B2,[1]!tblPersonas[id_persona],0))</f>
        <v>PRESTATARIO</v>
      </c>
      <c r="F2" t="str">
        <f>IF(INDEX([1]!tblPersonas[contacto_cuenta],MATCH($B2,[1]!tblPersonas[id_persona],0))=0,"",INDEX([1]!tblPersonas[contacto_cuenta],MATCH($B2,[1]!tblPersonas[id_persona],0)))</f>
        <v/>
      </c>
      <c r="G2" t="str">
        <f>INDEX([1]!tblPersonas[notas],MATCH($B2,[1]!tblPersonas[id_persona],0))</f>
        <v>Nombre real pendiente de registrar (en PTM solo dice 'PRESTAMO 1')</v>
      </c>
    </row>
    <row r="3" spans="1:7" x14ac:dyDescent="0.25">
      <c r="A3">
        <v>2</v>
      </c>
      <c r="B3" t="s">
        <v>106</v>
      </c>
      <c r="C3" t="str">
        <f>INDEX([1]!tblPersonas[nombre],MATCH($B3,[1]!tblPersonas[id_persona],0))</f>
        <v>PRESTAMO 2</v>
      </c>
      <c r="D3" t="str">
        <f>IF(INDEX([1]!tblPersonas[identidad],MATCH($B3,[1]!tblPersonas[id_persona],0))=0,"",INDEX([1]!tblPersonas[identidad],MATCH($B3,[1]!tblPersonas[id_persona],0)))</f>
        <v/>
      </c>
      <c r="E3" t="str">
        <f>INDEX([1]!tblPersonas[tipo],MATCH($B3,[1]!tblPersonas[id_persona],0))</f>
        <v>PRESTATARIO</v>
      </c>
      <c r="F3" t="str">
        <f>IF(INDEX([1]!tblPersonas[contacto_cuenta],MATCH($B3,[1]!tblPersonas[id_persona],0))=0,"",INDEX([1]!tblPersonas[contacto_cuenta],MATCH($B3,[1]!tblPersonas[id_persona],0)))</f>
        <v/>
      </c>
      <c r="G3" t="str">
        <f>INDEX([1]!tblPersonas[notas],MATCH($B3,[1]!tblPersonas[id_persona],0))</f>
        <v>Nombre real pendiente de registrar</v>
      </c>
    </row>
    <row r="4" spans="1:7" x14ac:dyDescent="0.25">
      <c r="A4">
        <v>3</v>
      </c>
      <c r="B4" t="s">
        <v>107</v>
      </c>
      <c r="C4" t="str">
        <f>INDEX([1]!tblPersonas[nombre],MATCH($B4,[1]!tblPersonas[id_persona],0))</f>
        <v>PRESTAMO 3</v>
      </c>
      <c r="D4" t="str">
        <f>IF(INDEX([1]!tblPersonas[identidad],MATCH($B4,[1]!tblPersonas[id_persona],0))=0,"",INDEX([1]!tblPersonas[identidad],MATCH($B4,[1]!tblPersonas[id_persona],0)))</f>
        <v/>
      </c>
      <c r="E4" t="str">
        <f>INDEX([1]!tblPersonas[tipo],MATCH($B4,[1]!tblPersonas[id_persona],0))</f>
        <v>PRESTATARIO</v>
      </c>
      <c r="F4" t="str">
        <f>IF(INDEX([1]!tblPersonas[contacto_cuenta],MATCH($B4,[1]!tblPersonas[id_persona],0))=0,"",INDEX([1]!tblPersonas[contacto_cuenta],MATCH($B4,[1]!tblPersonas[id_persona],0)))</f>
        <v/>
      </c>
      <c r="G4" t="str">
        <f>INDEX([1]!tblPersonas[notas],MATCH($B4,[1]!tblPersonas[id_persona],0))</f>
        <v>Nombre real pendiente de registrar</v>
      </c>
    </row>
    <row r="5" spans="1:7" x14ac:dyDescent="0.25">
      <c r="A5">
        <v>4</v>
      </c>
      <c r="B5" t="s">
        <v>108</v>
      </c>
      <c r="C5" t="str">
        <f>INDEX([1]!tblPersonas[nombre],MATCH($B5,[1]!tblPersonas[id_persona],0))</f>
        <v>PRESTAMO 4</v>
      </c>
      <c r="D5" t="str">
        <f>IF(INDEX([1]!tblPersonas[identidad],MATCH($B5,[1]!tblPersonas[id_persona],0))=0,"",INDEX([1]!tblPersonas[identidad],MATCH($B5,[1]!tblPersonas[id_persona],0)))</f>
        <v/>
      </c>
      <c r="E5" t="str">
        <f>INDEX([1]!tblPersonas[tipo],MATCH($B5,[1]!tblPersonas[id_persona],0))</f>
        <v>PRESTATARIO</v>
      </c>
      <c r="F5" t="str">
        <f>IF(INDEX([1]!tblPersonas[contacto_cuenta],MATCH($B5,[1]!tblPersonas[id_persona],0))=0,"",INDEX([1]!tblPersonas[contacto_cuenta],MATCH($B5,[1]!tblPersonas[id_persona],0)))</f>
        <v/>
      </c>
      <c r="G5" t="str">
        <f>INDEX([1]!tblPersonas[notas],MATCH($B5,[1]!tblPersonas[id_persona],0))</f>
        <v>Nombre real pendiente de registrar</v>
      </c>
    </row>
    <row r="6" spans="1:7" x14ac:dyDescent="0.25">
      <c r="A6">
        <v>5</v>
      </c>
      <c r="B6" t="s">
        <v>109</v>
      </c>
      <c r="C6" t="str">
        <f>INDEX([1]!tblPersonas[nombre],MATCH($B6,[1]!tblPersonas[id_persona],0))</f>
        <v>PRESTAMO 5</v>
      </c>
      <c r="D6" t="str">
        <f>IF(INDEX([1]!tblPersonas[identidad],MATCH($B6,[1]!tblPersonas[id_persona],0))=0,"",INDEX([1]!tblPersonas[identidad],MATCH($B6,[1]!tblPersonas[id_persona],0)))</f>
        <v/>
      </c>
      <c r="E6" t="str">
        <f>INDEX([1]!tblPersonas[tipo],MATCH($B6,[1]!tblPersonas[id_persona],0))</f>
        <v>PRESTATARIO</v>
      </c>
      <c r="F6" t="str">
        <f>IF(INDEX([1]!tblPersonas[contacto_cuenta],MATCH($B6,[1]!tblPersonas[id_persona],0))=0,"",INDEX([1]!tblPersonas[contacto_cuenta],MATCH($B6,[1]!tblPersonas[id_persona],0)))</f>
        <v/>
      </c>
      <c r="G6" t="str">
        <f>INDEX([1]!tblPersonas[notas],MATCH($B6,[1]!tblPersonas[id_persona],0))</f>
        <v>Nombre real pendiente de registrar</v>
      </c>
    </row>
    <row r="7" spans="1:7" x14ac:dyDescent="0.25">
      <c r="A7">
        <v>6</v>
      </c>
      <c r="B7" t="s">
        <v>110</v>
      </c>
      <c r="C7" t="str">
        <f>INDEX([1]!tblPersonas[nombre],MATCH($B7,[1]!tblPersonas[id_persona],0))</f>
        <v>PRESTAMO 6</v>
      </c>
      <c r="D7" t="str">
        <f>IF(INDEX([1]!tblPersonas[identidad],MATCH($B7,[1]!tblPersonas[id_persona],0))=0,"",INDEX([1]!tblPersonas[identidad],MATCH($B7,[1]!tblPersonas[id_persona],0)))</f>
        <v/>
      </c>
      <c r="E7" t="str">
        <f>INDEX([1]!tblPersonas[tipo],MATCH($B7,[1]!tblPersonas[id_persona],0))</f>
        <v>PRESTATARIO</v>
      </c>
      <c r="F7" t="str">
        <f>IF(INDEX([1]!tblPersonas[contacto_cuenta],MATCH($B7,[1]!tblPersonas[id_persona],0))=0,"",INDEX([1]!tblPersonas[contacto_cuenta],MATCH($B7,[1]!tblPersonas[id_persona],0)))</f>
        <v/>
      </c>
      <c r="G7" t="str">
        <f>INDEX([1]!tblPersonas[notas],MATCH($B7,[1]!tblPersonas[id_persona],0))</f>
        <v>Nombre real pendiente de registrar</v>
      </c>
    </row>
    <row r="8" spans="1:7" x14ac:dyDescent="0.25">
      <c r="A8">
        <v>7</v>
      </c>
      <c r="B8" t="s">
        <v>111</v>
      </c>
      <c r="C8" t="str">
        <f>INDEX([1]!tblPersonas[nombre],MATCH($B8,[1]!tblPersonas[id_persona],0))</f>
        <v>PRESTAMO 7</v>
      </c>
      <c r="D8" t="str">
        <f>IF(INDEX([1]!tblPersonas[identidad],MATCH($B8,[1]!tblPersonas[id_persona],0))=0,"",INDEX([1]!tblPersonas[identidad],MATCH($B8,[1]!tblPersonas[id_persona],0)))</f>
        <v/>
      </c>
      <c r="E8" t="str">
        <f>INDEX([1]!tblPersonas[tipo],MATCH($B8,[1]!tblPersonas[id_persona],0))</f>
        <v>PRESTATARIO</v>
      </c>
      <c r="F8" t="str">
        <f>IF(INDEX([1]!tblPersonas[contacto_cuenta],MATCH($B8,[1]!tblPersonas[id_persona],0))=0,"",INDEX([1]!tblPersonas[contacto_cuenta],MATCH($B8,[1]!tblPersonas[id_persona],0)))</f>
        <v/>
      </c>
      <c r="G8" t="str">
        <f>INDEX([1]!tblPersonas[notas],MATCH($B8,[1]!tblPersonas[id_persona],0))</f>
        <v>Nombre real pendiente de registrar</v>
      </c>
    </row>
    <row r="9" spans="1:7" x14ac:dyDescent="0.25">
      <c r="A9">
        <v>8</v>
      </c>
      <c r="B9" t="s">
        <v>112</v>
      </c>
      <c r="C9" t="str">
        <f>INDEX([1]!tblPersonas[nombre],MATCH($B9,[1]!tblPersonas[id_persona],0))</f>
        <v>PRESTAMO 8</v>
      </c>
      <c r="D9" t="str">
        <f>IF(INDEX([1]!tblPersonas[identidad],MATCH($B9,[1]!tblPersonas[id_persona],0))=0,"",INDEX([1]!tblPersonas[identidad],MATCH($B9,[1]!tblPersonas[id_persona],0)))</f>
        <v/>
      </c>
      <c r="E9" t="str">
        <f>INDEX([1]!tblPersonas[tipo],MATCH($B9,[1]!tblPersonas[id_persona],0))</f>
        <v>PRESTATARIO</v>
      </c>
      <c r="F9" t="str">
        <f>IF(INDEX([1]!tblPersonas[contacto_cuenta],MATCH($B9,[1]!tblPersonas[id_persona],0))=0,"",INDEX([1]!tblPersonas[contacto_cuenta],MATCH($B9,[1]!tblPersonas[id_persona],0)))</f>
        <v/>
      </c>
      <c r="G9" t="str">
        <f>INDEX([1]!tblPersonas[notas],MATCH($B9,[1]!tblPersonas[id_persona],0))</f>
        <v>Nombre real pendiente de registrar</v>
      </c>
    </row>
    <row r="10" spans="1:7" x14ac:dyDescent="0.25">
      <c r="A10">
        <v>9</v>
      </c>
      <c r="B10" t="s">
        <v>113</v>
      </c>
      <c r="C10" t="str">
        <f>INDEX([1]!tblPersonas[nombre],MATCH($B10,[1]!tblPersonas[id_persona],0))</f>
        <v>PRESTAMO 9</v>
      </c>
      <c r="D10" t="str">
        <f>IF(INDEX([1]!tblPersonas[identidad],MATCH($B10,[1]!tblPersonas[id_persona],0))=0,"",INDEX([1]!tblPersonas[identidad],MATCH($B10,[1]!tblPersonas[id_persona],0)))</f>
        <v/>
      </c>
      <c r="E10" t="str">
        <f>INDEX([1]!tblPersonas[tipo],MATCH($B10,[1]!tblPersonas[id_persona],0))</f>
        <v>PRESTATARIO</v>
      </c>
      <c r="F10" t="str">
        <f>IF(INDEX([1]!tblPersonas[contacto_cuenta],MATCH($B10,[1]!tblPersonas[id_persona],0))=0,"",INDEX([1]!tblPersonas[contacto_cuenta],MATCH($B10,[1]!tblPersonas[id_persona],0)))</f>
        <v/>
      </c>
      <c r="G10" t="str">
        <f>INDEX([1]!tblPersonas[notas],MATCH($B10,[1]!tblPersonas[id_persona],0))</f>
        <v>Nombre real pendiente de registrar</v>
      </c>
    </row>
    <row r="11" spans="1:7" x14ac:dyDescent="0.25">
      <c r="A11">
        <v>10</v>
      </c>
      <c r="B11" t="s">
        <v>114</v>
      </c>
      <c r="C11" t="str">
        <f>INDEX([1]!tblPersonas[nombre],MATCH($B11,[1]!tblPersonas[id_persona],0))</f>
        <v>PRESTAMO 10</v>
      </c>
      <c r="D11" t="str">
        <f>IF(INDEX([1]!tblPersonas[identidad],MATCH($B11,[1]!tblPersonas[id_persona],0))=0,"",INDEX([1]!tblPersonas[identidad],MATCH($B11,[1]!tblPersonas[id_persona],0)))</f>
        <v/>
      </c>
      <c r="E11" t="str">
        <f>INDEX([1]!tblPersonas[tipo],MATCH($B11,[1]!tblPersonas[id_persona],0))</f>
        <v>PRESTATARIO</v>
      </c>
      <c r="F11" t="str">
        <f>IF(INDEX([1]!tblPersonas[contacto_cuenta],MATCH($B11,[1]!tblPersonas[id_persona],0))=0,"",INDEX([1]!tblPersonas[contacto_cuenta],MATCH($B11,[1]!tblPersonas[id_persona],0)))</f>
        <v/>
      </c>
      <c r="G11" t="str">
        <f>INDEX([1]!tblPersonas[notas],MATCH($B11,[1]!tblPersonas[id_persona],0))</f>
        <v>Nombre real pendiente de registrar</v>
      </c>
    </row>
    <row r="12" spans="1:7" x14ac:dyDescent="0.25">
      <c r="A12">
        <v>11</v>
      </c>
      <c r="B12" t="s">
        <v>115</v>
      </c>
      <c r="C12" t="str">
        <f>INDEX([1]!tblPersonas[nombre],MATCH($B12,[1]!tblPersonas[id_persona],0))</f>
        <v>DEUDOR 1</v>
      </c>
      <c r="D12" t="str">
        <f>IF(INDEX([1]!tblPersonas[identidad],MATCH($B12,[1]!tblPersonas[id_persona],0))=0,"",INDEX([1]!tblPersonas[identidad],MATCH($B12,[1]!tblPersonas[id_persona],0)))</f>
        <v/>
      </c>
      <c r="E12" t="str">
        <f>INDEX([1]!tblPersonas[tipo],MATCH($B12,[1]!tblPersonas[id_persona],0))</f>
        <v>PRESTATARIO</v>
      </c>
      <c r="F12" t="str">
        <f>IF(INDEX([1]!tblPersonas[contacto_cuenta],MATCH($B12,[1]!tblPersonas[id_persona],0))=0,"",INDEX([1]!tblPersonas[contacto_cuenta],MATCH($B12,[1]!tblPersonas[id_persona],0)))</f>
        <v/>
      </c>
      <c r="G12" t="str">
        <f>INDEX([1]!tblPersonas[notas],MATCH($B12,[1]!tblPersonas[id_persona],0))</f>
        <v>Cartera congelada</v>
      </c>
    </row>
    <row r="13" spans="1:7" x14ac:dyDescent="0.25">
      <c r="A13">
        <v>12</v>
      </c>
      <c r="B13" t="s">
        <v>116</v>
      </c>
      <c r="C13" t="str">
        <f>INDEX([1]!tblPersonas[nombre],MATCH($B13,[1]!tblPersonas[id_persona],0))</f>
        <v>DEUDOR 2</v>
      </c>
      <c r="D13" t="str">
        <f>IF(INDEX([1]!tblPersonas[identidad],MATCH($B13,[1]!tblPersonas[id_persona],0))=0,"",INDEX([1]!tblPersonas[identidad],MATCH($B13,[1]!tblPersonas[id_persona],0)))</f>
        <v/>
      </c>
      <c r="E13" t="str">
        <f>INDEX([1]!tblPersonas[tipo],MATCH($B13,[1]!tblPersonas[id_persona],0))</f>
        <v>PRESTATARIO</v>
      </c>
      <c r="F13" t="str">
        <f>IF(INDEX([1]!tblPersonas[contacto_cuenta],MATCH($B13,[1]!tblPersonas[id_persona],0))=0,"",INDEX([1]!tblPersonas[contacto_cuenta],MATCH($B13,[1]!tblPersonas[id_persona],0)))</f>
        <v/>
      </c>
      <c r="G13" t="str">
        <f>INDEX([1]!tblPersonas[notas],MATCH($B13,[1]!tblPersonas[id_persona],0))</f>
        <v>Cartera congelada</v>
      </c>
    </row>
    <row r="14" spans="1:7" x14ac:dyDescent="0.25">
      <c r="A14">
        <v>13</v>
      </c>
      <c r="B14" t="s">
        <v>117</v>
      </c>
      <c r="C14" t="str">
        <f>INDEX([1]!tblPersonas[nombre],MATCH($B14,[1]!tblPersonas[id_persona],0))</f>
        <v>DEUDOR 3</v>
      </c>
      <c r="D14" t="str">
        <f>IF(INDEX([1]!tblPersonas[identidad],MATCH($B14,[1]!tblPersonas[id_persona],0))=0,"",INDEX([1]!tblPersonas[identidad],MATCH($B14,[1]!tblPersonas[id_persona],0)))</f>
        <v/>
      </c>
      <c r="E14" t="str">
        <f>INDEX([1]!tblPersonas[tipo],MATCH($B14,[1]!tblPersonas[id_persona],0))</f>
        <v>PRESTATARIO</v>
      </c>
      <c r="F14" t="str">
        <f>IF(INDEX([1]!tblPersonas[contacto_cuenta],MATCH($B14,[1]!tblPersonas[id_persona],0))=0,"",INDEX([1]!tblPersonas[contacto_cuenta],MATCH($B14,[1]!tblPersonas[id_persona],0)))</f>
        <v/>
      </c>
      <c r="G14" t="str">
        <f>INDEX([1]!tblPersonas[notas],MATCH($B14,[1]!tblPersonas[id_persona],0))</f>
        <v>Cartera congelada</v>
      </c>
    </row>
    <row r="15" spans="1:7" x14ac:dyDescent="0.25">
      <c r="A15">
        <v>14</v>
      </c>
      <c r="B15" t="s">
        <v>118</v>
      </c>
      <c r="C15" t="str">
        <f>INDEX([1]!tblPersonas[nombre],MATCH($B15,[1]!tblPersonas[id_persona],0))</f>
        <v>DEUDOR 4</v>
      </c>
      <c r="D15" t="str">
        <f>IF(INDEX([1]!tblPersonas[identidad],MATCH($B15,[1]!tblPersonas[id_persona],0))=0,"",INDEX([1]!tblPersonas[identidad],MATCH($B15,[1]!tblPersonas[id_persona],0)))</f>
        <v/>
      </c>
      <c r="E15" t="str">
        <f>INDEX([1]!tblPersonas[tipo],MATCH($B15,[1]!tblPersonas[id_persona],0))</f>
        <v>PRESTATARIO</v>
      </c>
      <c r="F15" t="str">
        <f>IF(INDEX([1]!tblPersonas[contacto_cuenta],MATCH($B15,[1]!tblPersonas[id_persona],0))=0,"",INDEX([1]!tblPersonas[contacto_cuenta],MATCH($B15,[1]!tblPersonas[id_persona],0)))</f>
        <v/>
      </c>
      <c r="G15" t="str">
        <f>INDEX([1]!tblPersonas[notas],MATCH($B15,[1]!tblPersonas[id_persona],0))</f>
        <v>Cartera congelada</v>
      </c>
    </row>
    <row r="16" spans="1:7" x14ac:dyDescent="0.25">
      <c r="A16">
        <v>15</v>
      </c>
      <c r="B16" t="s">
        <v>119</v>
      </c>
      <c r="C16" t="str">
        <f>INDEX([1]!tblPersonas[nombre],MATCH($B16,[1]!tblPersonas[id_persona],0))</f>
        <v>DEUDOR 5</v>
      </c>
      <c r="D16" t="str">
        <f>IF(INDEX([1]!tblPersonas[identidad],MATCH($B16,[1]!tblPersonas[id_persona],0))=0,"",INDEX([1]!tblPersonas[identidad],MATCH($B16,[1]!tblPersonas[id_persona],0)))</f>
        <v/>
      </c>
      <c r="E16" t="str">
        <f>INDEX([1]!tblPersonas[tipo],MATCH($B16,[1]!tblPersonas[id_persona],0))</f>
        <v>PRESTATARIO</v>
      </c>
      <c r="F16" t="str">
        <f>IF(INDEX([1]!tblPersonas[contacto_cuenta],MATCH($B16,[1]!tblPersonas[id_persona],0))=0,"",INDEX([1]!tblPersonas[contacto_cuenta],MATCH($B16,[1]!tblPersonas[id_persona],0)))</f>
        <v/>
      </c>
      <c r="G16" t="str">
        <f>INDEX([1]!tblPersonas[notas],MATCH($B16,[1]!tblPersonas[id_persona],0))</f>
        <v>Cartera congelada</v>
      </c>
    </row>
    <row r="17" spans="1:7" x14ac:dyDescent="0.25">
      <c r="A17">
        <v>16</v>
      </c>
      <c r="B17" t="s">
        <v>120</v>
      </c>
      <c r="C17" t="str">
        <f>INDEX([1]!tblPersonas[nombre],MATCH($B17,[1]!tblPersonas[id_persona],0))</f>
        <v>DEUDOR 6</v>
      </c>
      <c r="D17" t="str">
        <f>IF(INDEX([1]!tblPersonas[identidad],MATCH($B17,[1]!tblPersonas[id_persona],0))=0,"",INDEX([1]!tblPersonas[identidad],MATCH($B17,[1]!tblPersonas[id_persona],0)))</f>
        <v/>
      </c>
      <c r="E17" t="str">
        <f>INDEX([1]!tblPersonas[tipo],MATCH($B17,[1]!tblPersonas[id_persona],0))</f>
        <v>PRESTATARIO</v>
      </c>
      <c r="F17" t="str">
        <f>IF(INDEX([1]!tblPersonas[contacto_cuenta],MATCH($B17,[1]!tblPersonas[id_persona],0))=0,"",INDEX([1]!tblPersonas[contacto_cuenta],MATCH($B17,[1]!tblPersonas[id_persona],0)))</f>
        <v/>
      </c>
      <c r="G17" t="str">
        <f>INDEX([1]!tblPersonas[notas],MATCH($B17,[1]!tblPersonas[id_persona],0))</f>
        <v>Cartera congelada</v>
      </c>
    </row>
    <row r="18" spans="1:7" x14ac:dyDescent="0.25">
      <c r="A18">
        <v>17</v>
      </c>
      <c r="B18" t="s">
        <v>121</v>
      </c>
      <c r="C18" t="str">
        <f>INDEX([1]!tblPersonas[nombre],MATCH($B18,[1]!tblPersonas[id_persona],0))</f>
        <v>EDUARDO KALEB RIVERA REYES</v>
      </c>
      <c r="D18" t="str">
        <f>IF(INDEX([1]!tblPersonas[identidad],MATCH($B18,[1]!tblPersonas[id_persona],0))=0,"",INDEX([1]!tblPersonas[identidad],MATCH($B18,[1]!tblPersonas[id_persona],0)))</f>
        <v>0501-1999-01916</v>
      </c>
      <c r="E18" t="str">
        <f>INDEX([1]!tblPersonas[tipo],MATCH($B18,[1]!tblPersonas[id_persona],0))</f>
        <v>PRESTATARIO</v>
      </c>
      <c r="F18" t="str">
        <f>IF(INDEX([1]!tblPersonas[contacto_cuenta],MATCH($B18,[1]!tblPersonas[id_persona],0))=0,"",INDEX([1]!tblPersonas[contacto_cuenta],MATCH($B18,[1]!tblPersonas[id_persona],0)))</f>
        <v/>
      </c>
      <c r="G18" t="str">
        <f>INDEX([1]!tblPersonas[notas],MATCH($B18,[1]!tblPersonas[id_persona],0))</f>
        <v>Incobrable. 10K de PTM otorgado el 21/09/2025 e int. de sept. a dic. por L2,640 al 4%</v>
      </c>
    </row>
    <row r="19" spans="1:7" x14ac:dyDescent="0.25">
      <c r="A19">
        <v>18</v>
      </c>
      <c r="B19" t="s">
        <v>122</v>
      </c>
      <c r="C19" t="str">
        <f>INDEX([1]!tblPersonas[nombre],MATCH($B19,[1]!tblPersonas[id_persona],0))</f>
        <v>JORGE LUIS MEDRANO ANDINO</v>
      </c>
      <c r="D19" t="str">
        <f>IF(INDEX([1]!tblPersonas[identidad],MATCH($B19,[1]!tblPersonas[id_persona],0))=0,"",INDEX([1]!tblPersonas[identidad],MATCH($B19,[1]!tblPersonas[id_persona],0)))</f>
        <v/>
      </c>
      <c r="E19" t="str">
        <f>INDEX([1]!tblPersonas[tipo],MATCH($B19,[1]!tblPersonas[id_persona],0))</f>
        <v>PRESTATARIO</v>
      </c>
      <c r="F19" t="str">
        <f>IF(INDEX([1]!tblPersonas[contacto_cuenta],MATCH($B19,[1]!tblPersonas[id_persona],0))=0,"",INDEX([1]!tblPersonas[contacto_cuenta],MATCH($B19,[1]!tblPersonas[id_persona],0)))</f>
        <v/>
      </c>
      <c r="G19" t="str">
        <f>INDEX([1]!tblPersonas[notas],MATCH($B19,[1]!tblPersonas[id_persona],0))</f>
        <v>Incobrable desde 2024. Pago de L500 pendiente de confirmar</v>
      </c>
    </row>
    <row r="20" spans="1:7" x14ac:dyDescent="0.25">
      <c r="A20">
        <v>19</v>
      </c>
      <c r="B20" t="s">
        <v>123</v>
      </c>
      <c r="C20" t="str">
        <f>INDEX([1]!tblPersonas[nombre],MATCH($B20,[1]!tblPersonas[id_persona],0))</f>
        <v>JACOBO MADRID / EMELY CHAPINA</v>
      </c>
      <c r="D20" t="str">
        <f>IF(INDEX([1]!tblPersonas[identidad],MATCH($B20,[1]!tblPersonas[id_persona],0))=0,"",INDEX([1]!tblPersonas[identidad],MATCH($B20,[1]!tblPersonas[id_persona],0)))</f>
        <v/>
      </c>
      <c r="E20" t="str">
        <f>INDEX([1]!tblPersonas[tipo],MATCH($B20,[1]!tblPersonas[id_persona],0))</f>
        <v>PRESTATARIO</v>
      </c>
      <c r="F20" t="str">
        <f>IF(INDEX([1]!tblPersonas[contacto_cuenta],MATCH($B20,[1]!tblPersonas[id_persona],0))=0,"",INDEX([1]!tblPersonas[contacto_cuenta],MATCH($B20,[1]!tblPersonas[id_persona],0)))</f>
        <v/>
      </c>
      <c r="G20" t="str">
        <f>INDEX([1]!tblPersonas[notas],MATCH($B20,[1]!tblPersonas[id_persona],0))</f>
        <v>Incobrable</v>
      </c>
    </row>
    <row r="21" spans="1:7" x14ac:dyDescent="0.25">
      <c r="A21">
        <v>20</v>
      </c>
      <c r="B21" t="s">
        <v>124</v>
      </c>
      <c r="C21" t="str">
        <f>INDEX([1]!tblPersonas[nombre],MATCH($B21,[1]!tblPersonas[id_persona],0))</f>
        <v>INVERSIONISTA 1</v>
      </c>
      <c r="D21" t="str">
        <f>IF(INDEX([1]!tblPersonas[identidad],MATCH($B21,[1]!tblPersonas[id_persona],0))=0,"",INDEX([1]!tblPersonas[identidad],MATCH($B21,[1]!tblPersonas[id_persona],0)))</f>
        <v/>
      </c>
      <c r="E21" t="str">
        <f>INDEX([1]!tblPersonas[tipo],MATCH($B21,[1]!tblPersonas[id_persona],0))</f>
        <v>INVERSIONISTA</v>
      </c>
      <c r="F21" t="str">
        <f>IF(INDEX([1]!tblPersonas[contacto_cuenta],MATCH($B21,[1]!tblPersonas[id_persona],0))=0,"",INDEX([1]!tblPersonas[contacto_cuenta],MATCH($B21,[1]!tblPersonas[id_persona],0)))</f>
        <v/>
      </c>
      <c r="G21" t="str">
        <f>INDEX([1]!tblPersonas[notas],MATCH($B21,[1]!tblPersonas[id_persona],0))</f>
        <v>Nombre real pendiente de registrar</v>
      </c>
    </row>
    <row r="22" spans="1:7" x14ac:dyDescent="0.25">
      <c r="A22">
        <v>21</v>
      </c>
      <c r="B22" t="s">
        <v>125</v>
      </c>
      <c r="C22" t="str">
        <f>INDEX([1]!tblPersonas[nombre],MATCH($B22,[1]!tblPersonas[id_persona],0))</f>
        <v>INVERSIONISTA 2</v>
      </c>
      <c r="D22" t="str">
        <f>IF(INDEX([1]!tblPersonas[identidad],MATCH($B22,[1]!tblPersonas[id_persona],0))=0,"",INDEX([1]!tblPersonas[identidad],MATCH($B22,[1]!tblPersonas[id_persona],0)))</f>
        <v/>
      </c>
      <c r="E22" t="str">
        <f>INDEX([1]!tblPersonas[tipo],MATCH($B22,[1]!tblPersonas[id_persona],0))</f>
        <v>INVERSIONISTA</v>
      </c>
      <c r="F22" t="str">
        <f>IF(INDEX([1]!tblPersonas[contacto_cuenta],MATCH($B22,[1]!tblPersonas[id_persona],0))=0,"",INDEX([1]!tblPersonas[contacto_cuenta],MATCH($B22,[1]!tblPersonas[id_persona],0)))</f>
        <v/>
      </c>
      <c r="G22" t="str">
        <f>INDEX([1]!tblPersonas[notas],MATCH($B22,[1]!tblPersonas[id_persona],0))</f>
        <v>Nombre real pendiente de registrar</v>
      </c>
    </row>
    <row r="23" spans="1:7" x14ac:dyDescent="0.25">
      <c r="A23">
        <v>22</v>
      </c>
      <c r="B23" t="s">
        <v>126</v>
      </c>
      <c r="C23" t="str">
        <f>INDEX([1]!tblPersonas[nombre],MATCH($B23,[1]!tblPersonas[id_persona],0))</f>
        <v>ANA MARIA RAMIREZ</v>
      </c>
      <c r="D23" t="str">
        <f>IF(INDEX([1]!tblPersonas[identidad],MATCH($B23,[1]!tblPersonas[id_persona],0))=0,"",INDEX([1]!tblPersonas[identidad],MATCH($B23,[1]!tblPersonas[id_persona],0)))</f>
        <v/>
      </c>
      <c r="E23" t="str">
        <f>INDEX([1]!tblPersonas[tipo],MATCH($B23,[1]!tblPersonas[id_persona],0))</f>
        <v>INVERSIONISTA</v>
      </c>
      <c r="F23" t="str">
        <f>IF(INDEX([1]!tblPersonas[contacto_cuenta],MATCH($B23,[1]!tblPersonas[id_persona],0))=0,"",INDEX([1]!tblPersonas[contacto_cuenta],MATCH($B23,[1]!tblPersonas[id_persona],0)))</f>
        <v>12-345-6789-0</v>
      </c>
      <c r="G23" t="str">
        <f>INDEX([1]!tblPersonas[notas],MATCH($B23,[1]!tblPersonas[id_persona],0))</f>
        <v>Inversionista 3 en hoja INVERS</v>
      </c>
    </row>
    <row r="24" spans="1:7" x14ac:dyDescent="0.25">
      <c r="A24">
        <v>23</v>
      </c>
      <c r="B24" t="s">
        <v>127</v>
      </c>
      <c r="C24" t="str">
        <f>INDEX([1]!tblPersonas[nombre],MATCH($B24,[1]!tblPersonas[id_persona],0))</f>
        <v>INVERSIONISTA 4</v>
      </c>
      <c r="D24" t="str">
        <f>IF(INDEX([1]!tblPersonas[identidad],MATCH($B24,[1]!tblPersonas[id_persona],0))=0,"",INDEX([1]!tblPersonas[identidad],MATCH($B24,[1]!tblPersonas[id_persona],0)))</f>
        <v/>
      </c>
      <c r="E24" t="str">
        <f>INDEX([1]!tblPersonas[tipo],MATCH($B24,[1]!tblPersonas[id_persona],0))</f>
        <v>INVERSIONISTA</v>
      </c>
      <c r="F24" t="str">
        <f>IF(INDEX([1]!tblPersonas[contacto_cuenta],MATCH($B24,[1]!tblPersonas[id_persona],0))=0,"",INDEX([1]!tblPersonas[contacto_cuenta],MATCH($B24,[1]!tblPersonas[id_persona],0)))</f>
        <v/>
      </c>
      <c r="G24" t="str">
        <f>INDEX([1]!tblPersonas[notas],MATCH($B24,[1]!tblPersonas[id_persona],0))</f>
        <v>Nombre real pendiente de registrar</v>
      </c>
    </row>
    <row r="25" spans="1:7" x14ac:dyDescent="0.25">
      <c r="A25">
        <v>24</v>
      </c>
      <c r="B25" t="s">
        <v>128</v>
      </c>
      <c r="C25" t="str">
        <f>INDEX([1]!tblPersonas[nombre],MATCH($B25,[1]!tblPersonas[id_persona],0))</f>
        <v>INVERSIONISTA 5</v>
      </c>
      <c r="D25" t="str">
        <f>IF(INDEX([1]!tblPersonas[identidad],MATCH($B25,[1]!tblPersonas[id_persona],0))=0,"",INDEX([1]!tblPersonas[identidad],MATCH($B25,[1]!tblPersonas[id_persona],0)))</f>
        <v/>
      </c>
      <c r="E25" t="str">
        <f>INDEX([1]!tblPersonas[tipo],MATCH($B25,[1]!tblPersonas[id_persona],0))</f>
        <v>INVERSIONISTA</v>
      </c>
      <c r="F25" t="str">
        <f>IF(INDEX([1]!tblPersonas[contacto_cuenta],MATCH($B25,[1]!tblPersonas[id_persona],0))=0,"",INDEX([1]!tblPersonas[contacto_cuenta],MATCH($B25,[1]!tblPersonas[id_persona],0)))</f>
        <v/>
      </c>
      <c r="G25" t="str">
        <f>INDEX([1]!tblPersonas[notas],MATCH($B25,[1]!tblPersonas[id_persona],0))</f>
        <v>Sin fondear</v>
      </c>
    </row>
    <row r="26" spans="1:7" x14ac:dyDescent="0.25">
      <c r="A26">
        <v>25</v>
      </c>
      <c r="B26" t="s">
        <v>129</v>
      </c>
      <c r="C26" t="str">
        <f>INDEX([1]!tblPersonas[nombre],MATCH($B26,[1]!tblPersonas[id_persona],0))</f>
        <v>INVERSIONISTA 6</v>
      </c>
      <c r="D26" t="str">
        <f>IF(INDEX([1]!tblPersonas[identidad],MATCH($B26,[1]!tblPersonas[id_persona],0))=0,"",INDEX([1]!tblPersonas[identidad],MATCH($B26,[1]!tblPersonas[id_persona],0)))</f>
        <v/>
      </c>
      <c r="E26" t="str">
        <f>INDEX([1]!tblPersonas[tipo],MATCH($B26,[1]!tblPersonas[id_persona],0))</f>
        <v>INVERSIONISTA</v>
      </c>
      <c r="F26" t="str">
        <f>IF(INDEX([1]!tblPersonas[contacto_cuenta],MATCH($B26,[1]!tblPersonas[id_persona],0))=0,"",INDEX([1]!tblPersonas[contacto_cuenta],MATCH($B26,[1]!tblPersonas[id_persona],0)))</f>
        <v/>
      </c>
      <c r="G26" t="str">
        <f>INDEX([1]!tblPersonas[notas],MATCH($B26,[1]!tblPersonas[id_persona],0))</f>
        <v>Sin fondear</v>
      </c>
    </row>
    <row r="27" spans="1:7" x14ac:dyDescent="0.25">
      <c r="A27">
        <v>26</v>
      </c>
      <c r="B27" t="s">
        <v>130</v>
      </c>
      <c r="C27" t="str">
        <f>INDEX([1]!tblPersonas[nombre],MATCH($B27,[1]!tblPersonas[id_persona],0))</f>
        <v>OLGA RODRIGUEZ</v>
      </c>
      <c r="D27" t="str">
        <f>IF(INDEX([1]!tblPersonas[identidad],MATCH($B27,[1]!tblPersonas[id_persona],0))=0,"",INDEX([1]!tblPersonas[identidad],MATCH($B27,[1]!tblPersonas[id_persona],0)))</f>
        <v/>
      </c>
      <c r="E27" t="str">
        <f>INDEX([1]!tblPersonas[tipo],MATCH($B27,[1]!tblPersonas[id_persona],0))</f>
        <v>INVERSIONISTA</v>
      </c>
      <c r="F27" t="str">
        <f>IF(INDEX([1]!tblPersonas[contacto_cuenta],MATCH($B27,[1]!tblPersonas[id_persona],0))=0,"",INDEX([1]!tblPersonas[contacto_cuenta],MATCH($B27,[1]!tblPersonas[id_persona],0)))</f>
        <v/>
      </c>
      <c r="G27" t="str">
        <f>INDEX([1]!tblPersonas[notas],MATCH($B27,[1]!tblPersonas[id_persona],0))</f>
        <v>Hoja INVERS2, sin fondear</v>
      </c>
    </row>
    <row r="28" spans="1:7" x14ac:dyDescent="0.25">
      <c r="A28">
        <v>27</v>
      </c>
      <c r="B28" t="s">
        <v>131</v>
      </c>
      <c r="C28" t="str">
        <f>INDEX([1]!tblPersonas[nombre],MATCH($B28,[1]!tblPersonas[id_persona],0))</f>
        <v>LAZARO RIVERA</v>
      </c>
      <c r="D28" t="str">
        <f>IF(INDEX([1]!tblPersonas[identidad],MATCH($B28,[1]!tblPersonas[id_persona],0))=0,"",INDEX([1]!tblPersonas[identidad],MATCH($B28,[1]!tblPersonas[id_persona],0)))</f>
        <v/>
      </c>
      <c r="E28" t="str">
        <f>INDEX([1]!tblPersonas[tipo],MATCH($B28,[1]!tblPersonas[id_persona],0))</f>
        <v>INVERSIONISTA</v>
      </c>
      <c r="F28" t="str">
        <f>IF(INDEX([1]!tblPersonas[contacto_cuenta],MATCH($B28,[1]!tblPersonas[id_persona],0))=0,"",INDEX([1]!tblPersonas[contacto_cuenta],MATCH($B28,[1]!tblPersonas[id_persona],0)))</f>
        <v/>
      </c>
      <c r="G28" t="str">
        <f>INDEX([1]!tblPersonas[notas],MATCH($B28,[1]!tblPersonas[id_persona],0))</f>
        <v>Hoja INVERS2, sin fondear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0436-D25A-4606-8D35-292E53E93BA0}">
  <dimension ref="A1:C6"/>
  <sheetViews>
    <sheetView workbookViewId="0">
      <selection activeCell="K24" sqref="K24"/>
    </sheetView>
  </sheetViews>
  <sheetFormatPr defaultRowHeight="15" x14ac:dyDescent="0.25"/>
  <cols>
    <col min="1" max="1" width="15.7109375" bestFit="1" customWidth="1"/>
    <col min="2" max="2" width="28.140625" bestFit="1" customWidth="1"/>
    <col min="3" max="3" width="23.42578125" bestFit="1" customWidth="1"/>
  </cols>
  <sheetData>
    <row r="1" spans="1:3" x14ac:dyDescent="0.25">
      <c r="A1" s="1" t="s">
        <v>10</v>
      </c>
      <c r="B1" s="1" t="s">
        <v>9</v>
      </c>
      <c r="C1" s="1" t="s">
        <v>132</v>
      </c>
    </row>
    <row r="2" spans="1:3" x14ac:dyDescent="0.25">
      <c r="A2">
        <v>0</v>
      </c>
      <c r="B2" t="s">
        <v>87</v>
      </c>
      <c r="C2" t="s">
        <v>133</v>
      </c>
    </row>
    <row r="3" spans="1:3" x14ac:dyDescent="0.25">
      <c r="A3">
        <v>1</v>
      </c>
      <c r="B3" t="s">
        <v>64</v>
      </c>
      <c r="C3" t="s">
        <v>134</v>
      </c>
    </row>
    <row r="4" spans="1:3" x14ac:dyDescent="0.25">
      <c r="A4">
        <v>2</v>
      </c>
      <c r="B4" t="s">
        <v>70</v>
      </c>
      <c r="C4" t="s">
        <v>135</v>
      </c>
    </row>
    <row r="5" spans="1:3" x14ac:dyDescent="0.25">
      <c r="A5">
        <v>3</v>
      </c>
      <c r="B5" t="s">
        <v>73</v>
      </c>
      <c r="C5" t="s">
        <v>136</v>
      </c>
    </row>
    <row r="6" spans="1:3" x14ac:dyDescent="0.25">
      <c r="A6">
        <v>4</v>
      </c>
      <c r="B6" t="s">
        <v>75</v>
      </c>
      <c r="C6" t="s">
        <v>137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9241-3B0C-43AC-B560-52373EAE89FE}">
  <dimension ref="A1:H14"/>
  <sheetViews>
    <sheetView tabSelected="1" workbookViewId="0">
      <selection sqref="A1:H14"/>
    </sheetView>
  </sheetViews>
  <sheetFormatPr defaultRowHeight="15" x14ac:dyDescent="0.25"/>
  <sheetData>
    <row r="1" spans="1:8" x14ac:dyDescent="0.25">
      <c r="A1" s="1" t="s">
        <v>4</v>
      </c>
      <c r="B1" s="1" t="s">
        <v>3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>
        <v>1</v>
      </c>
      <c r="B2" t="s">
        <v>40</v>
      </c>
      <c r="C2" t="s">
        <v>144</v>
      </c>
      <c r="D2">
        <v>0</v>
      </c>
      <c r="E2" t="s">
        <v>145</v>
      </c>
      <c r="F2" t="s">
        <v>146</v>
      </c>
      <c r="G2" t="s">
        <v>45</v>
      </c>
      <c r="H2" t="s">
        <v>45</v>
      </c>
    </row>
    <row r="3" spans="1:8" x14ac:dyDescent="0.25">
      <c r="A3">
        <v>2</v>
      </c>
      <c r="B3" t="s">
        <v>16</v>
      </c>
      <c r="C3" t="s">
        <v>147</v>
      </c>
      <c r="D3">
        <v>-1</v>
      </c>
      <c r="E3" t="s">
        <v>145</v>
      </c>
      <c r="F3" t="s">
        <v>146</v>
      </c>
      <c r="G3" t="s">
        <v>45</v>
      </c>
      <c r="H3" t="s">
        <v>45</v>
      </c>
    </row>
    <row r="4" spans="1:8" x14ac:dyDescent="0.25">
      <c r="A4">
        <v>3</v>
      </c>
      <c r="B4" t="s">
        <v>19</v>
      </c>
      <c r="C4" t="s">
        <v>148</v>
      </c>
      <c r="D4">
        <v>1</v>
      </c>
      <c r="E4" t="s">
        <v>145</v>
      </c>
      <c r="F4" t="s">
        <v>146</v>
      </c>
      <c r="G4" t="s">
        <v>45</v>
      </c>
      <c r="H4" t="s">
        <v>45</v>
      </c>
    </row>
    <row r="5" spans="1:8" x14ac:dyDescent="0.25">
      <c r="A5">
        <v>4</v>
      </c>
      <c r="B5" t="s">
        <v>20</v>
      </c>
      <c r="C5" t="s">
        <v>149</v>
      </c>
      <c r="D5">
        <v>1</v>
      </c>
      <c r="E5" t="s">
        <v>150</v>
      </c>
      <c r="F5" t="s">
        <v>151</v>
      </c>
      <c r="G5" t="s">
        <v>45</v>
      </c>
      <c r="H5" t="s">
        <v>18</v>
      </c>
    </row>
    <row r="6" spans="1:8" x14ac:dyDescent="0.25">
      <c r="A6">
        <v>5</v>
      </c>
      <c r="B6" t="s">
        <v>25</v>
      </c>
      <c r="C6" t="s">
        <v>152</v>
      </c>
      <c r="D6">
        <v>0</v>
      </c>
      <c r="E6" t="s">
        <v>150</v>
      </c>
      <c r="F6" t="s">
        <v>151</v>
      </c>
      <c r="G6" t="s">
        <v>18</v>
      </c>
      <c r="H6" t="s">
        <v>18</v>
      </c>
    </row>
    <row r="7" spans="1:8" x14ac:dyDescent="0.25">
      <c r="A7">
        <v>6</v>
      </c>
      <c r="B7" t="s">
        <v>49</v>
      </c>
      <c r="C7" t="s">
        <v>153</v>
      </c>
      <c r="D7">
        <v>1</v>
      </c>
      <c r="E7" t="s">
        <v>145</v>
      </c>
      <c r="F7" t="s">
        <v>146</v>
      </c>
      <c r="G7" t="s">
        <v>45</v>
      </c>
      <c r="H7" t="s">
        <v>45</v>
      </c>
    </row>
    <row r="8" spans="1:8" x14ac:dyDescent="0.25">
      <c r="A8">
        <v>7</v>
      </c>
      <c r="B8" t="s">
        <v>51</v>
      </c>
      <c r="C8" t="s">
        <v>154</v>
      </c>
      <c r="D8">
        <v>-1</v>
      </c>
      <c r="E8" t="s">
        <v>145</v>
      </c>
      <c r="F8" t="s">
        <v>146</v>
      </c>
      <c r="G8" t="s">
        <v>45</v>
      </c>
      <c r="H8" t="s">
        <v>45</v>
      </c>
    </row>
    <row r="9" spans="1:8" x14ac:dyDescent="0.25">
      <c r="A9">
        <v>8</v>
      </c>
      <c r="B9" t="s">
        <v>52</v>
      </c>
      <c r="C9" t="s">
        <v>155</v>
      </c>
      <c r="D9">
        <v>-1</v>
      </c>
      <c r="E9" t="s">
        <v>150</v>
      </c>
      <c r="F9" t="s">
        <v>156</v>
      </c>
      <c r="G9" t="s">
        <v>45</v>
      </c>
      <c r="H9" t="s">
        <v>18</v>
      </c>
    </row>
    <row r="10" spans="1:8" x14ac:dyDescent="0.25">
      <c r="A10">
        <v>9</v>
      </c>
      <c r="B10" t="s">
        <v>55</v>
      </c>
      <c r="C10" t="s">
        <v>157</v>
      </c>
      <c r="D10">
        <v>0</v>
      </c>
      <c r="E10" t="s">
        <v>150</v>
      </c>
      <c r="F10" t="s">
        <v>156</v>
      </c>
      <c r="G10" t="s">
        <v>18</v>
      </c>
      <c r="H10" t="s">
        <v>45</v>
      </c>
    </row>
    <row r="11" spans="1:8" x14ac:dyDescent="0.25">
      <c r="A11">
        <v>10</v>
      </c>
      <c r="B11" t="s">
        <v>63</v>
      </c>
      <c r="C11" t="s">
        <v>158</v>
      </c>
      <c r="D11">
        <v>1</v>
      </c>
      <c r="E11" t="s">
        <v>159</v>
      </c>
      <c r="F11" t="s">
        <v>151</v>
      </c>
      <c r="G11" t="s">
        <v>45</v>
      </c>
      <c r="H11" t="s">
        <v>18</v>
      </c>
    </row>
    <row r="12" spans="1:8" x14ac:dyDescent="0.25">
      <c r="A12">
        <v>11</v>
      </c>
      <c r="B12" t="s">
        <v>69</v>
      </c>
      <c r="C12" t="s">
        <v>160</v>
      </c>
      <c r="D12">
        <v>-1</v>
      </c>
      <c r="E12" t="s">
        <v>159</v>
      </c>
      <c r="F12" t="s">
        <v>156</v>
      </c>
      <c r="G12" t="s">
        <v>45</v>
      </c>
      <c r="H12" t="s">
        <v>18</v>
      </c>
    </row>
    <row r="13" spans="1:8" x14ac:dyDescent="0.25">
      <c r="A13">
        <v>12</v>
      </c>
      <c r="B13" t="s">
        <v>72</v>
      </c>
      <c r="C13" t="s">
        <v>161</v>
      </c>
      <c r="D13">
        <v>-1</v>
      </c>
      <c r="E13" t="s">
        <v>159</v>
      </c>
      <c r="F13" t="s">
        <v>156</v>
      </c>
      <c r="G13" t="s">
        <v>45</v>
      </c>
      <c r="H13" t="s">
        <v>45</v>
      </c>
    </row>
    <row r="14" spans="1:8" x14ac:dyDescent="0.25">
      <c r="A14">
        <v>13</v>
      </c>
      <c r="B14" t="s">
        <v>74</v>
      </c>
      <c r="C14" t="s">
        <v>162</v>
      </c>
      <c r="D14">
        <v>-1</v>
      </c>
      <c r="E14" t="s">
        <v>159</v>
      </c>
      <c r="F14" t="s">
        <v>156</v>
      </c>
      <c r="G14" t="s">
        <v>45</v>
      </c>
      <c r="H1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FACT_MOVIMIENTOS</vt:lpstr>
      <vt:lpstr>DIM_INVERSION</vt:lpstr>
      <vt:lpstr>DIM_PRESTAMO</vt:lpstr>
      <vt:lpstr>DIM_PERSONA</vt:lpstr>
      <vt:lpstr>DIM_CATEGORIA</vt:lpstr>
      <vt:lpstr>DIM_TIPO_MOV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Soler</dc:creator>
  <cp:lastModifiedBy>Mario Soler</cp:lastModifiedBy>
  <dcterms:created xsi:type="dcterms:W3CDTF">2026-08-11T19:39:28Z</dcterms:created>
  <dcterms:modified xsi:type="dcterms:W3CDTF">2026-08-12T13:54:36Z</dcterms:modified>
</cp:coreProperties>
</file>