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rivera\Desktop\"/>
    </mc:Choice>
  </mc:AlternateContent>
  <xr:revisionPtr revIDLastSave="0" documentId="13_ncr:1_{8472337E-58A3-4D41-A8F6-60C1500269F9}" xr6:coauthVersionLast="47" xr6:coauthVersionMax="47" xr10:uidLastSave="{00000000-0000-0000-0000-000000000000}"/>
  <bookViews>
    <workbookView xWindow="-120" yWindow="-120" windowWidth="20730" windowHeight="11040" tabRatio="737" activeTab="8" xr2:uid="{00000000-000D-0000-FFFF-FFFF00000000}"/>
  </bookViews>
  <sheets>
    <sheet name="PTM" sheetId="2" r:id="rId1"/>
    <sheet name="INVERS" sheetId="6" r:id="rId2"/>
    <sheet name="INT.BANC" sheetId="4" r:id="rId3"/>
    <sheet name="REC. CONGELAD" sheetId="17" r:id="rId4"/>
    <sheet name="Ctrl Int Atrasados" sheetId="8" r:id="rId5"/>
    <sheet name="INVERS2" sheetId="18" state="hidden" r:id="rId6"/>
    <sheet name="REC. INCOBRABLES" sheetId="14" r:id="rId7"/>
    <sheet name="LIBRETA" sheetId="3" r:id="rId8"/>
    <sheet name="BG" sheetId="20" r:id="rId9"/>
    <sheet name="ER" sheetId="19" r:id="rId10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3" l="1"/>
  <c r="M5" i="3"/>
  <c r="C14" i="19"/>
  <c r="C13" i="19"/>
  <c r="D15" i="19" s="1"/>
  <c r="C6" i="19"/>
  <c r="C8" i="19"/>
  <c r="C7" i="19"/>
  <c r="D9" i="19" s="1"/>
  <c r="AH3" i="17"/>
  <c r="AP2" i="2"/>
  <c r="AK2" i="2"/>
  <c r="F14" i="3"/>
  <c r="E6" i="14"/>
  <c r="D18" i="19" l="1"/>
  <c r="AI7" i="6"/>
  <c r="AH14" i="6" s="1"/>
  <c r="AN1" i="6"/>
  <c r="D19" i="19" l="1"/>
  <c r="D21" i="19" s="1"/>
  <c r="AL4" i="6"/>
  <c r="AN4" i="6"/>
  <c r="AO1" i="6" l="1"/>
  <c r="X8" i="6"/>
  <c r="AG10" i="6"/>
  <c r="M9" i="6"/>
  <c r="K10" i="6"/>
  <c r="M8" i="6"/>
  <c r="X10" i="6"/>
  <c r="V11" i="6"/>
  <c r="P70" i="18"/>
  <c r="O70" i="18"/>
  <c r="M8" i="18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M65" i="18" s="1"/>
  <c r="M66" i="18" s="1"/>
  <c r="M67" i="18" s="1"/>
  <c r="M68" i="18" s="1"/>
  <c r="M69" i="18" s="1"/>
  <c r="M70" i="18" s="1"/>
  <c r="M7" i="18"/>
  <c r="H70" i="18"/>
  <c r="G70" i="18"/>
  <c r="E7" i="18"/>
  <c r="E8" i="18" s="1"/>
  <c r="E9" i="18" s="1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AX3" i="17"/>
  <c r="BA6" i="17"/>
  <c r="BA7" i="17" s="1"/>
  <c r="BA8" i="17" s="1"/>
  <c r="BA9" i="17" s="1"/>
  <c r="BA10" i="17" s="1"/>
  <c r="BA11" i="17" s="1"/>
  <c r="BA12" i="17" s="1"/>
  <c r="BA13" i="17" s="1"/>
  <c r="BA14" i="17" s="1"/>
  <c r="BA15" i="17" s="1"/>
  <c r="BA16" i="17" s="1"/>
  <c r="BA17" i="17" s="1"/>
  <c r="BA18" i="17" s="1"/>
  <c r="BA19" i="17" s="1"/>
  <c r="BA20" i="17" s="1"/>
  <c r="BA21" i="17" s="1"/>
  <c r="BA22" i="17" s="1"/>
  <c r="BA23" i="17" s="1"/>
  <c r="BA24" i="17" s="1"/>
  <c r="BA25" i="17" s="1"/>
  <c r="BA26" i="17" s="1"/>
  <c r="BA27" i="17" s="1"/>
  <c r="BA28" i="17" s="1"/>
  <c r="BA29" i="17" s="1"/>
  <c r="BA30" i="17" s="1"/>
  <c r="BA31" i="17" s="1"/>
  <c r="BA32" i="17" s="1"/>
  <c r="BA33" i="17" s="1"/>
  <c r="BA34" i="17" s="1"/>
  <c r="BA35" i="17" s="1"/>
  <c r="BA36" i="17" s="1"/>
  <c r="BA37" i="17" s="1"/>
  <c r="BA38" i="17" s="1"/>
  <c r="BA39" i="17" s="1"/>
  <c r="BA40" i="17" s="1"/>
  <c r="BA41" i="17" s="1"/>
  <c r="BA42" i="17" s="1"/>
  <c r="BA43" i="17" s="1"/>
  <c r="BA44" i="17" s="1"/>
  <c r="BA45" i="17" s="1"/>
  <c r="BA46" i="17" s="1"/>
  <c r="BA47" i="17" s="1"/>
  <c r="BA48" i="17" s="1"/>
  <c r="BA49" i="17" s="1"/>
  <c r="BA50" i="17" s="1"/>
  <c r="BA51" i="17" s="1"/>
  <c r="BA52" i="17" s="1"/>
  <c r="BA53" i="17" s="1"/>
  <c r="BA54" i="17" s="1"/>
  <c r="AZ54" i="17"/>
  <c r="BC54" i="17"/>
  <c r="BD54" i="17"/>
  <c r="AI10" i="6" l="1"/>
  <c r="E73" i="18"/>
  <c r="E74" i="18"/>
  <c r="M10" i="6"/>
  <c r="AV54" i="17"/>
  <c r="AU54" i="17"/>
  <c r="AR54" i="17"/>
  <c r="AS6" i="17"/>
  <c r="AS7" i="17" s="1"/>
  <c r="AS8" i="17" s="1"/>
  <c r="AS9" i="17" s="1"/>
  <c r="AS10" i="17" s="1"/>
  <c r="AS11" i="17" s="1"/>
  <c r="AS12" i="17" s="1"/>
  <c r="AS13" i="17" s="1"/>
  <c r="AS14" i="17" s="1"/>
  <c r="AS15" i="17" s="1"/>
  <c r="AS16" i="17" s="1"/>
  <c r="AS17" i="17" s="1"/>
  <c r="AS18" i="17" s="1"/>
  <c r="AS19" i="17" s="1"/>
  <c r="AS20" i="17" s="1"/>
  <c r="AS21" i="17" s="1"/>
  <c r="AS22" i="17" s="1"/>
  <c r="AS23" i="17" s="1"/>
  <c r="AS24" i="17" s="1"/>
  <c r="AS25" i="17" s="1"/>
  <c r="AS26" i="17" s="1"/>
  <c r="AS27" i="17" s="1"/>
  <c r="AS28" i="17" s="1"/>
  <c r="AS29" i="17" s="1"/>
  <c r="AS30" i="17" s="1"/>
  <c r="AS31" i="17" s="1"/>
  <c r="AS32" i="17" s="1"/>
  <c r="AS33" i="17" s="1"/>
  <c r="AS34" i="17" s="1"/>
  <c r="AS35" i="17" s="1"/>
  <c r="AS36" i="17" s="1"/>
  <c r="AS37" i="17" s="1"/>
  <c r="AS38" i="17" s="1"/>
  <c r="AS39" i="17" s="1"/>
  <c r="AS40" i="17" s="1"/>
  <c r="AS41" i="17" s="1"/>
  <c r="AS42" i="17" s="1"/>
  <c r="AS43" i="17" s="1"/>
  <c r="AS44" i="17" s="1"/>
  <c r="AS45" i="17" s="1"/>
  <c r="AS46" i="17" s="1"/>
  <c r="AS47" i="17" s="1"/>
  <c r="AS48" i="17" s="1"/>
  <c r="AS49" i="17" s="1"/>
  <c r="AS50" i="17" s="1"/>
  <c r="AS51" i="17" s="1"/>
  <c r="AS52" i="17" s="1"/>
  <c r="AS53" i="17" s="1"/>
  <c r="AS54" i="17" s="1"/>
  <c r="AP3" i="17"/>
  <c r="AJ54" i="17"/>
  <c r="AB54" i="17"/>
  <c r="T54" i="17"/>
  <c r="L54" i="17"/>
  <c r="D54" i="17"/>
  <c r="M7" i="17"/>
  <c r="M8" i="17" s="1"/>
  <c r="M6" i="17"/>
  <c r="DQ5" i="2"/>
  <c r="AN54" i="17"/>
  <c r="AM54" i="17"/>
  <c r="AK6" i="17"/>
  <c r="AK7" i="17" s="1"/>
  <c r="AK8" i="17" s="1"/>
  <c r="AK9" i="17" s="1"/>
  <c r="AK10" i="17" s="1"/>
  <c r="AK11" i="17" s="1"/>
  <c r="AK12" i="17" s="1"/>
  <c r="AK13" i="17" s="1"/>
  <c r="AK14" i="17" s="1"/>
  <c r="AK15" i="17" s="1"/>
  <c r="AK16" i="17" s="1"/>
  <c r="AK17" i="17" s="1"/>
  <c r="AK18" i="17" s="1"/>
  <c r="AK19" i="17" s="1"/>
  <c r="AK20" i="17" s="1"/>
  <c r="AK21" i="17" s="1"/>
  <c r="AK22" i="17" s="1"/>
  <c r="AK23" i="17" s="1"/>
  <c r="AK24" i="17" s="1"/>
  <c r="AK25" i="17" s="1"/>
  <c r="AK26" i="17" s="1"/>
  <c r="AK27" i="17" s="1"/>
  <c r="AK28" i="17" s="1"/>
  <c r="AK29" i="17" s="1"/>
  <c r="AK30" i="17" s="1"/>
  <c r="AK31" i="17" s="1"/>
  <c r="AK32" i="17" s="1"/>
  <c r="AK33" i="17" s="1"/>
  <c r="AK34" i="17" s="1"/>
  <c r="AK35" i="17" s="1"/>
  <c r="AK36" i="17" s="1"/>
  <c r="AK37" i="17" s="1"/>
  <c r="AK38" i="17" s="1"/>
  <c r="AK39" i="17" s="1"/>
  <c r="AK40" i="17" s="1"/>
  <c r="AK41" i="17" s="1"/>
  <c r="AK42" i="17" s="1"/>
  <c r="AK43" i="17" s="1"/>
  <c r="AK44" i="17" s="1"/>
  <c r="AK45" i="17" s="1"/>
  <c r="AK46" i="17" s="1"/>
  <c r="AK47" i="17" s="1"/>
  <c r="AK48" i="17" s="1"/>
  <c r="AK49" i="17" s="1"/>
  <c r="AK50" i="17" s="1"/>
  <c r="AK51" i="17" s="1"/>
  <c r="AK52" i="17" s="1"/>
  <c r="AK53" i="17" s="1"/>
  <c r="AK54" i="17" s="1"/>
  <c r="AF54" i="17"/>
  <c r="AE54" i="17"/>
  <c r="AC6" i="17"/>
  <c r="AC7" i="17" s="1"/>
  <c r="AC8" i="17" s="1"/>
  <c r="AC9" i="17" s="1"/>
  <c r="AC10" i="17" s="1"/>
  <c r="AC11" i="17" s="1"/>
  <c r="AC12" i="17" s="1"/>
  <c r="AC13" i="17" s="1"/>
  <c r="AC14" i="17" s="1"/>
  <c r="AC15" i="17" s="1"/>
  <c r="AC16" i="17" s="1"/>
  <c r="AC17" i="17" s="1"/>
  <c r="AC18" i="17" s="1"/>
  <c r="AC19" i="17" s="1"/>
  <c r="AC20" i="17" s="1"/>
  <c r="AC21" i="17" s="1"/>
  <c r="AC22" i="17" s="1"/>
  <c r="AC23" i="17" s="1"/>
  <c r="AC24" i="17" s="1"/>
  <c r="AC25" i="17" s="1"/>
  <c r="AC26" i="17" s="1"/>
  <c r="AC27" i="17" s="1"/>
  <c r="AC28" i="17" s="1"/>
  <c r="AC29" i="17" s="1"/>
  <c r="AC30" i="17" s="1"/>
  <c r="AC31" i="17" s="1"/>
  <c r="AC32" i="17" s="1"/>
  <c r="AC33" i="17" s="1"/>
  <c r="AC34" i="17" s="1"/>
  <c r="AC35" i="17" s="1"/>
  <c r="AC36" i="17" s="1"/>
  <c r="AC37" i="17" s="1"/>
  <c r="AC38" i="17" s="1"/>
  <c r="AC39" i="17" s="1"/>
  <c r="AC40" i="17" s="1"/>
  <c r="AC41" i="17" s="1"/>
  <c r="AC42" i="17" s="1"/>
  <c r="AC43" i="17" s="1"/>
  <c r="AC44" i="17" s="1"/>
  <c r="AC45" i="17" s="1"/>
  <c r="AC46" i="17" s="1"/>
  <c r="AC47" i="17" s="1"/>
  <c r="AC48" i="17" s="1"/>
  <c r="AC49" i="17" s="1"/>
  <c r="AC50" i="17" s="1"/>
  <c r="AC51" i="17" s="1"/>
  <c r="AC52" i="17" s="1"/>
  <c r="AC53" i="17" s="1"/>
  <c r="AC54" i="17" s="1"/>
  <c r="Z3" i="17"/>
  <c r="X54" i="17"/>
  <c r="W54" i="17"/>
  <c r="U6" i="17"/>
  <c r="U7" i="17" s="1"/>
  <c r="U8" i="17" s="1"/>
  <c r="U9" i="17" s="1"/>
  <c r="U10" i="17" s="1"/>
  <c r="U11" i="17" s="1"/>
  <c r="U12" i="17" s="1"/>
  <c r="U13" i="17" s="1"/>
  <c r="U14" i="17" s="1"/>
  <c r="U15" i="17" s="1"/>
  <c r="U16" i="17" s="1"/>
  <c r="U17" i="17" s="1"/>
  <c r="U18" i="17" s="1"/>
  <c r="U19" i="17" s="1"/>
  <c r="U20" i="17" s="1"/>
  <c r="U21" i="17" s="1"/>
  <c r="U22" i="17" s="1"/>
  <c r="U23" i="17" s="1"/>
  <c r="U24" i="17" s="1"/>
  <c r="U25" i="17" s="1"/>
  <c r="U26" i="17" s="1"/>
  <c r="U27" i="17" s="1"/>
  <c r="U28" i="17" s="1"/>
  <c r="U29" i="17" s="1"/>
  <c r="U30" i="17" s="1"/>
  <c r="U31" i="17" s="1"/>
  <c r="U32" i="17" s="1"/>
  <c r="U33" i="17" s="1"/>
  <c r="U34" i="17" s="1"/>
  <c r="U35" i="17" s="1"/>
  <c r="U36" i="17" s="1"/>
  <c r="U37" i="17" s="1"/>
  <c r="U38" i="17" s="1"/>
  <c r="U39" i="17" s="1"/>
  <c r="U40" i="17" s="1"/>
  <c r="U41" i="17" s="1"/>
  <c r="U42" i="17" s="1"/>
  <c r="U43" i="17" s="1"/>
  <c r="U44" i="17" s="1"/>
  <c r="U45" i="17" s="1"/>
  <c r="U46" i="17" s="1"/>
  <c r="U47" i="17" s="1"/>
  <c r="U48" i="17" s="1"/>
  <c r="U49" i="17" s="1"/>
  <c r="U50" i="17" s="1"/>
  <c r="U51" i="17" s="1"/>
  <c r="U52" i="17" s="1"/>
  <c r="U53" i="17" s="1"/>
  <c r="U54" i="17" s="1"/>
  <c r="R3" i="17"/>
  <c r="E58" i="17" l="1"/>
  <c r="X9" i="6"/>
  <c r="BG71" i="6"/>
  <c r="BF71" i="6"/>
  <c r="BD8" i="6"/>
  <c r="BD9" i="6" s="1"/>
  <c r="BD10" i="6" s="1"/>
  <c r="BD11" i="6" s="1"/>
  <c r="BD12" i="6" s="1"/>
  <c r="BD13" i="6" s="1"/>
  <c r="BD14" i="6" s="1"/>
  <c r="BD15" i="6" s="1"/>
  <c r="BD16" i="6" s="1"/>
  <c r="BD17" i="6" s="1"/>
  <c r="BD18" i="6" s="1"/>
  <c r="BD19" i="6" s="1"/>
  <c r="BD20" i="6" s="1"/>
  <c r="BD21" i="6" s="1"/>
  <c r="BD22" i="6" s="1"/>
  <c r="BD23" i="6" s="1"/>
  <c r="BD24" i="6" s="1"/>
  <c r="BD25" i="6" s="1"/>
  <c r="BD26" i="6" s="1"/>
  <c r="BD27" i="6" s="1"/>
  <c r="BD28" i="6" s="1"/>
  <c r="BD29" i="6" s="1"/>
  <c r="BD30" i="6" s="1"/>
  <c r="BD31" i="6" s="1"/>
  <c r="BD32" i="6" s="1"/>
  <c r="BD33" i="6" s="1"/>
  <c r="BD34" i="6" s="1"/>
  <c r="BD35" i="6" s="1"/>
  <c r="BD36" i="6" s="1"/>
  <c r="BD37" i="6" s="1"/>
  <c r="BD38" i="6" s="1"/>
  <c r="BD39" i="6" s="1"/>
  <c r="BD40" i="6" s="1"/>
  <c r="BD41" i="6" s="1"/>
  <c r="BD42" i="6" s="1"/>
  <c r="BD43" i="6" s="1"/>
  <c r="BD44" i="6" s="1"/>
  <c r="BD45" i="6" s="1"/>
  <c r="BD46" i="6" s="1"/>
  <c r="BD47" i="6" s="1"/>
  <c r="BD48" i="6" s="1"/>
  <c r="BD49" i="6" s="1"/>
  <c r="BD50" i="6" s="1"/>
  <c r="BD51" i="6" s="1"/>
  <c r="BD52" i="6" s="1"/>
  <c r="BD53" i="6" s="1"/>
  <c r="BD54" i="6" s="1"/>
  <c r="BD55" i="6" s="1"/>
  <c r="BD56" i="6" s="1"/>
  <c r="BD57" i="6" s="1"/>
  <c r="BD58" i="6" s="1"/>
  <c r="BD59" i="6" s="1"/>
  <c r="BD60" i="6" s="1"/>
  <c r="BD61" i="6" s="1"/>
  <c r="BD62" i="6" s="1"/>
  <c r="BD63" i="6" s="1"/>
  <c r="BD64" i="6" s="1"/>
  <c r="BD65" i="6" s="1"/>
  <c r="BD66" i="6" s="1"/>
  <c r="BD67" i="6" s="1"/>
  <c r="BD68" i="6" s="1"/>
  <c r="BD69" i="6" s="1"/>
  <c r="BD70" i="6" s="1"/>
  <c r="BD71" i="6" s="1"/>
  <c r="AY71" i="6"/>
  <c r="AX71" i="6"/>
  <c r="AV8" i="6"/>
  <c r="AV9" i="6" s="1"/>
  <c r="AV10" i="6" s="1"/>
  <c r="AV11" i="6" s="1"/>
  <c r="AV12" i="6" s="1"/>
  <c r="AV13" i="6" s="1"/>
  <c r="AV14" i="6" s="1"/>
  <c r="AV15" i="6" s="1"/>
  <c r="AV16" i="6" s="1"/>
  <c r="AV17" i="6" s="1"/>
  <c r="AV18" i="6" s="1"/>
  <c r="AV19" i="6" s="1"/>
  <c r="AV20" i="6" s="1"/>
  <c r="AV21" i="6" s="1"/>
  <c r="AV22" i="6" s="1"/>
  <c r="AV23" i="6" s="1"/>
  <c r="AV24" i="6" s="1"/>
  <c r="AV25" i="6" s="1"/>
  <c r="AV26" i="6" s="1"/>
  <c r="AV27" i="6" s="1"/>
  <c r="AV28" i="6" s="1"/>
  <c r="AV29" i="6" s="1"/>
  <c r="AV30" i="6" s="1"/>
  <c r="AV31" i="6" s="1"/>
  <c r="AV32" i="6" s="1"/>
  <c r="AV33" i="6" s="1"/>
  <c r="AV34" i="6" s="1"/>
  <c r="AV35" i="6" s="1"/>
  <c r="AV36" i="6" s="1"/>
  <c r="AV37" i="6" s="1"/>
  <c r="AV38" i="6" s="1"/>
  <c r="AV39" i="6" s="1"/>
  <c r="AV40" i="6" s="1"/>
  <c r="AV41" i="6" s="1"/>
  <c r="AV42" i="6" s="1"/>
  <c r="AV43" i="6" s="1"/>
  <c r="AV44" i="6" s="1"/>
  <c r="AV45" i="6" s="1"/>
  <c r="AV46" i="6" s="1"/>
  <c r="AV47" i="6" s="1"/>
  <c r="AV48" i="6" s="1"/>
  <c r="AV49" i="6" s="1"/>
  <c r="AV50" i="6" s="1"/>
  <c r="AV51" i="6" s="1"/>
  <c r="AV52" i="6" s="1"/>
  <c r="AV53" i="6" s="1"/>
  <c r="AV54" i="6" s="1"/>
  <c r="AV55" i="6" s="1"/>
  <c r="AV56" i="6" s="1"/>
  <c r="AV57" i="6" s="1"/>
  <c r="AV58" i="6" s="1"/>
  <c r="AV59" i="6" s="1"/>
  <c r="AV60" i="6" s="1"/>
  <c r="AV61" i="6" s="1"/>
  <c r="AV62" i="6" s="1"/>
  <c r="AV63" i="6" s="1"/>
  <c r="AV64" i="6" s="1"/>
  <c r="AV65" i="6" s="1"/>
  <c r="AV66" i="6" s="1"/>
  <c r="AV67" i="6" s="1"/>
  <c r="AV68" i="6" s="1"/>
  <c r="AV69" i="6" s="1"/>
  <c r="AV70" i="6" s="1"/>
  <c r="AV71" i="6" s="1"/>
  <c r="AP71" i="6"/>
  <c r="AO71" i="6"/>
  <c r="AM8" i="6"/>
  <c r="AM9" i="6" s="1"/>
  <c r="AM10" i="6" s="1"/>
  <c r="AM11" i="6" s="1"/>
  <c r="AM12" i="6" s="1"/>
  <c r="AM13" i="6" s="1"/>
  <c r="AM14" i="6" s="1"/>
  <c r="AM15" i="6" s="1"/>
  <c r="AM16" i="6" s="1"/>
  <c r="AM17" i="6" s="1"/>
  <c r="AM18" i="6" s="1"/>
  <c r="AM19" i="6" s="1"/>
  <c r="AM20" i="6" s="1"/>
  <c r="AM21" i="6" s="1"/>
  <c r="AM22" i="6" s="1"/>
  <c r="AM23" i="6" s="1"/>
  <c r="AM24" i="6" s="1"/>
  <c r="AM25" i="6" s="1"/>
  <c r="AM26" i="6" s="1"/>
  <c r="AM27" i="6" s="1"/>
  <c r="AM28" i="6" s="1"/>
  <c r="AM29" i="6" s="1"/>
  <c r="AM30" i="6" s="1"/>
  <c r="AM31" i="6" s="1"/>
  <c r="AM32" i="6" s="1"/>
  <c r="AM33" i="6" s="1"/>
  <c r="AM34" i="6" s="1"/>
  <c r="AM35" i="6" s="1"/>
  <c r="AM36" i="6" s="1"/>
  <c r="AM37" i="6" s="1"/>
  <c r="AM38" i="6" s="1"/>
  <c r="AM39" i="6" s="1"/>
  <c r="AM40" i="6" s="1"/>
  <c r="AM41" i="6" s="1"/>
  <c r="AM42" i="6" s="1"/>
  <c r="AM43" i="6" s="1"/>
  <c r="AM44" i="6" s="1"/>
  <c r="AM45" i="6" s="1"/>
  <c r="AM46" i="6" s="1"/>
  <c r="AM47" i="6" s="1"/>
  <c r="AM48" i="6" s="1"/>
  <c r="AM49" i="6" s="1"/>
  <c r="AM50" i="6" s="1"/>
  <c r="AM51" i="6" s="1"/>
  <c r="AM52" i="6" s="1"/>
  <c r="AM53" i="6" s="1"/>
  <c r="AM54" i="6" s="1"/>
  <c r="AM55" i="6" s="1"/>
  <c r="AM56" i="6" s="1"/>
  <c r="AM57" i="6" s="1"/>
  <c r="AM58" i="6" s="1"/>
  <c r="AM59" i="6" s="1"/>
  <c r="AM60" i="6" s="1"/>
  <c r="AM61" i="6" s="1"/>
  <c r="AM62" i="6" s="1"/>
  <c r="AM63" i="6" s="1"/>
  <c r="AM64" i="6" s="1"/>
  <c r="AM65" i="6" s="1"/>
  <c r="AM66" i="6" s="1"/>
  <c r="AM67" i="6" s="1"/>
  <c r="AM68" i="6" s="1"/>
  <c r="AM69" i="6" s="1"/>
  <c r="AM70" i="6" s="1"/>
  <c r="AM71" i="6" s="1"/>
  <c r="X11" i="6" l="1"/>
  <c r="OM5" i="2"/>
  <c r="FE5" i="2"/>
  <c r="AE71" i="6"/>
  <c r="AD71" i="6"/>
  <c r="AB8" i="6"/>
  <c r="AB9" i="6" s="1"/>
  <c r="AB10" i="6" s="1"/>
  <c r="AB11" i="6" s="1"/>
  <c r="AB12" i="6" s="1"/>
  <c r="AB13" i="6" s="1"/>
  <c r="AB14" i="6" s="1"/>
  <c r="AB15" i="6" s="1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B71" i="6" s="1"/>
  <c r="P54" i="17"/>
  <c r="O54" i="17"/>
  <c r="M9" i="17"/>
  <c r="M10" i="17" s="1"/>
  <c r="M11" i="17" s="1"/>
  <c r="M12" i="17" s="1"/>
  <c r="M13" i="17" s="1"/>
  <c r="M14" i="17" s="1"/>
  <c r="M15" i="17" s="1"/>
  <c r="M16" i="17" s="1"/>
  <c r="M17" i="17" s="1"/>
  <c r="M18" i="17" s="1"/>
  <c r="M19" i="17" s="1"/>
  <c r="M20" i="17" s="1"/>
  <c r="M21" i="17" s="1"/>
  <c r="M22" i="17" s="1"/>
  <c r="M23" i="17" s="1"/>
  <c r="M24" i="17" s="1"/>
  <c r="M25" i="17" s="1"/>
  <c r="M26" i="17" s="1"/>
  <c r="M27" i="17" s="1"/>
  <c r="M28" i="17" s="1"/>
  <c r="M29" i="17" s="1"/>
  <c r="M30" i="17" s="1"/>
  <c r="M31" i="17" s="1"/>
  <c r="M32" i="17" s="1"/>
  <c r="M33" i="17" s="1"/>
  <c r="M34" i="17" s="1"/>
  <c r="M35" i="17" s="1"/>
  <c r="M36" i="17" s="1"/>
  <c r="M37" i="17" s="1"/>
  <c r="M38" i="17" s="1"/>
  <c r="M39" i="17" s="1"/>
  <c r="M40" i="17" s="1"/>
  <c r="M41" i="17" s="1"/>
  <c r="M42" i="17" s="1"/>
  <c r="M43" i="17" s="1"/>
  <c r="M44" i="17" s="1"/>
  <c r="M45" i="17" s="1"/>
  <c r="M46" i="17" s="1"/>
  <c r="M47" i="17" s="1"/>
  <c r="M48" i="17" s="1"/>
  <c r="M49" i="17" s="1"/>
  <c r="M50" i="17" s="1"/>
  <c r="M51" i="17" s="1"/>
  <c r="M52" i="17" s="1"/>
  <c r="M53" i="17" s="1"/>
  <c r="M54" i="17" s="1"/>
  <c r="J3" i="17"/>
  <c r="JM5" i="2"/>
  <c r="Q8" i="6" l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H54" i="17"/>
  <c r="G54" i="17"/>
  <c r="E6" i="17"/>
  <c r="E7" i="17" s="1"/>
  <c r="E8" i="17" s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7" i="17" s="1"/>
  <c r="B3" i="17"/>
  <c r="AZ8" i="2" l="1"/>
  <c r="AZ9" i="2" s="1"/>
  <c r="AZ10" i="2" s="1"/>
  <c r="AZ11" i="2" s="1"/>
  <c r="AZ12" i="2" s="1"/>
  <c r="AZ13" i="2" s="1"/>
  <c r="AZ14" i="2" s="1"/>
  <c r="AZ15" i="2" s="1"/>
  <c r="AZ16" i="2" s="1"/>
  <c r="AZ17" i="2" s="1"/>
  <c r="AZ18" i="2" s="1"/>
  <c r="AZ19" i="2" s="1"/>
  <c r="AZ20" i="2" s="1"/>
  <c r="AZ21" i="2" s="1"/>
  <c r="AZ22" i="2" s="1"/>
  <c r="AZ23" i="2" s="1"/>
  <c r="AZ24" i="2" s="1"/>
  <c r="AZ25" i="2" s="1"/>
  <c r="AZ26" i="2" s="1"/>
  <c r="AZ27" i="2" s="1"/>
  <c r="AZ28" i="2" s="1"/>
  <c r="AZ29" i="2" s="1"/>
  <c r="AZ30" i="2" s="1"/>
  <c r="AZ31" i="2" s="1"/>
  <c r="AZ32" i="2" s="1"/>
  <c r="AZ33" i="2" s="1"/>
  <c r="AZ34" i="2" s="1"/>
  <c r="AZ35" i="2" s="1"/>
  <c r="AZ36" i="2" s="1"/>
  <c r="AZ37" i="2" s="1"/>
  <c r="AZ38" i="2" s="1"/>
  <c r="AZ39" i="2" s="1"/>
  <c r="AZ40" i="2" s="1"/>
  <c r="AZ41" i="2" s="1"/>
  <c r="AZ42" i="2" s="1"/>
  <c r="AZ43" i="2" s="1"/>
  <c r="AZ44" i="2" s="1"/>
  <c r="AZ45" i="2" s="1"/>
  <c r="AZ46" i="2" s="1"/>
  <c r="AZ47" i="2" s="1"/>
  <c r="AZ48" i="2" s="1"/>
  <c r="AZ49" i="2" s="1"/>
  <c r="AZ50" i="2" s="1"/>
  <c r="AZ51" i="2" s="1"/>
  <c r="AZ52" i="2" s="1"/>
  <c r="AZ53" i="2" s="1"/>
  <c r="AZ54" i="2" s="1"/>
  <c r="AZ55" i="2" s="1"/>
  <c r="AZ56" i="2" s="1"/>
  <c r="BC56" i="2"/>
  <c r="F9" i="8" s="1"/>
  <c r="AE56" i="2"/>
  <c r="F6" i="8" s="1"/>
  <c r="AU56" i="2"/>
  <c r="F8" i="8" s="1"/>
  <c r="BK56" i="2"/>
  <c r="F10" i="8" s="1"/>
  <c r="BS56" i="2"/>
  <c r="F11" i="8" s="1"/>
  <c r="CQ56" i="2"/>
  <c r="F14" i="8" s="1"/>
  <c r="CY56" i="2"/>
  <c r="F15" i="8" s="1"/>
  <c r="DO56" i="2"/>
  <c r="F17" i="8" s="1"/>
  <c r="EU56" i="2"/>
  <c r="F21" i="8" s="1"/>
  <c r="FK56" i="2"/>
  <c r="F23" i="8" s="1"/>
  <c r="FS56" i="2"/>
  <c r="F24" i="8" s="1"/>
  <c r="GA56" i="2"/>
  <c r="F25" i="8" s="1"/>
  <c r="HG56" i="2"/>
  <c r="F29" i="8" s="1"/>
  <c r="IE56" i="2"/>
  <c r="F32" i="8" s="1"/>
  <c r="IM56" i="2"/>
  <c r="F33" i="8" s="1"/>
  <c r="IU56" i="2"/>
  <c r="F34" i="8" s="1"/>
  <c r="CI56" i="2"/>
  <c r="F13" i="8" s="1"/>
  <c r="CX56" i="2"/>
  <c r="FR56" i="2"/>
  <c r="BB56" i="2"/>
  <c r="HF56" i="2"/>
  <c r="CP56" i="2"/>
  <c r="AD56" i="2"/>
  <c r="IT56" i="2"/>
  <c r="IL56" i="2"/>
  <c r="FJ56" i="2"/>
  <c r="DN56" i="2"/>
  <c r="BJ56" i="2"/>
  <c r="BR56" i="2"/>
  <c r="C18" i="4"/>
  <c r="F6" i="3" s="1"/>
  <c r="FH8" i="2"/>
  <c r="FH9" i="2" s="1"/>
  <c r="FH10" i="2" s="1"/>
  <c r="FH11" i="2" s="1"/>
  <c r="FH12" i="2" s="1"/>
  <c r="FH13" i="2" s="1"/>
  <c r="FH14" i="2" s="1"/>
  <c r="FH15" i="2" s="1"/>
  <c r="FH16" i="2" s="1"/>
  <c r="FH17" i="2" s="1"/>
  <c r="FH18" i="2" s="1"/>
  <c r="FH19" i="2" s="1"/>
  <c r="FH20" i="2" s="1"/>
  <c r="FH21" i="2" s="1"/>
  <c r="FH22" i="2" s="1"/>
  <c r="FH23" i="2" s="1"/>
  <c r="FH24" i="2" s="1"/>
  <c r="FH25" i="2" s="1"/>
  <c r="FH26" i="2" s="1"/>
  <c r="FH27" i="2" s="1"/>
  <c r="FH28" i="2" s="1"/>
  <c r="FH29" i="2" s="1"/>
  <c r="FH30" i="2" s="1"/>
  <c r="FH31" i="2" s="1"/>
  <c r="FH32" i="2" s="1"/>
  <c r="FH33" i="2" s="1"/>
  <c r="FH34" i="2" s="1"/>
  <c r="FH35" i="2" s="1"/>
  <c r="FH36" i="2" s="1"/>
  <c r="FH37" i="2" s="1"/>
  <c r="FH38" i="2" s="1"/>
  <c r="FH39" i="2" s="1"/>
  <c r="FH40" i="2" s="1"/>
  <c r="FH41" i="2" s="1"/>
  <c r="FH42" i="2" s="1"/>
  <c r="FH43" i="2" s="1"/>
  <c r="FH44" i="2" s="1"/>
  <c r="FH45" i="2" s="1"/>
  <c r="FH46" i="2" s="1"/>
  <c r="FH47" i="2" s="1"/>
  <c r="FH48" i="2" s="1"/>
  <c r="FH49" i="2" s="1"/>
  <c r="FH50" i="2" s="1"/>
  <c r="FH51" i="2" s="1"/>
  <c r="FH52" i="2" s="1"/>
  <c r="FH53" i="2" s="1"/>
  <c r="FH54" i="2" s="1"/>
  <c r="FH55" i="2" s="1"/>
  <c r="FH56" i="2" s="1"/>
  <c r="BX8" i="2"/>
  <c r="BX9" i="2" s="1"/>
  <c r="BX10" i="2" s="1"/>
  <c r="BX11" i="2" s="1"/>
  <c r="BX12" i="2" s="1"/>
  <c r="BX13" i="2" s="1"/>
  <c r="BX14" i="2" s="1"/>
  <c r="BX15" i="2" s="1"/>
  <c r="BX16" i="2" s="1"/>
  <c r="BX17" i="2" s="1"/>
  <c r="BX18" i="2" s="1"/>
  <c r="BX19" i="2" s="1"/>
  <c r="BX20" i="2" s="1"/>
  <c r="BX21" i="2" s="1"/>
  <c r="BX22" i="2" s="1"/>
  <c r="BX23" i="2" s="1"/>
  <c r="BX24" i="2" s="1"/>
  <c r="BX25" i="2" s="1"/>
  <c r="BX26" i="2" s="1"/>
  <c r="BX27" i="2" s="1"/>
  <c r="BX28" i="2" s="1"/>
  <c r="BX29" i="2" s="1"/>
  <c r="BX30" i="2" s="1"/>
  <c r="BX31" i="2" s="1"/>
  <c r="BX32" i="2" s="1"/>
  <c r="BX33" i="2" s="1"/>
  <c r="BX34" i="2" s="1"/>
  <c r="BX35" i="2" s="1"/>
  <c r="BX36" i="2" s="1"/>
  <c r="BX37" i="2" s="1"/>
  <c r="BX38" i="2" s="1"/>
  <c r="BX39" i="2" s="1"/>
  <c r="BX40" i="2" s="1"/>
  <c r="BX41" i="2" s="1"/>
  <c r="BX42" i="2" s="1"/>
  <c r="BX43" i="2" s="1"/>
  <c r="BX44" i="2" s="1"/>
  <c r="BX45" i="2" s="1"/>
  <c r="BX46" i="2" s="1"/>
  <c r="BX47" i="2" s="1"/>
  <c r="BX48" i="2" s="1"/>
  <c r="BX49" i="2" s="1"/>
  <c r="BX50" i="2" s="1"/>
  <c r="BX51" i="2" s="1"/>
  <c r="BX52" i="2" s="1"/>
  <c r="BX53" i="2" s="1"/>
  <c r="BX54" i="2" s="1"/>
  <c r="BX55" i="2" s="1"/>
  <c r="BX56" i="2" s="1"/>
  <c r="BP8" i="2"/>
  <c r="BP9" i="2" s="1"/>
  <c r="BP10" i="2" s="1"/>
  <c r="BP11" i="2" s="1"/>
  <c r="BP12" i="2" s="1"/>
  <c r="BP13" i="2" s="1"/>
  <c r="BP14" i="2" s="1"/>
  <c r="BP15" i="2" s="1"/>
  <c r="BP16" i="2" s="1"/>
  <c r="BP17" i="2" s="1"/>
  <c r="BP18" i="2" s="1"/>
  <c r="BP19" i="2" s="1"/>
  <c r="BP20" i="2" s="1"/>
  <c r="BP21" i="2" s="1"/>
  <c r="BP22" i="2" s="1"/>
  <c r="BP23" i="2" s="1"/>
  <c r="BP24" i="2" s="1"/>
  <c r="BP25" i="2" s="1"/>
  <c r="BP26" i="2" s="1"/>
  <c r="BP27" i="2" s="1"/>
  <c r="BP28" i="2" s="1"/>
  <c r="BP29" i="2" s="1"/>
  <c r="BP30" i="2" s="1"/>
  <c r="BP31" i="2" s="1"/>
  <c r="BP32" i="2" s="1"/>
  <c r="BP33" i="2" s="1"/>
  <c r="BP34" i="2" s="1"/>
  <c r="BP35" i="2" s="1"/>
  <c r="BP36" i="2" s="1"/>
  <c r="BP37" i="2" s="1"/>
  <c r="BP38" i="2" s="1"/>
  <c r="BP39" i="2" s="1"/>
  <c r="BP40" i="2" s="1"/>
  <c r="BP41" i="2" s="1"/>
  <c r="BP42" i="2" s="1"/>
  <c r="BP43" i="2" s="1"/>
  <c r="BP44" i="2" s="1"/>
  <c r="BP45" i="2" s="1"/>
  <c r="BP46" i="2" s="1"/>
  <c r="BP47" i="2" s="1"/>
  <c r="BP48" i="2" s="1"/>
  <c r="BP49" i="2" s="1"/>
  <c r="BP50" i="2" s="1"/>
  <c r="BP51" i="2" s="1"/>
  <c r="BP52" i="2" s="1"/>
  <c r="BP53" i="2" s="1"/>
  <c r="BP54" i="2" s="1"/>
  <c r="BP55" i="2" s="1"/>
  <c r="BP56" i="2" s="1"/>
  <c r="LA5" i="2"/>
  <c r="D42" i="8" s="1"/>
  <c r="IR5" i="2"/>
  <c r="D34" i="8" s="1"/>
  <c r="ABS5" i="2"/>
  <c r="SE5" i="2"/>
  <c r="D65" i="8" s="1"/>
  <c r="QA5" i="2"/>
  <c r="D58" i="8" s="1"/>
  <c r="PC5" i="2"/>
  <c r="D55" i="8" s="1"/>
  <c r="MQ5" i="2"/>
  <c r="D47" i="8" s="1"/>
  <c r="HY5" i="2"/>
  <c r="D32" i="8" s="1"/>
  <c r="HQ5" i="2"/>
  <c r="D31" i="8" s="1"/>
  <c r="HI5" i="2"/>
  <c r="D30" i="8" s="1"/>
  <c r="HA5" i="2"/>
  <c r="D29" i="8" s="1"/>
  <c r="GS5" i="2"/>
  <c r="D28" i="8" s="1"/>
  <c r="GK5" i="2"/>
  <c r="D27" i="8" s="1"/>
  <c r="GC5" i="2"/>
  <c r="D26" i="8" s="1"/>
  <c r="FU5" i="2"/>
  <c r="D25" i="8" s="1"/>
  <c r="FM5" i="2"/>
  <c r="D24" i="8" s="1"/>
  <c r="EW5" i="2"/>
  <c r="D22" i="8" s="1"/>
  <c r="EO5" i="2"/>
  <c r="D21" i="8" s="1"/>
  <c r="EG5" i="2"/>
  <c r="D20" i="8" s="1"/>
  <c r="DY5" i="2"/>
  <c r="D19" i="8" s="1"/>
  <c r="DI5" i="2"/>
  <c r="DA5" i="2"/>
  <c r="D16" i="8" s="1"/>
  <c r="CS5" i="2"/>
  <c r="D15" i="8" s="1"/>
  <c r="CK5" i="2"/>
  <c r="D14" i="8" s="1"/>
  <c r="CC5" i="2"/>
  <c r="D13" i="8" s="1"/>
  <c r="BU5" i="2"/>
  <c r="D12" i="8" s="1"/>
  <c r="BM5" i="2"/>
  <c r="D11" i="8" s="1"/>
  <c r="BE5" i="2"/>
  <c r="D10" i="8" s="1"/>
  <c r="AW5" i="2"/>
  <c r="D9" i="8" s="1"/>
  <c r="AO5" i="2"/>
  <c r="D8" i="8" s="1"/>
  <c r="AG5" i="2"/>
  <c r="Y5" i="2"/>
  <c r="D6" i="8" s="1"/>
  <c r="Q5" i="2"/>
  <c r="D5" i="8" s="1"/>
  <c r="I5" i="2"/>
  <c r="D4" i="8" s="1"/>
  <c r="A5" i="2"/>
  <c r="D3" i="8" s="1"/>
  <c r="IG5" i="2"/>
  <c r="D33" i="8" s="1"/>
  <c r="DD8" i="2"/>
  <c r="DD9" i="2" s="1"/>
  <c r="DD10" i="2" s="1"/>
  <c r="DD11" i="2" s="1"/>
  <c r="DD12" i="2" s="1"/>
  <c r="DD13" i="2" s="1"/>
  <c r="DD14" i="2" s="1"/>
  <c r="DD15" i="2" s="1"/>
  <c r="DD16" i="2" s="1"/>
  <c r="DD17" i="2" s="1"/>
  <c r="DD18" i="2" s="1"/>
  <c r="DD19" i="2" s="1"/>
  <c r="DD20" i="2" s="1"/>
  <c r="DD21" i="2" s="1"/>
  <c r="DD22" i="2" s="1"/>
  <c r="DD23" i="2" s="1"/>
  <c r="DD24" i="2" s="1"/>
  <c r="DD25" i="2" s="1"/>
  <c r="DD26" i="2" s="1"/>
  <c r="DD27" i="2" s="1"/>
  <c r="DD28" i="2" s="1"/>
  <c r="DD29" i="2" s="1"/>
  <c r="DD30" i="2" s="1"/>
  <c r="DD31" i="2" s="1"/>
  <c r="DD32" i="2" s="1"/>
  <c r="DD33" i="2" s="1"/>
  <c r="DD34" i="2" s="1"/>
  <c r="DD35" i="2" s="1"/>
  <c r="DD36" i="2" s="1"/>
  <c r="DD37" i="2" s="1"/>
  <c r="DD38" i="2" s="1"/>
  <c r="DD39" i="2" s="1"/>
  <c r="DD40" i="2" s="1"/>
  <c r="DD41" i="2" s="1"/>
  <c r="DD42" i="2" s="1"/>
  <c r="DD43" i="2" s="1"/>
  <c r="DD44" i="2" s="1"/>
  <c r="DD45" i="2" s="1"/>
  <c r="DD46" i="2" s="1"/>
  <c r="DD47" i="2" s="1"/>
  <c r="DD48" i="2" s="1"/>
  <c r="DD49" i="2" s="1"/>
  <c r="DD50" i="2" s="1"/>
  <c r="DD51" i="2" s="1"/>
  <c r="DD52" i="2" s="1"/>
  <c r="DD53" i="2" s="1"/>
  <c r="DD54" i="2" s="1"/>
  <c r="DD55" i="2" s="1"/>
  <c r="DD56" i="2" s="1"/>
  <c r="ACB8" i="2"/>
  <c r="ACB9" i="2" s="1"/>
  <c r="ACB10" i="2" s="1"/>
  <c r="ACB11" i="2" s="1"/>
  <c r="ACB12" i="2" s="1"/>
  <c r="ACB13" i="2" s="1"/>
  <c r="ACB14" i="2" s="1"/>
  <c r="ACB15" i="2" s="1"/>
  <c r="ACB16" i="2" s="1"/>
  <c r="ACB17" i="2" s="1"/>
  <c r="ACB18" i="2" s="1"/>
  <c r="ACB19" i="2" s="1"/>
  <c r="ACB20" i="2" s="1"/>
  <c r="ACB21" i="2" s="1"/>
  <c r="ACB22" i="2" s="1"/>
  <c r="ACB23" i="2" s="1"/>
  <c r="ACB24" i="2" s="1"/>
  <c r="ACB25" i="2" s="1"/>
  <c r="ACB26" i="2" s="1"/>
  <c r="ACB27" i="2" s="1"/>
  <c r="ACB28" i="2" s="1"/>
  <c r="ACB29" i="2" s="1"/>
  <c r="ACB30" i="2" s="1"/>
  <c r="ACB31" i="2" s="1"/>
  <c r="ACB32" i="2" s="1"/>
  <c r="ACB33" i="2" s="1"/>
  <c r="ACB34" i="2" s="1"/>
  <c r="ACB35" i="2" s="1"/>
  <c r="ACB36" i="2" s="1"/>
  <c r="ACB37" i="2" s="1"/>
  <c r="ACB38" i="2" s="1"/>
  <c r="ACB39" i="2" s="1"/>
  <c r="ACB40" i="2" s="1"/>
  <c r="ACB41" i="2" s="1"/>
  <c r="ACB42" i="2" s="1"/>
  <c r="ACB43" i="2" s="1"/>
  <c r="ACB44" i="2" s="1"/>
  <c r="ACB45" i="2" s="1"/>
  <c r="ACB46" i="2" s="1"/>
  <c r="ACB47" i="2" s="1"/>
  <c r="ACB48" i="2" s="1"/>
  <c r="ACB49" i="2" s="1"/>
  <c r="ACB50" i="2" s="1"/>
  <c r="ACB51" i="2" s="1"/>
  <c r="ACB52" i="2" s="1"/>
  <c r="ACB53" i="2" s="1"/>
  <c r="ACB54" i="2" s="1"/>
  <c r="ACB55" i="2" s="1"/>
  <c r="ACB56" i="2" s="1"/>
  <c r="ACE56" i="2"/>
  <c r="ACD56" i="2"/>
  <c r="ACA5" i="2"/>
  <c r="ABW56" i="2"/>
  <c r="ABV56" i="2"/>
  <c r="ABT8" i="2"/>
  <c r="ABT9" i="2" s="1"/>
  <c r="ABT10" i="2" s="1"/>
  <c r="ABT11" i="2" s="1"/>
  <c r="ABT12" i="2" s="1"/>
  <c r="ABT13" i="2" s="1"/>
  <c r="ABT14" i="2" s="1"/>
  <c r="ABT15" i="2" s="1"/>
  <c r="ABT16" i="2" s="1"/>
  <c r="ABT17" i="2" s="1"/>
  <c r="ABT18" i="2" s="1"/>
  <c r="ABT19" i="2" s="1"/>
  <c r="ABT20" i="2" s="1"/>
  <c r="ABT21" i="2" s="1"/>
  <c r="ABT22" i="2" s="1"/>
  <c r="ABT23" i="2" s="1"/>
  <c r="ABT24" i="2" s="1"/>
  <c r="ABT25" i="2" s="1"/>
  <c r="ABT26" i="2" s="1"/>
  <c r="ABT27" i="2" s="1"/>
  <c r="ABT28" i="2" s="1"/>
  <c r="ABT29" i="2" s="1"/>
  <c r="ABT30" i="2" s="1"/>
  <c r="ABT31" i="2" s="1"/>
  <c r="ABT32" i="2" s="1"/>
  <c r="ABT33" i="2" s="1"/>
  <c r="ABT34" i="2" s="1"/>
  <c r="ABT35" i="2" s="1"/>
  <c r="ABT36" i="2" s="1"/>
  <c r="ABT37" i="2" s="1"/>
  <c r="ABT38" i="2" s="1"/>
  <c r="ABT39" i="2" s="1"/>
  <c r="ABT40" i="2" s="1"/>
  <c r="ABT41" i="2" s="1"/>
  <c r="ABT42" i="2" s="1"/>
  <c r="ABT43" i="2" s="1"/>
  <c r="ABT44" i="2" s="1"/>
  <c r="ABT45" i="2" s="1"/>
  <c r="ABT46" i="2" s="1"/>
  <c r="ABT47" i="2" s="1"/>
  <c r="ABT48" i="2" s="1"/>
  <c r="ABT49" i="2" s="1"/>
  <c r="ABT50" i="2" s="1"/>
  <c r="ABT51" i="2" s="1"/>
  <c r="ABT52" i="2" s="1"/>
  <c r="ABT53" i="2" s="1"/>
  <c r="ABT54" i="2" s="1"/>
  <c r="ABT55" i="2" s="1"/>
  <c r="ABT56" i="2" s="1"/>
  <c r="ABO56" i="2"/>
  <c r="ABN56" i="2"/>
  <c r="ABL8" i="2"/>
  <c r="ABL9" i="2" s="1"/>
  <c r="ABL10" i="2" s="1"/>
  <c r="ABL11" i="2" s="1"/>
  <c r="ABL12" i="2" s="1"/>
  <c r="ABL13" i="2" s="1"/>
  <c r="ABL14" i="2" s="1"/>
  <c r="ABL15" i="2" s="1"/>
  <c r="ABL16" i="2" s="1"/>
  <c r="ABL17" i="2" s="1"/>
  <c r="ABL18" i="2" s="1"/>
  <c r="ABL19" i="2" s="1"/>
  <c r="ABL20" i="2" s="1"/>
  <c r="ABL21" i="2" s="1"/>
  <c r="ABL22" i="2" s="1"/>
  <c r="ABL23" i="2" s="1"/>
  <c r="ABL24" i="2" s="1"/>
  <c r="ABL25" i="2" s="1"/>
  <c r="ABL26" i="2" s="1"/>
  <c r="ABL27" i="2" s="1"/>
  <c r="ABL28" i="2" s="1"/>
  <c r="ABL29" i="2" s="1"/>
  <c r="ABL30" i="2" s="1"/>
  <c r="ABL31" i="2" s="1"/>
  <c r="ABL32" i="2" s="1"/>
  <c r="ABL33" i="2" s="1"/>
  <c r="ABL34" i="2" s="1"/>
  <c r="ABL35" i="2" s="1"/>
  <c r="ABL36" i="2" s="1"/>
  <c r="ABL37" i="2" s="1"/>
  <c r="ABL38" i="2" s="1"/>
  <c r="ABL39" i="2" s="1"/>
  <c r="ABL40" i="2" s="1"/>
  <c r="ABL41" i="2" s="1"/>
  <c r="ABL42" i="2" s="1"/>
  <c r="ABL43" i="2" s="1"/>
  <c r="ABL44" i="2" s="1"/>
  <c r="ABL45" i="2" s="1"/>
  <c r="ABL46" i="2" s="1"/>
  <c r="ABL47" i="2" s="1"/>
  <c r="ABL48" i="2" s="1"/>
  <c r="ABL49" i="2" s="1"/>
  <c r="ABL50" i="2" s="1"/>
  <c r="ABL51" i="2" s="1"/>
  <c r="ABL52" i="2" s="1"/>
  <c r="ABL53" i="2" s="1"/>
  <c r="ABL54" i="2" s="1"/>
  <c r="ABL55" i="2" s="1"/>
  <c r="ABL56" i="2" s="1"/>
  <c r="ABK5" i="2"/>
  <c r="ABG56" i="2"/>
  <c r="ABF56" i="2"/>
  <c r="ABD8" i="2"/>
  <c r="ABD9" i="2" s="1"/>
  <c r="ABD10" i="2" s="1"/>
  <c r="ABD11" i="2" s="1"/>
  <c r="ABD12" i="2" s="1"/>
  <c r="ABD13" i="2" s="1"/>
  <c r="ABD14" i="2" s="1"/>
  <c r="ABD15" i="2" s="1"/>
  <c r="ABD16" i="2" s="1"/>
  <c r="ABD17" i="2" s="1"/>
  <c r="ABD18" i="2" s="1"/>
  <c r="ABD19" i="2" s="1"/>
  <c r="ABD20" i="2" s="1"/>
  <c r="ABD21" i="2" s="1"/>
  <c r="ABD22" i="2" s="1"/>
  <c r="ABD23" i="2" s="1"/>
  <c r="ABD24" i="2" s="1"/>
  <c r="ABD25" i="2" s="1"/>
  <c r="ABD26" i="2" s="1"/>
  <c r="ABD27" i="2" s="1"/>
  <c r="ABD28" i="2" s="1"/>
  <c r="ABD29" i="2" s="1"/>
  <c r="ABD30" i="2" s="1"/>
  <c r="ABD31" i="2" s="1"/>
  <c r="ABD32" i="2" s="1"/>
  <c r="ABD33" i="2" s="1"/>
  <c r="ABD34" i="2" s="1"/>
  <c r="ABD35" i="2" s="1"/>
  <c r="ABD36" i="2" s="1"/>
  <c r="ABD37" i="2" s="1"/>
  <c r="ABD38" i="2" s="1"/>
  <c r="ABD39" i="2" s="1"/>
  <c r="ABD40" i="2" s="1"/>
  <c r="ABD41" i="2" s="1"/>
  <c r="ABD42" i="2" s="1"/>
  <c r="ABD43" i="2" s="1"/>
  <c r="ABD44" i="2" s="1"/>
  <c r="ABD45" i="2" s="1"/>
  <c r="ABD46" i="2" s="1"/>
  <c r="ABD47" i="2" s="1"/>
  <c r="ABD48" i="2" s="1"/>
  <c r="ABD49" i="2" s="1"/>
  <c r="ABD50" i="2" s="1"/>
  <c r="ABD51" i="2" s="1"/>
  <c r="ABD52" i="2" s="1"/>
  <c r="ABD53" i="2" s="1"/>
  <c r="ABD54" i="2" s="1"/>
  <c r="ABD55" i="2" s="1"/>
  <c r="ABD56" i="2" s="1"/>
  <c r="ABC5" i="2"/>
  <c r="AAY56" i="2"/>
  <c r="AAX56" i="2"/>
  <c r="AAV8" i="2"/>
  <c r="AAV9" i="2" s="1"/>
  <c r="AAV10" i="2" s="1"/>
  <c r="AAV11" i="2" s="1"/>
  <c r="AAV12" i="2" s="1"/>
  <c r="AAV13" i="2" s="1"/>
  <c r="AAV14" i="2" s="1"/>
  <c r="AAV15" i="2" s="1"/>
  <c r="AAV16" i="2" s="1"/>
  <c r="AAV17" i="2" s="1"/>
  <c r="AAV18" i="2" s="1"/>
  <c r="AAV19" i="2" s="1"/>
  <c r="AAV20" i="2" s="1"/>
  <c r="AAV21" i="2" s="1"/>
  <c r="AAV22" i="2" s="1"/>
  <c r="AAV23" i="2" s="1"/>
  <c r="AAV24" i="2" s="1"/>
  <c r="AAV25" i="2" s="1"/>
  <c r="AAV26" i="2" s="1"/>
  <c r="AAV27" i="2" s="1"/>
  <c r="AAV28" i="2" s="1"/>
  <c r="AAV29" i="2" s="1"/>
  <c r="AAV30" i="2" s="1"/>
  <c r="AAV31" i="2" s="1"/>
  <c r="AAV32" i="2" s="1"/>
  <c r="AAV33" i="2" s="1"/>
  <c r="AAV34" i="2" s="1"/>
  <c r="AAV35" i="2" s="1"/>
  <c r="AAV36" i="2" s="1"/>
  <c r="AAV37" i="2" s="1"/>
  <c r="AAV38" i="2" s="1"/>
  <c r="AAV39" i="2" s="1"/>
  <c r="AAV40" i="2" s="1"/>
  <c r="AAV41" i="2" s="1"/>
  <c r="AAV42" i="2" s="1"/>
  <c r="AAV43" i="2" s="1"/>
  <c r="AAV44" i="2" s="1"/>
  <c r="AAV45" i="2" s="1"/>
  <c r="AAV46" i="2" s="1"/>
  <c r="AAV47" i="2" s="1"/>
  <c r="AAV48" i="2" s="1"/>
  <c r="AAV49" i="2" s="1"/>
  <c r="AAV50" i="2" s="1"/>
  <c r="AAV51" i="2" s="1"/>
  <c r="AAV52" i="2" s="1"/>
  <c r="AAV53" i="2" s="1"/>
  <c r="AAV54" i="2" s="1"/>
  <c r="AAV55" i="2" s="1"/>
  <c r="AAV56" i="2" s="1"/>
  <c r="AAU5" i="2"/>
  <c r="AAQ56" i="2"/>
  <c r="AAP56" i="2"/>
  <c r="AAN8" i="2"/>
  <c r="AAN9" i="2" s="1"/>
  <c r="AAN10" i="2" s="1"/>
  <c r="AAN11" i="2" s="1"/>
  <c r="AAN12" i="2" s="1"/>
  <c r="AAN13" i="2" s="1"/>
  <c r="AAN14" i="2" s="1"/>
  <c r="AAN15" i="2" s="1"/>
  <c r="AAN16" i="2" s="1"/>
  <c r="AAN17" i="2" s="1"/>
  <c r="AAN18" i="2" s="1"/>
  <c r="AAN19" i="2" s="1"/>
  <c r="AAN20" i="2" s="1"/>
  <c r="AAN21" i="2" s="1"/>
  <c r="AAN22" i="2" s="1"/>
  <c r="AAN23" i="2" s="1"/>
  <c r="AAN24" i="2" s="1"/>
  <c r="AAN25" i="2" s="1"/>
  <c r="AAN26" i="2" s="1"/>
  <c r="AAN27" i="2" s="1"/>
  <c r="AAN28" i="2" s="1"/>
  <c r="AAN29" i="2" s="1"/>
  <c r="AAN30" i="2" s="1"/>
  <c r="AAN31" i="2" s="1"/>
  <c r="AAN32" i="2" s="1"/>
  <c r="AAN33" i="2" s="1"/>
  <c r="AAN34" i="2" s="1"/>
  <c r="AAN35" i="2" s="1"/>
  <c r="AAN36" i="2" s="1"/>
  <c r="AAN37" i="2" s="1"/>
  <c r="AAN38" i="2" s="1"/>
  <c r="AAN39" i="2" s="1"/>
  <c r="AAN40" i="2" s="1"/>
  <c r="AAN41" i="2" s="1"/>
  <c r="AAN42" i="2" s="1"/>
  <c r="AAN43" i="2" s="1"/>
  <c r="AAN44" i="2" s="1"/>
  <c r="AAN45" i="2" s="1"/>
  <c r="AAN46" i="2" s="1"/>
  <c r="AAN47" i="2" s="1"/>
  <c r="AAN48" i="2" s="1"/>
  <c r="AAN49" i="2" s="1"/>
  <c r="AAN50" i="2" s="1"/>
  <c r="AAN51" i="2" s="1"/>
  <c r="AAN52" i="2" s="1"/>
  <c r="AAN53" i="2" s="1"/>
  <c r="AAN54" i="2" s="1"/>
  <c r="AAN55" i="2" s="1"/>
  <c r="AAN56" i="2" s="1"/>
  <c r="AAM5" i="2"/>
  <c r="AAI56" i="2"/>
  <c r="AAH56" i="2"/>
  <c r="AAF8" i="2"/>
  <c r="AAF9" i="2" s="1"/>
  <c r="AAF10" i="2" s="1"/>
  <c r="AAF11" i="2" s="1"/>
  <c r="AAF12" i="2" s="1"/>
  <c r="AAF13" i="2" s="1"/>
  <c r="AAF14" i="2" s="1"/>
  <c r="AAF15" i="2" s="1"/>
  <c r="AAF16" i="2" s="1"/>
  <c r="AAF17" i="2" s="1"/>
  <c r="AAF18" i="2" s="1"/>
  <c r="AAF19" i="2" s="1"/>
  <c r="AAF20" i="2" s="1"/>
  <c r="AAF21" i="2" s="1"/>
  <c r="AAF22" i="2" s="1"/>
  <c r="AAF23" i="2" s="1"/>
  <c r="AAF24" i="2" s="1"/>
  <c r="AAF25" i="2" s="1"/>
  <c r="AAF26" i="2" s="1"/>
  <c r="AAF27" i="2" s="1"/>
  <c r="AAF28" i="2" s="1"/>
  <c r="AAF29" i="2" s="1"/>
  <c r="AAF30" i="2" s="1"/>
  <c r="AAF31" i="2" s="1"/>
  <c r="AAF32" i="2" s="1"/>
  <c r="AAF33" i="2" s="1"/>
  <c r="AAF34" i="2" s="1"/>
  <c r="AAF35" i="2" s="1"/>
  <c r="AAF36" i="2" s="1"/>
  <c r="AAF37" i="2" s="1"/>
  <c r="AAF38" i="2" s="1"/>
  <c r="AAF39" i="2" s="1"/>
  <c r="AAF40" i="2" s="1"/>
  <c r="AAF41" i="2" s="1"/>
  <c r="AAF42" i="2" s="1"/>
  <c r="AAF43" i="2" s="1"/>
  <c r="AAF44" i="2" s="1"/>
  <c r="AAF45" i="2" s="1"/>
  <c r="AAF46" i="2" s="1"/>
  <c r="AAF47" i="2" s="1"/>
  <c r="AAF48" i="2" s="1"/>
  <c r="AAF49" i="2" s="1"/>
  <c r="AAF50" i="2" s="1"/>
  <c r="AAF51" i="2" s="1"/>
  <c r="AAF52" i="2" s="1"/>
  <c r="AAF53" i="2" s="1"/>
  <c r="AAF54" i="2" s="1"/>
  <c r="AAF55" i="2" s="1"/>
  <c r="AAF56" i="2" s="1"/>
  <c r="AAE5" i="2"/>
  <c r="AAA56" i="2"/>
  <c r="ZZ56" i="2"/>
  <c r="ZX8" i="2"/>
  <c r="ZX9" i="2" s="1"/>
  <c r="ZX10" i="2" s="1"/>
  <c r="ZX11" i="2" s="1"/>
  <c r="ZX12" i="2" s="1"/>
  <c r="ZX13" i="2" s="1"/>
  <c r="ZX14" i="2" s="1"/>
  <c r="ZX15" i="2" s="1"/>
  <c r="ZX16" i="2" s="1"/>
  <c r="ZX17" i="2" s="1"/>
  <c r="ZX18" i="2" s="1"/>
  <c r="ZX19" i="2" s="1"/>
  <c r="ZX20" i="2" s="1"/>
  <c r="ZX21" i="2" s="1"/>
  <c r="ZX22" i="2" s="1"/>
  <c r="ZX23" i="2" s="1"/>
  <c r="ZX24" i="2" s="1"/>
  <c r="ZX25" i="2" s="1"/>
  <c r="ZX26" i="2" s="1"/>
  <c r="ZX27" i="2" s="1"/>
  <c r="ZX28" i="2" s="1"/>
  <c r="ZX29" i="2" s="1"/>
  <c r="ZX30" i="2" s="1"/>
  <c r="ZX31" i="2" s="1"/>
  <c r="ZX32" i="2" s="1"/>
  <c r="ZX33" i="2" s="1"/>
  <c r="ZX34" i="2" s="1"/>
  <c r="ZX35" i="2" s="1"/>
  <c r="ZX36" i="2" s="1"/>
  <c r="ZX37" i="2" s="1"/>
  <c r="ZX38" i="2" s="1"/>
  <c r="ZX39" i="2" s="1"/>
  <c r="ZX40" i="2" s="1"/>
  <c r="ZX41" i="2" s="1"/>
  <c r="ZX42" i="2" s="1"/>
  <c r="ZX43" i="2" s="1"/>
  <c r="ZX44" i="2" s="1"/>
  <c r="ZX45" i="2" s="1"/>
  <c r="ZX46" i="2" s="1"/>
  <c r="ZX47" i="2" s="1"/>
  <c r="ZX48" i="2" s="1"/>
  <c r="ZX49" i="2" s="1"/>
  <c r="ZX50" i="2" s="1"/>
  <c r="ZX51" i="2" s="1"/>
  <c r="ZX52" i="2" s="1"/>
  <c r="ZX53" i="2" s="1"/>
  <c r="ZX54" i="2" s="1"/>
  <c r="ZX55" i="2" s="1"/>
  <c r="ZX56" i="2" s="1"/>
  <c r="ZW5" i="2"/>
  <c r="ZP8" i="2"/>
  <c r="ZP9" i="2" s="1"/>
  <c r="ZP10" i="2" s="1"/>
  <c r="ZP11" i="2" s="1"/>
  <c r="ZP12" i="2" s="1"/>
  <c r="ZP13" i="2" s="1"/>
  <c r="ZP14" i="2" s="1"/>
  <c r="ZP15" i="2" s="1"/>
  <c r="ZP16" i="2" s="1"/>
  <c r="ZP17" i="2" s="1"/>
  <c r="ZP18" i="2" s="1"/>
  <c r="ZP19" i="2" s="1"/>
  <c r="ZP20" i="2" s="1"/>
  <c r="ZP21" i="2" s="1"/>
  <c r="ZP22" i="2" s="1"/>
  <c r="ZP23" i="2" s="1"/>
  <c r="ZP24" i="2" s="1"/>
  <c r="ZP25" i="2" s="1"/>
  <c r="ZP26" i="2" s="1"/>
  <c r="ZP27" i="2" s="1"/>
  <c r="ZP28" i="2" s="1"/>
  <c r="ZP29" i="2" s="1"/>
  <c r="ZP30" i="2" s="1"/>
  <c r="ZP31" i="2" s="1"/>
  <c r="ZP32" i="2" s="1"/>
  <c r="ZP33" i="2" s="1"/>
  <c r="ZP34" i="2" s="1"/>
  <c r="ZP35" i="2" s="1"/>
  <c r="ZP36" i="2" s="1"/>
  <c r="ZP37" i="2" s="1"/>
  <c r="ZP38" i="2" s="1"/>
  <c r="ZP39" i="2" s="1"/>
  <c r="ZP40" i="2" s="1"/>
  <c r="ZP41" i="2" s="1"/>
  <c r="ZP42" i="2" s="1"/>
  <c r="ZP43" i="2" s="1"/>
  <c r="ZP44" i="2" s="1"/>
  <c r="ZP45" i="2" s="1"/>
  <c r="ZP46" i="2" s="1"/>
  <c r="ZP47" i="2" s="1"/>
  <c r="ZP48" i="2" s="1"/>
  <c r="ZP49" i="2" s="1"/>
  <c r="ZP50" i="2" s="1"/>
  <c r="ZP51" i="2" s="1"/>
  <c r="ZP52" i="2" s="1"/>
  <c r="ZP53" i="2" s="1"/>
  <c r="ZP54" i="2" s="1"/>
  <c r="ZP55" i="2" s="1"/>
  <c r="ZP56" i="2" s="1"/>
  <c r="ZS56" i="2"/>
  <c r="ZR56" i="2"/>
  <c r="ZO5" i="2"/>
  <c r="ZK56" i="2"/>
  <c r="ZJ56" i="2"/>
  <c r="ZH8" i="2"/>
  <c r="ZH9" i="2" s="1"/>
  <c r="ZH10" i="2" s="1"/>
  <c r="ZH11" i="2" s="1"/>
  <c r="ZH12" i="2" s="1"/>
  <c r="ZH13" i="2" s="1"/>
  <c r="ZH14" i="2" s="1"/>
  <c r="ZH15" i="2" s="1"/>
  <c r="ZH16" i="2" s="1"/>
  <c r="ZH17" i="2" s="1"/>
  <c r="ZH18" i="2" s="1"/>
  <c r="ZH19" i="2" s="1"/>
  <c r="ZH20" i="2" s="1"/>
  <c r="ZH21" i="2" s="1"/>
  <c r="ZH22" i="2" s="1"/>
  <c r="ZH23" i="2" s="1"/>
  <c r="ZH24" i="2" s="1"/>
  <c r="ZH25" i="2" s="1"/>
  <c r="ZH26" i="2" s="1"/>
  <c r="ZH27" i="2" s="1"/>
  <c r="ZH28" i="2" s="1"/>
  <c r="ZH29" i="2" s="1"/>
  <c r="ZH30" i="2" s="1"/>
  <c r="ZH31" i="2" s="1"/>
  <c r="ZH32" i="2" s="1"/>
  <c r="ZH33" i="2" s="1"/>
  <c r="ZH34" i="2" s="1"/>
  <c r="ZH35" i="2" s="1"/>
  <c r="ZH36" i="2" s="1"/>
  <c r="ZH37" i="2" s="1"/>
  <c r="ZH38" i="2" s="1"/>
  <c r="ZH39" i="2" s="1"/>
  <c r="ZH40" i="2" s="1"/>
  <c r="ZH41" i="2" s="1"/>
  <c r="ZH42" i="2" s="1"/>
  <c r="ZH43" i="2" s="1"/>
  <c r="ZH44" i="2" s="1"/>
  <c r="ZH45" i="2" s="1"/>
  <c r="ZH46" i="2" s="1"/>
  <c r="ZH47" i="2" s="1"/>
  <c r="ZH48" i="2" s="1"/>
  <c r="ZH49" i="2" s="1"/>
  <c r="ZH50" i="2" s="1"/>
  <c r="ZH51" i="2" s="1"/>
  <c r="ZH52" i="2" s="1"/>
  <c r="ZH53" i="2" s="1"/>
  <c r="ZH54" i="2" s="1"/>
  <c r="ZH55" i="2" s="1"/>
  <c r="ZH56" i="2" s="1"/>
  <c r="ZG5" i="2"/>
  <c r="ZC56" i="2"/>
  <c r="ZB56" i="2"/>
  <c r="YZ8" i="2"/>
  <c r="YZ9" i="2" s="1"/>
  <c r="YZ10" i="2" s="1"/>
  <c r="YZ11" i="2" s="1"/>
  <c r="YZ12" i="2" s="1"/>
  <c r="YZ13" i="2" s="1"/>
  <c r="YZ14" i="2" s="1"/>
  <c r="YZ15" i="2" s="1"/>
  <c r="YZ16" i="2" s="1"/>
  <c r="YZ17" i="2" s="1"/>
  <c r="YZ18" i="2" s="1"/>
  <c r="YZ19" i="2" s="1"/>
  <c r="YZ20" i="2" s="1"/>
  <c r="YZ21" i="2" s="1"/>
  <c r="YZ22" i="2" s="1"/>
  <c r="YZ23" i="2" s="1"/>
  <c r="YZ24" i="2" s="1"/>
  <c r="YZ25" i="2" s="1"/>
  <c r="YZ26" i="2" s="1"/>
  <c r="YZ27" i="2" s="1"/>
  <c r="YZ28" i="2" s="1"/>
  <c r="YZ29" i="2" s="1"/>
  <c r="YZ30" i="2" s="1"/>
  <c r="YZ31" i="2" s="1"/>
  <c r="YZ32" i="2" s="1"/>
  <c r="YZ33" i="2" s="1"/>
  <c r="YZ34" i="2" s="1"/>
  <c r="YZ35" i="2" s="1"/>
  <c r="YZ36" i="2" s="1"/>
  <c r="YZ37" i="2" s="1"/>
  <c r="YZ38" i="2" s="1"/>
  <c r="YZ39" i="2" s="1"/>
  <c r="YZ40" i="2" s="1"/>
  <c r="YZ41" i="2" s="1"/>
  <c r="YZ42" i="2" s="1"/>
  <c r="YZ43" i="2" s="1"/>
  <c r="YZ44" i="2" s="1"/>
  <c r="YZ45" i="2" s="1"/>
  <c r="YZ46" i="2" s="1"/>
  <c r="YZ47" i="2" s="1"/>
  <c r="YZ48" i="2" s="1"/>
  <c r="YZ49" i="2" s="1"/>
  <c r="YZ50" i="2" s="1"/>
  <c r="YZ51" i="2" s="1"/>
  <c r="YZ52" i="2" s="1"/>
  <c r="YZ53" i="2" s="1"/>
  <c r="YZ54" i="2" s="1"/>
  <c r="YZ55" i="2" s="1"/>
  <c r="YZ56" i="2" s="1"/>
  <c r="YY5" i="2"/>
  <c r="YQ5" i="2"/>
  <c r="YU56" i="2"/>
  <c r="YT56" i="2"/>
  <c r="YR8" i="2"/>
  <c r="YR9" i="2" s="1"/>
  <c r="YR10" i="2" s="1"/>
  <c r="YR11" i="2" s="1"/>
  <c r="YR12" i="2" s="1"/>
  <c r="YR13" i="2" s="1"/>
  <c r="YR14" i="2" s="1"/>
  <c r="YR15" i="2" s="1"/>
  <c r="YR16" i="2" s="1"/>
  <c r="YR17" i="2" s="1"/>
  <c r="YR18" i="2" s="1"/>
  <c r="YR19" i="2" s="1"/>
  <c r="YR20" i="2" s="1"/>
  <c r="YR21" i="2" s="1"/>
  <c r="YR22" i="2" s="1"/>
  <c r="YR23" i="2" s="1"/>
  <c r="YR24" i="2" s="1"/>
  <c r="YR25" i="2" s="1"/>
  <c r="YR26" i="2" s="1"/>
  <c r="YR27" i="2" s="1"/>
  <c r="YR28" i="2" s="1"/>
  <c r="YR29" i="2" s="1"/>
  <c r="YR30" i="2" s="1"/>
  <c r="YR31" i="2" s="1"/>
  <c r="YR32" i="2" s="1"/>
  <c r="YR33" i="2" s="1"/>
  <c r="YR34" i="2" s="1"/>
  <c r="YR35" i="2" s="1"/>
  <c r="YR36" i="2" s="1"/>
  <c r="YR37" i="2" s="1"/>
  <c r="YR38" i="2" s="1"/>
  <c r="YR39" i="2" s="1"/>
  <c r="YR40" i="2" s="1"/>
  <c r="YR41" i="2" s="1"/>
  <c r="YR42" i="2" s="1"/>
  <c r="YR43" i="2" s="1"/>
  <c r="YR44" i="2" s="1"/>
  <c r="YR45" i="2" s="1"/>
  <c r="YR46" i="2" s="1"/>
  <c r="YR47" i="2" s="1"/>
  <c r="YR48" i="2" s="1"/>
  <c r="YR49" i="2" s="1"/>
  <c r="YR50" i="2" s="1"/>
  <c r="YR51" i="2" s="1"/>
  <c r="YR52" i="2" s="1"/>
  <c r="YR53" i="2" s="1"/>
  <c r="YR54" i="2" s="1"/>
  <c r="YR55" i="2" s="1"/>
  <c r="YR56" i="2" s="1"/>
  <c r="SM5" i="2"/>
  <c r="D66" i="8" s="1"/>
  <c r="RO5" i="2"/>
  <c r="D63" i="8" s="1"/>
  <c r="RG5" i="2"/>
  <c r="D62" i="8" s="1"/>
  <c r="QY5" i="2"/>
  <c r="D61" i="8" s="1"/>
  <c r="QQ5" i="2"/>
  <c r="D60" i="8" s="1"/>
  <c r="OU5" i="2"/>
  <c r="D54" i="8" s="1"/>
  <c r="OE5" i="2"/>
  <c r="D52" i="8" s="1"/>
  <c r="NG5" i="2"/>
  <c r="D49" i="8" s="1"/>
  <c r="MY5" i="2"/>
  <c r="D48" i="8" s="1"/>
  <c r="MI5" i="2"/>
  <c r="D46" i="8" s="1"/>
  <c r="MA5" i="2"/>
  <c r="D45" i="8" s="1"/>
  <c r="LI5" i="2"/>
  <c r="D43" i="8" s="1"/>
  <c r="KS5" i="2"/>
  <c r="D41" i="8" s="1"/>
  <c r="KK5" i="2"/>
  <c r="D40" i="8" s="1"/>
  <c r="YM56" i="2"/>
  <c r="YL56" i="2"/>
  <c r="YJ8" i="2"/>
  <c r="YJ9" i="2" s="1"/>
  <c r="YJ10" i="2" s="1"/>
  <c r="YJ11" i="2" s="1"/>
  <c r="YJ12" i="2" s="1"/>
  <c r="YJ13" i="2" s="1"/>
  <c r="YJ14" i="2" s="1"/>
  <c r="YJ15" i="2" s="1"/>
  <c r="YJ16" i="2" s="1"/>
  <c r="YJ17" i="2" s="1"/>
  <c r="YJ18" i="2" s="1"/>
  <c r="YJ19" i="2" s="1"/>
  <c r="YJ20" i="2" s="1"/>
  <c r="YJ21" i="2" s="1"/>
  <c r="YJ22" i="2" s="1"/>
  <c r="YJ23" i="2" s="1"/>
  <c r="YJ24" i="2" s="1"/>
  <c r="YJ25" i="2" s="1"/>
  <c r="YJ26" i="2" s="1"/>
  <c r="YJ27" i="2" s="1"/>
  <c r="YJ28" i="2" s="1"/>
  <c r="YJ29" i="2" s="1"/>
  <c r="YJ30" i="2" s="1"/>
  <c r="YJ31" i="2" s="1"/>
  <c r="YJ32" i="2" s="1"/>
  <c r="YJ33" i="2" s="1"/>
  <c r="YJ34" i="2" s="1"/>
  <c r="YJ35" i="2" s="1"/>
  <c r="YJ36" i="2" s="1"/>
  <c r="YJ37" i="2" s="1"/>
  <c r="YJ38" i="2" s="1"/>
  <c r="YJ39" i="2" s="1"/>
  <c r="YJ40" i="2" s="1"/>
  <c r="YJ41" i="2" s="1"/>
  <c r="YJ42" i="2" s="1"/>
  <c r="YJ43" i="2" s="1"/>
  <c r="YJ44" i="2" s="1"/>
  <c r="YJ45" i="2" s="1"/>
  <c r="YJ46" i="2" s="1"/>
  <c r="YJ47" i="2" s="1"/>
  <c r="YJ48" i="2" s="1"/>
  <c r="YJ49" i="2" s="1"/>
  <c r="YJ50" i="2" s="1"/>
  <c r="YJ51" i="2" s="1"/>
  <c r="YJ52" i="2" s="1"/>
  <c r="YJ53" i="2" s="1"/>
  <c r="YJ54" i="2" s="1"/>
  <c r="YJ55" i="2" s="1"/>
  <c r="YJ56" i="2" s="1"/>
  <c r="YI5" i="2"/>
  <c r="YE56" i="2"/>
  <c r="YD56" i="2"/>
  <c r="YB8" i="2"/>
  <c r="YB9" i="2" s="1"/>
  <c r="YB10" i="2" s="1"/>
  <c r="YB11" i="2" s="1"/>
  <c r="YB12" i="2" s="1"/>
  <c r="YB13" i="2" s="1"/>
  <c r="YB14" i="2" s="1"/>
  <c r="YB15" i="2" s="1"/>
  <c r="YB16" i="2" s="1"/>
  <c r="YB17" i="2" s="1"/>
  <c r="YB18" i="2" s="1"/>
  <c r="YB19" i="2" s="1"/>
  <c r="YB20" i="2" s="1"/>
  <c r="YB21" i="2" s="1"/>
  <c r="YB22" i="2" s="1"/>
  <c r="YB23" i="2" s="1"/>
  <c r="YB24" i="2" s="1"/>
  <c r="YB25" i="2" s="1"/>
  <c r="YB26" i="2" s="1"/>
  <c r="YB27" i="2" s="1"/>
  <c r="YB28" i="2" s="1"/>
  <c r="YB29" i="2" s="1"/>
  <c r="YB30" i="2" s="1"/>
  <c r="YB31" i="2" s="1"/>
  <c r="YB32" i="2" s="1"/>
  <c r="YB33" i="2" s="1"/>
  <c r="YB34" i="2" s="1"/>
  <c r="YB35" i="2" s="1"/>
  <c r="YB36" i="2" s="1"/>
  <c r="YB37" i="2" s="1"/>
  <c r="YB38" i="2" s="1"/>
  <c r="YB39" i="2" s="1"/>
  <c r="YB40" i="2" s="1"/>
  <c r="YB41" i="2" s="1"/>
  <c r="YB42" i="2" s="1"/>
  <c r="YB43" i="2" s="1"/>
  <c r="YB44" i="2" s="1"/>
  <c r="YB45" i="2" s="1"/>
  <c r="YB46" i="2" s="1"/>
  <c r="YB47" i="2" s="1"/>
  <c r="YB48" i="2" s="1"/>
  <c r="YB49" i="2" s="1"/>
  <c r="YB50" i="2" s="1"/>
  <c r="YB51" i="2" s="1"/>
  <c r="YB52" i="2" s="1"/>
  <c r="YB53" i="2" s="1"/>
  <c r="YB54" i="2" s="1"/>
  <c r="YB55" i="2" s="1"/>
  <c r="YB56" i="2" s="1"/>
  <c r="YA5" i="2"/>
  <c r="PK5" i="2"/>
  <c r="D56" i="8" s="1"/>
  <c r="PS5" i="2"/>
  <c r="D57" i="8" s="1"/>
  <c r="XS5" i="2"/>
  <c r="XK5" i="2"/>
  <c r="XC5" i="2"/>
  <c r="D83" i="8"/>
  <c r="D82" i="8"/>
  <c r="D81" i="8"/>
  <c r="D80" i="8"/>
  <c r="D79" i="8"/>
  <c r="D78" i="8"/>
  <c r="D77" i="8"/>
  <c r="D76" i="8"/>
  <c r="D75" i="8"/>
  <c r="D74" i="8"/>
  <c r="D73" i="8"/>
  <c r="XW56" i="2"/>
  <c r="F83" i="8" s="1"/>
  <c r="XV56" i="2"/>
  <c r="XT8" i="2"/>
  <c r="XT9" i="2" s="1"/>
  <c r="XT10" i="2" s="1"/>
  <c r="XT11" i="2" s="1"/>
  <c r="XT12" i="2" s="1"/>
  <c r="XT13" i="2" s="1"/>
  <c r="XT14" i="2" s="1"/>
  <c r="XT15" i="2" s="1"/>
  <c r="XT16" i="2" s="1"/>
  <c r="XT17" i="2" s="1"/>
  <c r="XT18" i="2" s="1"/>
  <c r="XT19" i="2" s="1"/>
  <c r="XT20" i="2" s="1"/>
  <c r="XT21" i="2" s="1"/>
  <c r="XT22" i="2" s="1"/>
  <c r="XT23" i="2" s="1"/>
  <c r="XT24" i="2" s="1"/>
  <c r="XT25" i="2" s="1"/>
  <c r="XT26" i="2" s="1"/>
  <c r="XT27" i="2" s="1"/>
  <c r="XT28" i="2" s="1"/>
  <c r="XT29" i="2" s="1"/>
  <c r="XT30" i="2" s="1"/>
  <c r="XT31" i="2" s="1"/>
  <c r="XT32" i="2" s="1"/>
  <c r="XT33" i="2" s="1"/>
  <c r="XT34" i="2" s="1"/>
  <c r="XT35" i="2" s="1"/>
  <c r="XT36" i="2" s="1"/>
  <c r="XT37" i="2" s="1"/>
  <c r="XT38" i="2" s="1"/>
  <c r="XT39" i="2" s="1"/>
  <c r="XT40" i="2" s="1"/>
  <c r="XT41" i="2" s="1"/>
  <c r="XT42" i="2" s="1"/>
  <c r="XT43" i="2" s="1"/>
  <c r="XT44" i="2" s="1"/>
  <c r="XT45" i="2" s="1"/>
  <c r="XT46" i="2" s="1"/>
  <c r="XT47" i="2" s="1"/>
  <c r="XT48" i="2" s="1"/>
  <c r="XT49" i="2" s="1"/>
  <c r="XT50" i="2" s="1"/>
  <c r="XT51" i="2" s="1"/>
  <c r="XT52" i="2" s="1"/>
  <c r="XT53" i="2" s="1"/>
  <c r="XT54" i="2" s="1"/>
  <c r="XT55" i="2" s="1"/>
  <c r="XT56" i="2" s="1"/>
  <c r="XO56" i="2"/>
  <c r="F82" i="8" s="1"/>
  <c r="XN56" i="2"/>
  <c r="XL8" i="2"/>
  <c r="XL9" i="2" s="1"/>
  <c r="XL10" i="2" s="1"/>
  <c r="XL11" i="2" s="1"/>
  <c r="XL12" i="2" s="1"/>
  <c r="XL13" i="2" s="1"/>
  <c r="XL14" i="2" s="1"/>
  <c r="XL15" i="2" s="1"/>
  <c r="XL16" i="2" s="1"/>
  <c r="XL17" i="2" s="1"/>
  <c r="XL18" i="2" s="1"/>
  <c r="XL19" i="2" s="1"/>
  <c r="XL20" i="2" s="1"/>
  <c r="XL21" i="2" s="1"/>
  <c r="XL22" i="2" s="1"/>
  <c r="XL23" i="2" s="1"/>
  <c r="XL24" i="2" s="1"/>
  <c r="XL25" i="2" s="1"/>
  <c r="XL26" i="2" s="1"/>
  <c r="XL27" i="2" s="1"/>
  <c r="XL28" i="2" s="1"/>
  <c r="XL29" i="2" s="1"/>
  <c r="XL30" i="2" s="1"/>
  <c r="XL31" i="2" s="1"/>
  <c r="XL32" i="2" s="1"/>
  <c r="XL33" i="2" s="1"/>
  <c r="XL34" i="2" s="1"/>
  <c r="XL35" i="2" s="1"/>
  <c r="XL36" i="2" s="1"/>
  <c r="XL37" i="2" s="1"/>
  <c r="XL38" i="2" s="1"/>
  <c r="XL39" i="2" s="1"/>
  <c r="XL40" i="2" s="1"/>
  <c r="XL41" i="2" s="1"/>
  <c r="XL42" i="2" s="1"/>
  <c r="XL43" i="2" s="1"/>
  <c r="XL44" i="2" s="1"/>
  <c r="XL45" i="2" s="1"/>
  <c r="XL46" i="2" s="1"/>
  <c r="XL47" i="2" s="1"/>
  <c r="XL48" i="2" s="1"/>
  <c r="XL49" i="2" s="1"/>
  <c r="XL50" i="2" s="1"/>
  <c r="XL51" i="2" s="1"/>
  <c r="XL52" i="2" s="1"/>
  <c r="XL53" i="2" s="1"/>
  <c r="XL54" i="2" s="1"/>
  <c r="XL55" i="2" s="1"/>
  <c r="XL56" i="2" s="1"/>
  <c r="XG56" i="2"/>
  <c r="F81" i="8" s="1"/>
  <c r="XF56" i="2"/>
  <c r="XD8" i="2"/>
  <c r="XD9" i="2" s="1"/>
  <c r="XD10" i="2" s="1"/>
  <c r="XD11" i="2" s="1"/>
  <c r="XD12" i="2" s="1"/>
  <c r="XD13" i="2" s="1"/>
  <c r="XD14" i="2" s="1"/>
  <c r="XD15" i="2" s="1"/>
  <c r="XD16" i="2" s="1"/>
  <c r="XD17" i="2" s="1"/>
  <c r="XD18" i="2" s="1"/>
  <c r="XD19" i="2" s="1"/>
  <c r="XD20" i="2" s="1"/>
  <c r="XD21" i="2" s="1"/>
  <c r="XD22" i="2" s="1"/>
  <c r="XD23" i="2" s="1"/>
  <c r="XD24" i="2" s="1"/>
  <c r="XD25" i="2" s="1"/>
  <c r="XD26" i="2" s="1"/>
  <c r="XD27" i="2" s="1"/>
  <c r="XD28" i="2" s="1"/>
  <c r="XD29" i="2" s="1"/>
  <c r="XD30" i="2" s="1"/>
  <c r="XD31" i="2" s="1"/>
  <c r="XD32" i="2" s="1"/>
  <c r="XD33" i="2" s="1"/>
  <c r="XD34" i="2" s="1"/>
  <c r="XD35" i="2" s="1"/>
  <c r="XD36" i="2" s="1"/>
  <c r="XD37" i="2" s="1"/>
  <c r="XD38" i="2" s="1"/>
  <c r="XD39" i="2" s="1"/>
  <c r="XD40" i="2" s="1"/>
  <c r="XD41" i="2" s="1"/>
  <c r="XD42" i="2" s="1"/>
  <c r="XD43" i="2" s="1"/>
  <c r="XD44" i="2" s="1"/>
  <c r="XD45" i="2" s="1"/>
  <c r="XD46" i="2" s="1"/>
  <c r="XD47" i="2" s="1"/>
  <c r="XD48" i="2" s="1"/>
  <c r="XD49" i="2" s="1"/>
  <c r="XD50" i="2" s="1"/>
  <c r="XD51" i="2" s="1"/>
  <c r="XD52" i="2" s="1"/>
  <c r="XD53" i="2" s="1"/>
  <c r="XD54" i="2" s="1"/>
  <c r="XD55" i="2" s="1"/>
  <c r="XD56" i="2" s="1"/>
  <c r="WY56" i="2"/>
  <c r="F80" i="8" s="1"/>
  <c r="WX56" i="2"/>
  <c r="WV8" i="2"/>
  <c r="WV9" i="2" s="1"/>
  <c r="WV10" i="2" s="1"/>
  <c r="WV11" i="2" s="1"/>
  <c r="WV12" i="2" s="1"/>
  <c r="WV13" i="2" s="1"/>
  <c r="WV14" i="2" s="1"/>
  <c r="WV15" i="2" s="1"/>
  <c r="WV16" i="2" s="1"/>
  <c r="WV17" i="2" s="1"/>
  <c r="WV18" i="2" s="1"/>
  <c r="WV19" i="2" s="1"/>
  <c r="WV20" i="2" s="1"/>
  <c r="WV21" i="2" s="1"/>
  <c r="WV22" i="2" s="1"/>
  <c r="WV23" i="2" s="1"/>
  <c r="WV24" i="2" s="1"/>
  <c r="WV25" i="2" s="1"/>
  <c r="WV26" i="2" s="1"/>
  <c r="WV27" i="2" s="1"/>
  <c r="WV28" i="2" s="1"/>
  <c r="WV29" i="2" s="1"/>
  <c r="WV30" i="2" s="1"/>
  <c r="WV31" i="2" s="1"/>
  <c r="WV32" i="2" s="1"/>
  <c r="WV33" i="2" s="1"/>
  <c r="WV34" i="2" s="1"/>
  <c r="WV35" i="2" s="1"/>
  <c r="WV36" i="2" s="1"/>
  <c r="WV37" i="2" s="1"/>
  <c r="WV38" i="2" s="1"/>
  <c r="WV39" i="2" s="1"/>
  <c r="WV40" i="2" s="1"/>
  <c r="WV41" i="2" s="1"/>
  <c r="WV42" i="2" s="1"/>
  <c r="WV43" i="2" s="1"/>
  <c r="WV44" i="2" s="1"/>
  <c r="WV45" i="2" s="1"/>
  <c r="WV46" i="2" s="1"/>
  <c r="WV47" i="2" s="1"/>
  <c r="WV48" i="2" s="1"/>
  <c r="WV49" i="2" s="1"/>
  <c r="WV50" i="2" s="1"/>
  <c r="WV51" i="2" s="1"/>
  <c r="WV52" i="2" s="1"/>
  <c r="WV53" i="2" s="1"/>
  <c r="WV54" i="2" s="1"/>
  <c r="WV55" i="2" s="1"/>
  <c r="WV56" i="2" s="1"/>
  <c r="WU5" i="2"/>
  <c r="WQ56" i="2"/>
  <c r="F79" i="8" s="1"/>
  <c r="WP56" i="2"/>
  <c r="WN8" i="2"/>
  <c r="WN9" i="2" s="1"/>
  <c r="WN10" i="2" s="1"/>
  <c r="WN11" i="2" s="1"/>
  <c r="WN12" i="2" s="1"/>
  <c r="WN13" i="2" s="1"/>
  <c r="WN14" i="2" s="1"/>
  <c r="WN15" i="2" s="1"/>
  <c r="WN16" i="2" s="1"/>
  <c r="WN17" i="2" s="1"/>
  <c r="WN18" i="2" s="1"/>
  <c r="WN19" i="2" s="1"/>
  <c r="WN20" i="2" s="1"/>
  <c r="WN21" i="2" s="1"/>
  <c r="WN22" i="2" s="1"/>
  <c r="WN23" i="2" s="1"/>
  <c r="WN24" i="2" s="1"/>
  <c r="WN25" i="2" s="1"/>
  <c r="WN26" i="2" s="1"/>
  <c r="WN27" i="2" s="1"/>
  <c r="WN28" i="2" s="1"/>
  <c r="WN29" i="2" s="1"/>
  <c r="WN30" i="2" s="1"/>
  <c r="WN31" i="2" s="1"/>
  <c r="WN32" i="2" s="1"/>
  <c r="WN33" i="2" s="1"/>
  <c r="WN34" i="2" s="1"/>
  <c r="WN35" i="2" s="1"/>
  <c r="WN36" i="2" s="1"/>
  <c r="WN37" i="2" s="1"/>
  <c r="WN38" i="2" s="1"/>
  <c r="WN39" i="2" s="1"/>
  <c r="WN40" i="2" s="1"/>
  <c r="WN41" i="2" s="1"/>
  <c r="WN42" i="2" s="1"/>
  <c r="WN43" i="2" s="1"/>
  <c r="WN44" i="2" s="1"/>
  <c r="WN45" i="2" s="1"/>
  <c r="WN46" i="2" s="1"/>
  <c r="WN47" i="2" s="1"/>
  <c r="WN48" i="2" s="1"/>
  <c r="WN49" i="2" s="1"/>
  <c r="WN50" i="2" s="1"/>
  <c r="WN51" i="2" s="1"/>
  <c r="WN52" i="2" s="1"/>
  <c r="WN53" i="2" s="1"/>
  <c r="WN54" i="2" s="1"/>
  <c r="WN55" i="2" s="1"/>
  <c r="WN56" i="2" s="1"/>
  <c r="WM5" i="2"/>
  <c r="WI56" i="2"/>
  <c r="F78" i="8" s="1"/>
  <c r="WH56" i="2"/>
  <c r="WF8" i="2"/>
  <c r="WF9" i="2" s="1"/>
  <c r="WF10" i="2" s="1"/>
  <c r="WF11" i="2" s="1"/>
  <c r="WF12" i="2" s="1"/>
  <c r="WF13" i="2" s="1"/>
  <c r="WF14" i="2" s="1"/>
  <c r="WF15" i="2" s="1"/>
  <c r="WF16" i="2" s="1"/>
  <c r="WF17" i="2" s="1"/>
  <c r="WF18" i="2" s="1"/>
  <c r="WF19" i="2" s="1"/>
  <c r="WF20" i="2" s="1"/>
  <c r="WF21" i="2" s="1"/>
  <c r="WF22" i="2" s="1"/>
  <c r="WF23" i="2" s="1"/>
  <c r="WF24" i="2" s="1"/>
  <c r="WF25" i="2" s="1"/>
  <c r="WF26" i="2" s="1"/>
  <c r="WF27" i="2" s="1"/>
  <c r="WF28" i="2" s="1"/>
  <c r="WF29" i="2" s="1"/>
  <c r="WF30" i="2" s="1"/>
  <c r="WF31" i="2" s="1"/>
  <c r="WF32" i="2" s="1"/>
  <c r="WF33" i="2" s="1"/>
  <c r="WF34" i="2" s="1"/>
  <c r="WF35" i="2" s="1"/>
  <c r="WF36" i="2" s="1"/>
  <c r="WF37" i="2" s="1"/>
  <c r="WF38" i="2" s="1"/>
  <c r="WF39" i="2" s="1"/>
  <c r="WF40" i="2" s="1"/>
  <c r="WF41" i="2" s="1"/>
  <c r="WF42" i="2" s="1"/>
  <c r="WF43" i="2" s="1"/>
  <c r="WF44" i="2" s="1"/>
  <c r="WF45" i="2" s="1"/>
  <c r="WF46" i="2" s="1"/>
  <c r="WF47" i="2" s="1"/>
  <c r="WF48" i="2" s="1"/>
  <c r="WF49" i="2" s="1"/>
  <c r="WF50" i="2" s="1"/>
  <c r="WF51" i="2" s="1"/>
  <c r="WF52" i="2" s="1"/>
  <c r="WF53" i="2" s="1"/>
  <c r="WF54" i="2" s="1"/>
  <c r="WF55" i="2" s="1"/>
  <c r="WF56" i="2" s="1"/>
  <c r="WE5" i="2"/>
  <c r="WA56" i="2"/>
  <c r="F77" i="8" s="1"/>
  <c r="VZ56" i="2"/>
  <c r="VX8" i="2"/>
  <c r="VX9" i="2" s="1"/>
  <c r="VX10" i="2" s="1"/>
  <c r="VX11" i="2" s="1"/>
  <c r="VX12" i="2" s="1"/>
  <c r="VX13" i="2" s="1"/>
  <c r="VX14" i="2" s="1"/>
  <c r="VX15" i="2" s="1"/>
  <c r="VX16" i="2" s="1"/>
  <c r="VX17" i="2" s="1"/>
  <c r="VX18" i="2" s="1"/>
  <c r="VX19" i="2" s="1"/>
  <c r="VX20" i="2" s="1"/>
  <c r="VX21" i="2" s="1"/>
  <c r="VX22" i="2" s="1"/>
  <c r="VX23" i="2" s="1"/>
  <c r="VX24" i="2" s="1"/>
  <c r="VX25" i="2" s="1"/>
  <c r="VX26" i="2" s="1"/>
  <c r="VX27" i="2" s="1"/>
  <c r="VX28" i="2" s="1"/>
  <c r="VX29" i="2" s="1"/>
  <c r="VX30" i="2" s="1"/>
  <c r="VX31" i="2" s="1"/>
  <c r="VX32" i="2" s="1"/>
  <c r="VX33" i="2" s="1"/>
  <c r="VX34" i="2" s="1"/>
  <c r="VX35" i="2" s="1"/>
  <c r="VX36" i="2" s="1"/>
  <c r="VX37" i="2" s="1"/>
  <c r="VX38" i="2" s="1"/>
  <c r="VX39" i="2" s="1"/>
  <c r="VX40" i="2" s="1"/>
  <c r="VX41" i="2" s="1"/>
  <c r="VX42" i="2" s="1"/>
  <c r="VX43" i="2" s="1"/>
  <c r="VX44" i="2" s="1"/>
  <c r="VX45" i="2" s="1"/>
  <c r="VX46" i="2" s="1"/>
  <c r="VX47" i="2" s="1"/>
  <c r="VX48" i="2" s="1"/>
  <c r="VX49" i="2" s="1"/>
  <c r="VX50" i="2" s="1"/>
  <c r="VX51" i="2" s="1"/>
  <c r="VX52" i="2" s="1"/>
  <c r="VX53" i="2" s="1"/>
  <c r="VX54" i="2" s="1"/>
  <c r="VX55" i="2" s="1"/>
  <c r="VX56" i="2" s="1"/>
  <c r="VW5" i="2"/>
  <c r="VS56" i="2"/>
  <c r="F76" i="8" s="1"/>
  <c r="VR56" i="2"/>
  <c r="VP8" i="2"/>
  <c r="VP9" i="2" s="1"/>
  <c r="VP10" i="2" s="1"/>
  <c r="VP11" i="2" s="1"/>
  <c r="VP12" i="2" s="1"/>
  <c r="VP13" i="2" s="1"/>
  <c r="VP14" i="2" s="1"/>
  <c r="VP15" i="2" s="1"/>
  <c r="VP16" i="2" s="1"/>
  <c r="VP17" i="2" s="1"/>
  <c r="VP18" i="2" s="1"/>
  <c r="VP19" i="2" s="1"/>
  <c r="VP20" i="2" s="1"/>
  <c r="VP21" i="2" s="1"/>
  <c r="VP22" i="2" s="1"/>
  <c r="VP23" i="2" s="1"/>
  <c r="VP24" i="2" s="1"/>
  <c r="VP25" i="2" s="1"/>
  <c r="VP26" i="2" s="1"/>
  <c r="VP27" i="2" s="1"/>
  <c r="VP28" i="2" s="1"/>
  <c r="VP29" i="2" s="1"/>
  <c r="VP30" i="2" s="1"/>
  <c r="VP31" i="2" s="1"/>
  <c r="VP32" i="2" s="1"/>
  <c r="VP33" i="2" s="1"/>
  <c r="VP34" i="2" s="1"/>
  <c r="VP35" i="2" s="1"/>
  <c r="VP36" i="2" s="1"/>
  <c r="VP37" i="2" s="1"/>
  <c r="VP38" i="2" s="1"/>
  <c r="VP39" i="2" s="1"/>
  <c r="VP40" i="2" s="1"/>
  <c r="VP41" i="2" s="1"/>
  <c r="VP42" i="2" s="1"/>
  <c r="VP43" i="2" s="1"/>
  <c r="VP44" i="2" s="1"/>
  <c r="VP45" i="2" s="1"/>
  <c r="VP46" i="2" s="1"/>
  <c r="VP47" i="2" s="1"/>
  <c r="VP48" i="2" s="1"/>
  <c r="VP49" i="2" s="1"/>
  <c r="VP50" i="2" s="1"/>
  <c r="VP51" i="2" s="1"/>
  <c r="VP52" i="2" s="1"/>
  <c r="VP53" i="2" s="1"/>
  <c r="VP54" i="2" s="1"/>
  <c r="VP55" i="2" s="1"/>
  <c r="VP56" i="2" s="1"/>
  <c r="VO5" i="2"/>
  <c r="VK56" i="2"/>
  <c r="F75" i="8" s="1"/>
  <c r="VJ56" i="2"/>
  <c r="VH8" i="2"/>
  <c r="VH9" i="2" s="1"/>
  <c r="VH10" i="2" s="1"/>
  <c r="VH11" i="2" s="1"/>
  <c r="VH12" i="2" s="1"/>
  <c r="VH13" i="2" s="1"/>
  <c r="VH14" i="2" s="1"/>
  <c r="VH15" i="2" s="1"/>
  <c r="VH16" i="2" s="1"/>
  <c r="VH17" i="2" s="1"/>
  <c r="VH18" i="2" s="1"/>
  <c r="VH19" i="2" s="1"/>
  <c r="VH20" i="2" s="1"/>
  <c r="VH21" i="2" s="1"/>
  <c r="VH22" i="2" s="1"/>
  <c r="VH23" i="2" s="1"/>
  <c r="VH24" i="2" s="1"/>
  <c r="VH25" i="2" s="1"/>
  <c r="VH26" i="2" s="1"/>
  <c r="VH27" i="2" s="1"/>
  <c r="VH28" i="2" s="1"/>
  <c r="VH29" i="2" s="1"/>
  <c r="VH30" i="2" s="1"/>
  <c r="VH31" i="2" s="1"/>
  <c r="VH32" i="2" s="1"/>
  <c r="VH33" i="2" s="1"/>
  <c r="VH34" i="2" s="1"/>
  <c r="VH35" i="2" s="1"/>
  <c r="VH36" i="2" s="1"/>
  <c r="VH37" i="2" s="1"/>
  <c r="VH38" i="2" s="1"/>
  <c r="VH39" i="2" s="1"/>
  <c r="VH40" i="2" s="1"/>
  <c r="VH41" i="2" s="1"/>
  <c r="VH42" i="2" s="1"/>
  <c r="VH43" i="2" s="1"/>
  <c r="VH44" i="2" s="1"/>
  <c r="VH45" i="2" s="1"/>
  <c r="VH46" i="2" s="1"/>
  <c r="VH47" i="2" s="1"/>
  <c r="VH48" i="2" s="1"/>
  <c r="VH49" i="2" s="1"/>
  <c r="VH50" i="2" s="1"/>
  <c r="VH51" i="2" s="1"/>
  <c r="VH52" i="2" s="1"/>
  <c r="VH53" i="2" s="1"/>
  <c r="VH54" i="2" s="1"/>
  <c r="VH55" i="2" s="1"/>
  <c r="VH56" i="2" s="1"/>
  <c r="VG5" i="2"/>
  <c r="VC56" i="2"/>
  <c r="F74" i="8" s="1"/>
  <c r="VB56" i="2"/>
  <c r="UZ8" i="2"/>
  <c r="UZ9" i="2" s="1"/>
  <c r="UZ10" i="2" s="1"/>
  <c r="UZ11" i="2" s="1"/>
  <c r="UZ12" i="2" s="1"/>
  <c r="UZ13" i="2" s="1"/>
  <c r="UZ14" i="2" s="1"/>
  <c r="UZ15" i="2" s="1"/>
  <c r="UZ16" i="2" s="1"/>
  <c r="UZ17" i="2" s="1"/>
  <c r="UZ18" i="2" s="1"/>
  <c r="UZ19" i="2" s="1"/>
  <c r="UZ20" i="2" s="1"/>
  <c r="UZ21" i="2" s="1"/>
  <c r="UZ22" i="2" s="1"/>
  <c r="UZ23" i="2" s="1"/>
  <c r="UZ24" i="2" s="1"/>
  <c r="UZ25" i="2" s="1"/>
  <c r="UZ26" i="2" s="1"/>
  <c r="UZ27" i="2" s="1"/>
  <c r="UZ28" i="2" s="1"/>
  <c r="UZ29" i="2" s="1"/>
  <c r="UZ30" i="2" s="1"/>
  <c r="UZ31" i="2" s="1"/>
  <c r="UZ32" i="2" s="1"/>
  <c r="UZ33" i="2" s="1"/>
  <c r="UZ34" i="2" s="1"/>
  <c r="UZ35" i="2" s="1"/>
  <c r="UZ36" i="2" s="1"/>
  <c r="UZ37" i="2" s="1"/>
  <c r="UZ38" i="2" s="1"/>
  <c r="UZ39" i="2" s="1"/>
  <c r="UZ40" i="2" s="1"/>
  <c r="UZ41" i="2" s="1"/>
  <c r="UZ42" i="2" s="1"/>
  <c r="UZ43" i="2" s="1"/>
  <c r="UZ44" i="2" s="1"/>
  <c r="UZ45" i="2" s="1"/>
  <c r="UZ46" i="2" s="1"/>
  <c r="UZ47" i="2" s="1"/>
  <c r="UZ48" i="2" s="1"/>
  <c r="UZ49" i="2" s="1"/>
  <c r="UZ50" i="2" s="1"/>
  <c r="UZ51" i="2" s="1"/>
  <c r="UZ52" i="2" s="1"/>
  <c r="UZ53" i="2" s="1"/>
  <c r="UZ54" i="2" s="1"/>
  <c r="UZ55" i="2" s="1"/>
  <c r="UZ56" i="2" s="1"/>
  <c r="UY5" i="2"/>
  <c r="UU56" i="2"/>
  <c r="F73" i="8" s="1"/>
  <c r="UT56" i="2"/>
  <c r="UR8" i="2"/>
  <c r="UR9" i="2" s="1"/>
  <c r="UR10" i="2" s="1"/>
  <c r="UR11" i="2" s="1"/>
  <c r="UR12" i="2" s="1"/>
  <c r="UR13" i="2" s="1"/>
  <c r="UR14" i="2" s="1"/>
  <c r="UR15" i="2" s="1"/>
  <c r="UR16" i="2" s="1"/>
  <c r="UR17" i="2" s="1"/>
  <c r="UR18" i="2" s="1"/>
  <c r="UR19" i="2" s="1"/>
  <c r="UR20" i="2" s="1"/>
  <c r="UR21" i="2" s="1"/>
  <c r="UR22" i="2" s="1"/>
  <c r="UR23" i="2" s="1"/>
  <c r="UR24" i="2" s="1"/>
  <c r="UR25" i="2" s="1"/>
  <c r="UR26" i="2" s="1"/>
  <c r="UR27" i="2" s="1"/>
  <c r="UR28" i="2" s="1"/>
  <c r="UR29" i="2" s="1"/>
  <c r="UR30" i="2" s="1"/>
  <c r="UR31" i="2" s="1"/>
  <c r="UR32" i="2" s="1"/>
  <c r="UR33" i="2" s="1"/>
  <c r="UR34" i="2" s="1"/>
  <c r="UR35" i="2" s="1"/>
  <c r="UR36" i="2" s="1"/>
  <c r="UR37" i="2" s="1"/>
  <c r="UR38" i="2" s="1"/>
  <c r="UR39" i="2" s="1"/>
  <c r="UR40" i="2" s="1"/>
  <c r="UR41" i="2" s="1"/>
  <c r="UR42" i="2" s="1"/>
  <c r="UR43" i="2" s="1"/>
  <c r="UR44" i="2" s="1"/>
  <c r="UR45" i="2" s="1"/>
  <c r="UR46" i="2" s="1"/>
  <c r="UR47" i="2" s="1"/>
  <c r="UR48" i="2" s="1"/>
  <c r="UR49" i="2" s="1"/>
  <c r="UR50" i="2" s="1"/>
  <c r="UR51" i="2" s="1"/>
  <c r="UR52" i="2" s="1"/>
  <c r="UR53" i="2" s="1"/>
  <c r="UR54" i="2" s="1"/>
  <c r="UR55" i="2" s="1"/>
  <c r="UR56" i="2" s="1"/>
  <c r="UQ5" i="2"/>
  <c r="D72" i="8"/>
  <c r="UM56" i="2"/>
  <c r="F72" i="8" s="1"/>
  <c r="UL56" i="2"/>
  <c r="UJ8" i="2"/>
  <c r="UJ9" i="2" s="1"/>
  <c r="UJ10" i="2" s="1"/>
  <c r="UJ11" i="2" s="1"/>
  <c r="UJ12" i="2" s="1"/>
  <c r="UJ13" i="2" s="1"/>
  <c r="UJ14" i="2" s="1"/>
  <c r="UJ15" i="2" s="1"/>
  <c r="UJ16" i="2" s="1"/>
  <c r="UJ17" i="2" s="1"/>
  <c r="UJ18" i="2" s="1"/>
  <c r="UJ19" i="2" s="1"/>
  <c r="UJ20" i="2" s="1"/>
  <c r="UJ21" i="2" s="1"/>
  <c r="UJ22" i="2" s="1"/>
  <c r="UJ23" i="2" s="1"/>
  <c r="UJ24" i="2" s="1"/>
  <c r="UJ25" i="2" s="1"/>
  <c r="UJ26" i="2" s="1"/>
  <c r="UJ27" i="2" s="1"/>
  <c r="UJ28" i="2" s="1"/>
  <c r="UJ29" i="2" s="1"/>
  <c r="UJ30" i="2" s="1"/>
  <c r="UJ31" i="2" s="1"/>
  <c r="UJ32" i="2" s="1"/>
  <c r="UJ33" i="2" s="1"/>
  <c r="UJ34" i="2" s="1"/>
  <c r="UJ35" i="2" s="1"/>
  <c r="UJ36" i="2" s="1"/>
  <c r="UJ37" i="2" s="1"/>
  <c r="UJ38" i="2" s="1"/>
  <c r="UJ39" i="2" s="1"/>
  <c r="UJ40" i="2" s="1"/>
  <c r="UJ41" i="2" s="1"/>
  <c r="UJ42" i="2" s="1"/>
  <c r="UJ43" i="2" s="1"/>
  <c r="UJ44" i="2" s="1"/>
  <c r="UJ45" i="2" s="1"/>
  <c r="UJ46" i="2" s="1"/>
  <c r="UJ47" i="2" s="1"/>
  <c r="UJ48" i="2" s="1"/>
  <c r="UJ49" i="2" s="1"/>
  <c r="UJ50" i="2" s="1"/>
  <c r="UJ51" i="2" s="1"/>
  <c r="UJ52" i="2" s="1"/>
  <c r="UJ53" i="2" s="1"/>
  <c r="UJ54" i="2" s="1"/>
  <c r="UJ55" i="2" s="1"/>
  <c r="UJ56" i="2" s="1"/>
  <c r="UI5" i="2"/>
  <c r="D71" i="8"/>
  <c r="UE56" i="2"/>
  <c r="F71" i="8" s="1"/>
  <c r="UD56" i="2"/>
  <c r="UB8" i="2"/>
  <c r="UB9" i="2" s="1"/>
  <c r="UB10" i="2" s="1"/>
  <c r="UB11" i="2" s="1"/>
  <c r="UB12" i="2" s="1"/>
  <c r="UB13" i="2" s="1"/>
  <c r="UB14" i="2" s="1"/>
  <c r="UB15" i="2" s="1"/>
  <c r="UB16" i="2" s="1"/>
  <c r="UB17" i="2" s="1"/>
  <c r="UB18" i="2" s="1"/>
  <c r="UB19" i="2" s="1"/>
  <c r="UB20" i="2" s="1"/>
  <c r="UB21" i="2" s="1"/>
  <c r="UB22" i="2" s="1"/>
  <c r="UB23" i="2" s="1"/>
  <c r="UB24" i="2" s="1"/>
  <c r="UB25" i="2" s="1"/>
  <c r="UB26" i="2" s="1"/>
  <c r="UB27" i="2" s="1"/>
  <c r="UB28" i="2" s="1"/>
  <c r="UB29" i="2" s="1"/>
  <c r="UB30" i="2" s="1"/>
  <c r="UB31" i="2" s="1"/>
  <c r="UB32" i="2" s="1"/>
  <c r="UB33" i="2" s="1"/>
  <c r="UB34" i="2" s="1"/>
  <c r="UB35" i="2" s="1"/>
  <c r="UB36" i="2" s="1"/>
  <c r="UB37" i="2" s="1"/>
  <c r="UB38" i="2" s="1"/>
  <c r="UB39" i="2" s="1"/>
  <c r="UB40" i="2" s="1"/>
  <c r="UB41" i="2" s="1"/>
  <c r="UB42" i="2" s="1"/>
  <c r="UB43" i="2" s="1"/>
  <c r="UB44" i="2" s="1"/>
  <c r="UB45" i="2" s="1"/>
  <c r="UB46" i="2" s="1"/>
  <c r="UB47" i="2" s="1"/>
  <c r="UB48" i="2" s="1"/>
  <c r="UB49" i="2" s="1"/>
  <c r="UB50" i="2" s="1"/>
  <c r="UB51" i="2" s="1"/>
  <c r="UB52" i="2" s="1"/>
  <c r="UB53" i="2" s="1"/>
  <c r="UB54" i="2" s="1"/>
  <c r="UB55" i="2" s="1"/>
  <c r="UB56" i="2" s="1"/>
  <c r="UA5" i="2"/>
  <c r="QI5" i="2"/>
  <c r="D59" i="8" s="1"/>
  <c r="RW5" i="2"/>
  <c r="D64" i="8" s="1"/>
  <c r="LS5" i="2"/>
  <c r="D44" i="8" s="1"/>
  <c r="TW56" i="2"/>
  <c r="F70" i="8" s="1"/>
  <c r="TV56" i="2"/>
  <c r="TT8" i="2"/>
  <c r="TT9" i="2" s="1"/>
  <c r="TT10" i="2" s="1"/>
  <c r="TT11" i="2" s="1"/>
  <c r="TT12" i="2" s="1"/>
  <c r="TT13" i="2" s="1"/>
  <c r="TT14" i="2" s="1"/>
  <c r="TT15" i="2" s="1"/>
  <c r="TT16" i="2" s="1"/>
  <c r="TT17" i="2" s="1"/>
  <c r="TT18" i="2" s="1"/>
  <c r="TT19" i="2" s="1"/>
  <c r="TT20" i="2" s="1"/>
  <c r="TT21" i="2" s="1"/>
  <c r="TT22" i="2" s="1"/>
  <c r="TT23" i="2" s="1"/>
  <c r="TT24" i="2" s="1"/>
  <c r="TT25" i="2" s="1"/>
  <c r="TT26" i="2" s="1"/>
  <c r="TT27" i="2" s="1"/>
  <c r="TT28" i="2" s="1"/>
  <c r="TT29" i="2" s="1"/>
  <c r="TT30" i="2" s="1"/>
  <c r="TT31" i="2" s="1"/>
  <c r="TT32" i="2" s="1"/>
  <c r="TT33" i="2" s="1"/>
  <c r="TT34" i="2" s="1"/>
  <c r="TT35" i="2" s="1"/>
  <c r="TT36" i="2" s="1"/>
  <c r="TT37" i="2" s="1"/>
  <c r="TT38" i="2" s="1"/>
  <c r="TT39" i="2" s="1"/>
  <c r="TT40" i="2" s="1"/>
  <c r="TT41" i="2" s="1"/>
  <c r="TT42" i="2" s="1"/>
  <c r="TT43" i="2" s="1"/>
  <c r="TT44" i="2" s="1"/>
  <c r="TT45" i="2" s="1"/>
  <c r="TT46" i="2" s="1"/>
  <c r="TT47" i="2" s="1"/>
  <c r="TT48" i="2" s="1"/>
  <c r="TT49" i="2" s="1"/>
  <c r="TT50" i="2" s="1"/>
  <c r="TT51" i="2" s="1"/>
  <c r="TT52" i="2" s="1"/>
  <c r="TT53" i="2" s="1"/>
  <c r="TT54" i="2" s="1"/>
  <c r="TT55" i="2" s="1"/>
  <c r="TT56" i="2" s="1"/>
  <c r="TS5" i="2"/>
  <c r="D70" i="8" s="1"/>
  <c r="TO56" i="2"/>
  <c r="F69" i="8" s="1"/>
  <c r="TN56" i="2"/>
  <c r="TL8" i="2"/>
  <c r="TL9" i="2" s="1"/>
  <c r="TL10" i="2" s="1"/>
  <c r="TL11" i="2" s="1"/>
  <c r="TL12" i="2" s="1"/>
  <c r="TL13" i="2" s="1"/>
  <c r="TL14" i="2" s="1"/>
  <c r="TL15" i="2" s="1"/>
  <c r="TL16" i="2" s="1"/>
  <c r="TL17" i="2" s="1"/>
  <c r="TL18" i="2" s="1"/>
  <c r="TL19" i="2" s="1"/>
  <c r="TL20" i="2" s="1"/>
  <c r="TL21" i="2" s="1"/>
  <c r="TL22" i="2" s="1"/>
  <c r="TL23" i="2" s="1"/>
  <c r="TL24" i="2" s="1"/>
  <c r="TL25" i="2" s="1"/>
  <c r="TL26" i="2" s="1"/>
  <c r="TL27" i="2" s="1"/>
  <c r="TL28" i="2" s="1"/>
  <c r="TL29" i="2" s="1"/>
  <c r="TL30" i="2" s="1"/>
  <c r="TL31" i="2" s="1"/>
  <c r="TL32" i="2" s="1"/>
  <c r="TL33" i="2" s="1"/>
  <c r="TL34" i="2" s="1"/>
  <c r="TL35" i="2" s="1"/>
  <c r="TL36" i="2" s="1"/>
  <c r="TL37" i="2" s="1"/>
  <c r="TL38" i="2" s="1"/>
  <c r="TL39" i="2" s="1"/>
  <c r="TL40" i="2" s="1"/>
  <c r="TL41" i="2" s="1"/>
  <c r="TL42" i="2" s="1"/>
  <c r="TL43" i="2" s="1"/>
  <c r="TL44" i="2" s="1"/>
  <c r="TL45" i="2" s="1"/>
  <c r="TL46" i="2" s="1"/>
  <c r="TL47" i="2" s="1"/>
  <c r="TL48" i="2" s="1"/>
  <c r="TL49" i="2" s="1"/>
  <c r="TL50" i="2" s="1"/>
  <c r="TL51" i="2" s="1"/>
  <c r="TL52" i="2" s="1"/>
  <c r="TL53" i="2" s="1"/>
  <c r="TL54" i="2" s="1"/>
  <c r="TL55" i="2" s="1"/>
  <c r="TL56" i="2" s="1"/>
  <c r="TK5" i="2"/>
  <c r="D69" i="8" s="1"/>
  <c r="TG56" i="2"/>
  <c r="F68" i="8" s="1"/>
  <c r="TF56" i="2"/>
  <c r="TD8" i="2"/>
  <c r="TD9" i="2" s="1"/>
  <c r="TD10" i="2" s="1"/>
  <c r="TD11" i="2" s="1"/>
  <c r="TD12" i="2" s="1"/>
  <c r="TD13" i="2" s="1"/>
  <c r="TD14" i="2" s="1"/>
  <c r="TD15" i="2" s="1"/>
  <c r="TD16" i="2" s="1"/>
  <c r="TD17" i="2" s="1"/>
  <c r="TD18" i="2" s="1"/>
  <c r="TD19" i="2" s="1"/>
  <c r="TD20" i="2" s="1"/>
  <c r="TD21" i="2" s="1"/>
  <c r="TD22" i="2" s="1"/>
  <c r="TD23" i="2" s="1"/>
  <c r="TD24" i="2" s="1"/>
  <c r="TD25" i="2" s="1"/>
  <c r="TD26" i="2" s="1"/>
  <c r="TD27" i="2" s="1"/>
  <c r="TD28" i="2" s="1"/>
  <c r="TD29" i="2" s="1"/>
  <c r="TD30" i="2" s="1"/>
  <c r="TD31" i="2" s="1"/>
  <c r="TD32" i="2" s="1"/>
  <c r="TD33" i="2" s="1"/>
  <c r="TD34" i="2" s="1"/>
  <c r="TD35" i="2" s="1"/>
  <c r="TD36" i="2" s="1"/>
  <c r="TD37" i="2" s="1"/>
  <c r="TD38" i="2" s="1"/>
  <c r="TD39" i="2" s="1"/>
  <c r="TD40" i="2" s="1"/>
  <c r="TD41" i="2" s="1"/>
  <c r="TD42" i="2" s="1"/>
  <c r="TD43" i="2" s="1"/>
  <c r="TD44" i="2" s="1"/>
  <c r="TD45" i="2" s="1"/>
  <c r="TD46" i="2" s="1"/>
  <c r="TD47" i="2" s="1"/>
  <c r="TD48" i="2" s="1"/>
  <c r="TD49" i="2" s="1"/>
  <c r="TD50" i="2" s="1"/>
  <c r="TD51" i="2" s="1"/>
  <c r="TD52" i="2" s="1"/>
  <c r="TD53" i="2" s="1"/>
  <c r="TD54" i="2" s="1"/>
  <c r="TD55" i="2" s="1"/>
  <c r="TD56" i="2" s="1"/>
  <c r="TC5" i="2"/>
  <c r="D68" i="8" s="1"/>
  <c r="SU5" i="2"/>
  <c r="D67" i="8" s="1"/>
  <c r="SY56" i="2"/>
  <c r="F67" i="8" s="1"/>
  <c r="SX56" i="2"/>
  <c r="SV8" i="2"/>
  <c r="SV9" i="2" s="1"/>
  <c r="SV10" i="2" s="1"/>
  <c r="SV11" i="2" s="1"/>
  <c r="SV12" i="2" s="1"/>
  <c r="SV13" i="2" s="1"/>
  <c r="SV14" i="2" s="1"/>
  <c r="SV15" i="2" s="1"/>
  <c r="SV16" i="2" s="1"/>
  <c r="SV17" i="2" s="1"/>
  <c r="SV18" i="2" s="1"/>
  <c r="SV19" i="2" s="1"/>
  <c r="SV20" i="2" s="1"/>
  <c r="SV21" i="2" s="1"/>
  <c r="SV22" i="2" s="1"/>
  <c r="SV23" i="2" s="1"/>
  <c r="SV24" i="2" s="1"/>
  <c r="SV25" i="2" s="1"/>
  <c r="SV26" i="2" s="1"/>
  <c r="SV27" i="2" s="1"/>
  <c r="SV28" i="2" s="1"/>
  <c r="SV29" i="2" s="1"/>
  <c r="SV30" i="2" s="1"/>
  <c r="SV31" i="2" s="1"/>
  <c r="SV32" i="2" s="1"/>
  <c r="SV33" i="2" s="1"/>
  <c r="SV34" i="2" s="1"/>
  <c r="SV35" i="2" s="1"/>
  <c r="SV36" i="2" s="1"/>
  <c r="SV37" i="2" s="1"/>
  <c r="SV38" i="2" s="1"/>
  <c r="SV39" i="2" s="1"/>
  <c r="SV40" i="2" s="1"/>
  <c r="SV41" i="2" s="1"/>
  <c r="SV42" i="2" s="1"/>
  <c r="SV43" i="2" s="1"/>
  <c r="SV44" i="2" s="1"/>
  <c r="SV45" i="2" s="1"/>
  <c r="SV46" i="2" s="1"/>
  <c r="SV47" i="2" s="1"/>
  <c r="SV48" i="2" s="1"/>
  <c r="SV49" i="2" s="1"/>
  <c r="SV50" i="2" s="1"/>
  <c r="SV51" i="2" s="1"/>
  <c r="SV52" i="2" s="1"/>
  <c r="SV53" i="2" s="1"/>
  <c r="SV54" i="2" s="1"/>
  <c r="SV55" i="2" s="1"/>
  <c r="SV56" i="2" s="1"/>
  <c r="NO5" i="2"/>
  <c r="D50" i="8" s="1"/>
  <c r="D37" i="8"/>
  <c r="JE5" i="2"/>
  <c r="D36" i="8" s="1"/>
  <c r="SQ56" i="2"/>
  <c r="F66" i="8" s="1"/>
  <c r="SP56" i="2"/>
  <c r="SN8" i="2"/>
  <c r="SN9" i="2" s="1"/>
  <c r="SN10" i="2" s="1"/>
  <c r="SN11" i="2" s="1"/>
  <c r="SN12" i="2" s="1"/>
  <c r="SN13" i="2" s="1"/>
  <c r="SN14" i="2" s="1"/>
  <c r="SN15" i="2" s="1"/>
  <c r="SN16" i="2" s="1"/>
  <c r="SN17" i="2" s="1"/>
  <c r="SN18" i="2" s="1"/>
  <c r="SN19" i="2" s="1"/>
  <c r="SN20" i="2" s="1"/>
  <c r="SN21" i="2" s="1"/>
  <c r="SN22" i="2" s="1"/>
  <c r="SN23" i="2" s="1"/>
  <c r="SN24" i="2" s="1"/>
  <c r="SN25" i="2" s="1"/>
  <c r="SN26" i="2" s="1"/>
  <c r="SN27" i="2" s="1"/>
  <c r="SN28" i="2" s="1"/>
  <c r="SN29" i="2" s="1"/>
  <c r="SN30" i="2" s="1"/>
  <c r="SN31" i="2" s="1"/>
  <c r="SN32" i="2" s="1"/>
  <c r="SN33" i="2" s="1"/>
  <c r="SN34" i="2" s="1"/>
  <c r="SN35" i="2" s="1"/>
  <c r="SN36" i="2" s="1"/>
  <c r="SN37" i="2" s="1"/>
  <c r="SN38" i="2" s="1"/>
  <c r="SN39" i="2" s="1"/>
  <c r="SN40" i="2" s="1"/>
  <c r="SN41" i="2" s="1"/>
  <c r="SN42" i="2" s="1"/>
  <c r="SN43" i="2" s="1"/>
  <c r="SN44" i="2" s="1"/>
  <c r="SN45" i="2" s="1"/>
  <c r="SN46" i="2" s="1"/>
  <c r="SN47" i="2" s="1"/>
  <c r="SN48" i="2" s="1"/>
  <c r="SN49" i="2" s="1"/>
  <c r="SN50" i="2" s="1"/>
  <c r="SN51" i="2" s="1"/>
  <c r="SN52" i="2" s="1"/>
  <c r="SN53" i="2" s="1"/>
  <c r="SN54" i="2" s="1"/>
  <c r="SN55" i="2" s="1"/>
  <c r="SN56" i="2" s="1"/>
  <c r="SI56" i="2"/>
  <c r="SH56" i="2"/>
  <c r="SF8" i="2"/>
  <c r="SF9" i="2" s="1"/>
  <c r="SF10" i="2" s="1"/>
  <c r="SF11" i="2" s="1"/>
  <c r="SF12" i="2" s="1"/>
  <c r="SF13" i="2" s="1"/>
  <c r="SF14" i="2" s="1"/>
  <c r="SF15" i="2" s="1"/>
  <c r="SF16" i="2" s="1"/>
  <c r="SF17" i="2" s="1"/>
  <c r="SF18" i="2" s="1"/>
  <c r="SF19" i="2" s="1"/>
  <c r="SF20" i="2" s="1"/>
  <c r="SF21" i="2" s="1"/>
  <c r="SF22" i="2" s="1"/>
  <c r="SF23" i="2" s="1"/>
  <c r="SF24" i="2" s="1"/>
  <c r="SF25" i="2" s="1"/>
  <c r="SF26" i="2" s="1"/>
  <c r="SF27" i="2" s="1"/>
  <c r="SF28" i="2" s="1"/>
  <c r="SF29" i="2" s="1"/>
  <c r="SF30" i="2" s="1"/>
  <c r="SF31" i="2" s="1"/>
  <c r="SF32" i="2" s="1"/>
  <c r="SF33" i="2" s="1"/>
  <c r="SF34" i="2" s="1"/>
  <c r="SF35" i="2" s="1"/>
  <c r="SF36" i="2" s="1"/>
  <c r="SF37" i="2" s="1"/>
  <c r="SF38" i="2" s="1"/>
  <c r="SF39" i="2" s="1"/>
  <c r="SF40" i="2" s="1"/>
  <c r="SF41" i="2" s="1"/>
  <c r="SF42" i="2" s="1"/>
  <c r="SF43" i="2" s="1"/>
  <c r="SF44" i="2" s="1"/>
  <c r="SF45" i="2" s="1"/>
  <c r="SF46" i="2" s="1"/>
  <c r="SF47" i="2" s="1"/>
  <c r="SF48" i="2" s="1"/>
  <c r="SF49" i="2" s="1"/>
  <c r="SF50" i="2" s="1"/>
  <c r="SF51" i="2" s="1"/>
  <c r="SF52" i="2" s="1"/>
  <c r="SF53" i="2" s="1"/>
  <c r="SF54" i="2" s="1"/>
  <c r="SF55" i="2" s="1"/>
  <c r="SF56" i="2" s="1"/>
  <c r="H71" i="6"/>
  <c r="JU5" i="2"/>
  <c r="D38" i="8" s="1"/>
  <c r="D53" i="8"/>
  <c r="NW5" i="2"/>
  <c r="D51" i="8" s="1"/>
  <c r="SA56" i="2"/>
  <c r="F64" i="8" s="1"/>
  <c r="RZ56" i="2"/>
  <c r="RX8" i="2"/>
  <c r="RX9" i="2" s="1"/>
  <c r="RX10" i="2" s="1"/>
  <c r="RX11" i="2" s="1"/>
  <c r="RX12" i="2" s="1"/>
  <c r="RX13" i="2" s="1"/>
  <c r="RX14" i="2" s="1"/>
  <c r="RX15" i="2" s="1"/>
  <c r="RX16" i="2" s="1"/>
  <c r="RX17" i="2" s="1"/>
  <c r="RX18" i="2" s="1"/>
  <c r="RX19" i="2" s="1"/>
  <c r="RX20" i="2" s="1"/>
  <c r="RX21" i="2" s="1"/>
  <c r="RX22" i="2" s="1"/>
  <c r="RX23" i="2" s="1"/>
  <c r="RX24" i="2" s="1"/>
  <c r="RX25" i="2" s="1"/>
  <c r="RX26" i="2" s="1"/>
  <c r="RX27" i="2" s="1"/>
  <c r="RX28" i="2" s="1"/>
  <c r="RX29" i="2" s="1"/>
  <c r="RX30" i="2" s="1"/>
  <c r="RX31" i="2" s="1"/>
  <c r="RX32" i="2" s="1"/>
  <c r="RX33" i="2" s="1"/>
  <c r="RX34" i="2" s="1"/>
  <c r="RX35" i="2" s="1"/>
  <c r="RX36" i="2" s="1"/>
  <c r="RX37" i="2" s="1"/>
  <c r="RX38" i="2" s="1"/>
  <c r="RX39" i="2" s="1"/>
  <c r="RX40" i="2" s="1"/>
  <c r="RX41" i="2" s="1"/>
  <c r="RX42" i="2" s="1"/>
  <c r="RX43" i="2" s="1"/>
  <c r="RX44" i="2" s="1"/>
  <c r="RX45" i="2" s="1"/>
  <c r="RX46" i="2" s="1"/>
  <c r="RX47" i="2" s="1"/>
  <c r="RX48" i="2" s="1"/>
  <c r="RX49" i="2" s="1"/>
  <c r="RX50" i="2" s="1"/>
  <c r="RX51" i="2" s="1"/>
  <c r="RX52" i="2" s="1"/>
  <c r="RX53" i="2" s="1"/>
  <c r="RX54" i="2" s="1"/>
  <c r="RX55" i="2" s="1"/>
  <c r="RX56" i="2" s="1"/>
  <c r="RS56" i="2"/>
  <c r="F63" i="8" s="1"/>
  <c r="RR56" i="2"/>
  <c r="RP8" i="2"/>
  <c r="RP9" i="2" s="1"/>
  <c r="RP10" i="2" s="1"/>
  <c r="RP11" i="2" s="1"/>
  <c r="RP12" i="2" s="1"/>
  <c r="RP13" i="2" s="1"/>
  <c r="RP14" i="2" s="1"/>
  <c r="RP15" i="2" s="1"/>
  <c r="RP16" i="2" s="1"/>
  <c r="RP17" i="2" s="1"/>
  <c r="RP18" i="2" s="1"/>
  <c r="RP19" i="2" s="1"/>
  <c r="RP20" i="2" s="1"/>
  <c r="RP21" i="2" s="1"/>
  <c r="RP22" i="2" s="1"/>
  <c r="RP23" i="2" s="1"/>
  <c r="RP24" i="2" s="1"/>
  <c r="RP25" i="2" s="1"/>
  <c r="RP26" i="2" s="1"/>
  <c r="RP27" i="2" s="1"/>
  <c r="RP28" i="2" s="1"/>
  <c r="RP29" i="2" s="1"/>
  <c r="RP30" i="2" s="1"/>
  <c r="RP31" i="2" s="1"/>
  <c r="RP32" i="2" s="1"/>
  <c r="RP33" i="2" s="1"/>
  <c r="RP34" i="2" s="1"/>
  <c r="RP35" i="2" s="1"/>
  <c r="RP36" i="2" s="1"/>
  <c r="RP37" i="2" s="1"/>
  <c r="RP38" i="2" s="1"/>
  <c r="RP39" i="2" s="1"/>
  <c r="RP40" i="2" s="1"/>
  <c r="RP41" i="2" s="1"/>
  <c r="RP42" i="2" s="1"/>
  <c r="RP43" i="2" s="1"/>
  <c r="RP44" i="2" s="1"/>
  <c r="RP45" i="2" s="1"/>
  <c r="RP46" i="2" s="1"/>
  <c r="RP47" i="2" s="1"/>
  <c r="RP48" i="2" s="1"/>
  <c r="RP49" i="2" s="1"/>
  <c r="RP50" i="2" s="1"/>
  <c r="RP51" i="2" s="1"/>
  <c r="RP52" i="2" s="1"/>
  <c r="RP53" i="2" s="1"/>
  <c r="RP54" i="2" s="1"/>
  <c r="RP55" i="2" s="1"/>
  <c r="RP56" i="2" s="1"/>
  <c r="RK56" i="2"/>
  <c r="F62" i="8" s="1"/>
  <c r="RJ56" i="2"/>
  <c r="RH8" i="2"/>
  <c r="RH9" i="2" s="1"/>
  <c r="RH10" i="2" s="1"/>
  <c r="RH11" i="2" s="1"/>
  <c r="RH12" i="2" s="1"/>
  <c r="RH13" i="2" s="1"/>
  <c r="RH14" i="2" s="1"/>
  <c r="RH15" i="2" s="1"/>
  <c r="RH16" i="2" s="1"/>
  <c r="RH17" i="2" s="1"/>
  <c r="RH18" i="2" s="1"/>
  <c r="RH19" i="2" s="1"/>
  <c r="RH20" i="2" s="1"/>
  <c r="RH21" i="2" s="1"/>
  <c r="RH22" i="2" s="1"/>
  <c r="RH23" i="2" s="1"/>
  <c r="RH24" i="2" s="1"/>
  <c r="RH25" i="2" s="1"/>
  <c r="RH26" i="2" s="1"/>
  <c r="RH27" i="2" s="1"/>
  <c r="RH28" i="2" s="1"/>
  <c r="RH29" i="2" s="1"/>
  <c r="RH30" i="2" s="1"/>
  <c r="RH31" i="2" s="1"/>
  <c r="RH32" i="2" s="1"/>
  <c r="RH33" i="2" s="1"/>
  <c r="RH34" i="2" s="1"/>
  <c r="RH35" i="2" s="1"/>
  <c r="RH36" i="2" s="1"/>
  <c r="RH37" i="2" s="1"/>
  <c r="RH38" i="2" s="1"/>
  <c r="RH39" i="2" s="1"/>
  <c r="RH40" i="2" s="1"/>
  <c r="RH41" i="2" s="1"/>
  <c r="RH42" i="2" s="1"/>
  <c r="RH43" i="2" s="1"/>
  <c r="RH44" i="2" s="1"/>
  <c r="RH45" i="2" s="1"/>
  <c r="RH46" i="2" s="1"/>
  <c r="RH47" i="2" s="1"/>
  <c r="RH48" i="2" s="1"/>
  <c r="RH49" i="2" s="1"/>
  <c r="RH50" i="2" s="1"/>
  <c r="RH51" i="2" s="1"/>
  <c r="RH52" i="2" s="1"/>
  <c r="RH53" i="2" s="1"/>
  <c r="RH54" i="2" s="1"/>
  <c r="RH55" i="2" s="1"/>
  <c r="RH56" i="2" s="1"/>
  <c r="RC56" i="2"/>
  <c r="F61" i="8" s="1"/>
  <c r="RB56" i="2"/>
  <c r="QZ8" i="2"/>
  <c r="QZ9" i="2" s="1"/>
  <c r="QZ10" i="2" s="1"/>
  <c r="QZ11" i="2" s="1"/>
  <c r="QZ12" i="2" s="1"/>
  <c r="QZ13" i="2" s="1"/>
  <c r="QZ14" i="2" s="1"/>
  <c r="QZ15" i="2" s="1"/>
  <c r="QZ16" i="2" s="1"/>
  <c r="QZ17" i="2" s="1"/>
  <c r="QZ18" i="2" s="1"/>
  <c r="QZ19" i="2" s="1"/>
  <c r="QZ20" i="2" s="1"/>
  <c r="QZ21" i="2" s="1"/>
  <c r="QZ22" i="2" s="1"/>
  <c r="QZ23" i="2" s="1"/>
  <c r="QZ24" i="2" s="1"/>
  <c r="QZ25" i="2" s="1"/>
  <c r="QZ26" i="2" s="1"/>
  <c r="QZ27" i="2" s="1"/>
  <c r="QZ28" i="2" s="1"/>
  <c r="QZ29" i="2" s="1"/>
  <c r="QZ30" i="2" s="1"/>
  <c r="QZ31" i="2" s="1"/>
  <c r="QZ32" i="2" s="1"/>
  <c r="QZ33" i="2" s="1"/>
  <c r="QZ34" i="2" s="1"/>
  <c r="QZ35" i="2" s="1"/>
  <c r="QZ36" i="2" s="1"/>
  <c r="QZ37" i="2" s="1"/>
  <c r="QZ38" i="2" s="1"/>
  <c r="QZ39" i="2" s="1"/>
  <c r="QZ40" i="2" s="1"/>
  <c r="QZ41" i="2" s="1"/>
  <c r="QZ42" i="2" s="1"/>
  <c r="QZ43" i="2" s="1"/>
  <c r="QZ44" i="2" s="1"/>
  <c r="QZ45" i="2" s="1"/>
  <c r="QZ46" i="2" s="1"/>
  <c r="QZ47" i="2" s="1"/>
  <c r="QZ48" i="2" s="1"/>
  <c r="QZ49" i="2" s="1"/>
  <c r="QZ50" i="2" s="1"/>
  <c r="QZ51" i="2" s="1"/>
  <c r="QZ52" i="2" s="1"/>
  <c r="QZ53" i="2" s="1"/>
  <c r="QZ54" i="2" s="1"/>
  <c r="QZ55" i="2" s="1"/>
  <c r="QZ56" i="2" s="1"/>
  <c r="QU56" i="2"/>
  <c r="F60" i="8" s="1"/>
  <c r="QT56" i="2"/>
  <c r="QR8" i="2"/>
  <c r="QR9" i="2" s="1"/>
  <c r="QR10" i="2" s="1"/>
  <c r="QR11" i="2" s="1"/>
  <c r="QR12" i="2" s="1"/>
  <c r="QR13" i="2" s="1"/>
  <c r="QR14" i="2" s="1"/>
  <c r="QR15" i="2" s="1"/>
  <c r="QR16" i="2" s="1"/>
  <c r="QR17" i="2" s="1"/>
  <c r="QR18" i="2" s="1"/>
  <c r="QR19" i="2" s="1"/>
  <c r="QR20" i="2" s="1"/>
  <c r="QR21" i="2" s="1"/>
  <c r="QR22" i="2" s="1"/>
  <c r="QR23" i="2" s="1"/>
  <c r="QR24" i="2" s="1"/>
  <c r="QR25" i="2" s="1"/>
  <c r="QR26" i="2" s="1"/>
  <c r="QR27" i="2" s="1"/>
  <c r="QR28" i="2" s="1"/>
  <c r="QR29" i="2" s="1"/>
  <c r="QR30" i="2" s="1"/>
  <c r="QR31" i="2" s="1"/>
  <c r="QR32" i="2" s="1"/>
  <c r="QR33" i="2" s="1"/>
  <c r="QR34" i="2" s="1"/>
  <c r="QR35" i="2" s="1"/>
  <c r="QR36" i="2" s="1"/>
  <c r="QR37" i="2" s="1"/>
  <c r="QR38" i="2" s="1"/>
  <c r="QR39" i="2" s="1"/>
  <c r="QR40" i="2" s="1"/>
  <c r="QR41" i="2" s="1"/>
  <c r="QR42" i="2" s="1"/>
  <c r="QR43" i="2" s="1"/>
  <c r="QR44" i="2" s="1"/>
  <c r="QR45" i="2" s="1"/>
  <c r="QR46" i="2" s="1"/>
  <c r="QR47" i="2" s="1"/>
  <c r="QR48" i="2" s="1"/>
  <c r="QR49" i="2" s="1"/>
  <c r="QR50" i="2" s="1"/>
  <c r="QR51" i="2" s="1"/>
  <c r="QR52" i="2" s="1"/>
  <c r="QR53" i="2" s="1"/>
  <c r="QR54" i="2" s="1"/>
  <c r="QR55" i="2" s="1"/>
  <c r="QR56" i="2" s="1"/>
  <c r="QM56" i="2"/>
  <c r="F59" i="8" s="1"/>
  <c r="QL56" i="2"/>
  <c r="QJ8" i="2"/>
  <c r="QJ9" i="2" s="1"/>
  <c r="QJ10" i="2" s="1"/>
  <c r="QJ11" i="2" s="1"/>
  <c r="QJ12" i="2" s="1"/>
  <c r="QJ13" i="2" s="1"/>
  <c r="QJ14" i="2" s="1"/>
  <c r="QJ15" i="2" s="1"/>
  <c r="QJ16" i="2" s="1"/>
  <c r="QJ17" i="2" s="1"/>
  <c r="QJ18" i="2" s="1"/>
  <c r="QJ19" i="2" s="1"/>
  <c r="QJ20" i="2" s="1"/>
  <c r="QJ21" i="2" s="1"/>
  <c r="QJ22" i="2" s="1"/>
  <c r="QJ23" i="2" s="1"/>
  <c r="QJ24" i="2" s="1"/>
  <c r="QJ25" i="2" s="1"/>
  <c r="QJ26" i="2" s="1"/>
  <c r="QJ27" i="2" s="1"/>
  <c r="QJ28" i="2" s="1"/>
  <c r="QJ29" i="2" s="1"/>
  <c r="QJ30" i="2" s="1"/>
  <c r="QJ31" i="2" s="1"/>
  <c r="QJ32" i="2" s="1"/>
  <c r="QJ33" i="2" s="1"/>
  <c r="QJ34" i="2" s="1"/>
  <c r="QJ35" i="2" s="1"/>
  <c r="QJ36" i="2" s="1"/>
  <c r="QJ37" i="2" s="1"/>
  <c r="QJ38" i="2" s="1"/>
  <c r="QJ39" i="2" s="1"/>
  <c r="QJ40" i="2" s="1"/>
  <c r="QJ41" i="2" s="1"/>
  <c r="QJ42" i="2" s="1"/>
  <c r="QJ43" i="2" s="1"/>
  <c r="QJ44" i="2" s="1"/>
  <c r="QJ45" i="2" s="1"/>
  <c r="QJ46" i="2" s="1"/>
  <c r="QJ47" i="2" s="1"/>
  <c r="QJ48" i="2" s="1"/>
  <c r="QJ49" i="2" s="1"/>
  <c r="QJ50" i="2" s="1"/>
  <c r="QJ51" i="2" s="1"/>
  <c r="QJ52" i="2" s="1"/>
  <c r="QJ53" i="2" s="1"/>
  <c r="QJ54" i="2" s="1"/>
  <c r="QJ55" i="2" s="1"/>
  <c r="QJ56" i="2" s="1"/>
  <c r="QE56" i="2"/>
  <c r="F58" i="8" s="1"/>
  <c r="QD56" i="2"/>
  <c r="QB8" i="2"/>
  <c r="QB9" i="2" s="1"/>
  <c r="QB10" i="2" s="1"/>
  <c r="QB11" i="2" s="1"/>
  <c r="QB12" i="2" s="1"/>
  <c r="QB13" i="2" s="1"/>
  <c r="QB14" i="2" s="1"/>
  <c r="QB15" i="2" s="1"/>
  <c r="QB16" i="2" s="1"/>
  <c r="QB17" i="2" s="1"/>
  <c r="QB18" i="2" s="1"/>
  <c r="QB19" i="2" s="1"/>
  <c r="QB20" i="2" s="1"/>
  <c r="QB21" i="2" s="1"/>
  <c r="QB22" i="2" s="1"/>
  <c r="QB23" i="2" s="1"/>
  <c r="QB24" i="2" s="1"/>
  <c r="QB25" i="2" s="1"/>
  <c r="QB26" i="2" s="1"/>
  <c r="QB27" i="2" s="1"/>
  <c r="QB28" i="2" s="1"/>
  <c r="QB29" i="2" s="1"/>
  <c r="QB30" i="2" s="1"/>
  <c r="QB31" i="2" s="1"/>
  <c r="QB32" i="2" s="1"/>
  <c r="QB33" i="2" s="1"/>
  <c r="QB34" i="2" s="1"/>
  <c r="QB35" i="2" s="1"/>
  <c r="QB36" i="2" s="1"/>
  <c r="QB37" i="2" s="1"/>
  <c r="QB38" i="2" s="1"/>
  <c r="QB39" i="2" s="1"/>
  <c r="QB40" i="2" s="1"/>
  <c r="QB41" i="2" s="1"/>
  <c r="QB42" i="2" s="1"/>
  <c r="QB43" i="2" s="1"/>
  <c r="QB44" i="2" s="1"/>
  <c r="QB45" i="2" s="1"/>
  <c r="QB46" i="2" s="1"/>
  <c r="QB47" i="2" s="1"/>
  <c r="QB48" i="2" s="1"/>
  <c r="QB49" i="2" s="1"/>
  <c r="QB50" i="2" s="1"/>
  <c r="QB51" i="2" s="1"/>
  <c r="QB52" i="2" s="1"/>
  <c r="QB53" i="2" s="1"/>
  <c r="QB54" i="2" s="1"/>
  <c r="QB55" i="2" s="1"/>
  <c r="QB56" i="2" s="1"/>
  <c r="PW56" i="2"/>
  <c r="F57" i="8" s="1"/>
  <c r="PV56" i="2"/>
  <c r="PT8" i="2"/>
  <c r="PT9" i="2" s="1"/>
  <c r="PT10" i="2" s="1"/>
  <c r="PT11" i="2" s="1"/>
  <c r="PT12" i="2" s="1"/>
  <c r="PT13" i="2" s="1"/>
  <c r="PT14" i="2" s="1"/>
  <c r="PT15" i="2" s="1"/>
  <c r="PT16" i="2" s="1"/>
  <c r="PT17" i="2" s="1"/>
  <c r="PT18" i="2" s="1"/>
  <c r="PT19" i="2" s="1"/>
  <c r="PT20" i="2" s="1"/>
  <c r="PT21" i="2" s="1"/>
  <c r="PT22" i="2" s="1"/>
  <c r="PT23" i="2" s="1"/>
  <c r="PT24" i="2" s="1"/>
  <c r="PT25" i="2" s="1"/>
  <c r="PT26" i="2" s="1"/>
  <c r="PT27" i="2" s="1"/>
  <c r="PT28" i="2" s="1"/>
  <c r="PT29" i="2" s="1"/>
  <c r="PT30" i="2" s="1"/>
  <c r="PT31" i="2" s="1"/>
  <c r="PT32" i="2" s="1"/>
  <c r="PT33" i="2" s="1"/>
  <c r="PT34" i="2" s="1"/>
  <c r="PT35" i="2" s="1"/>
  <c r="PT36" i="2" s="1"/>
  <c r="PT37" i="2" s="1"/>
  <c r="PT38" i="2" s="1"/>
  <c r="PT39" i="2" s="1"/>
  <c r="PT40" i="2" s="1"/>
  <c r="PT41" i="2" s="1"/>
  <c r="PT42" i="2" s="1"/>
  <c r="PT43" i="2" s="1"/>
  <c r="PT44" i="2" s="1"/>
  <c r="PT45" i="2" s="1"/>
  <c r="PT46" i="2" s="1"/>
  <c r="PT47" i="2" s="1"/>
  <c r="PT48" i="2" s="1"/>
  <c r="PT49" i="2" s="1"/>
  <c r="PT50" i="2" s="1"/>
  <c r="PT51" i="2" s="1"/>
  <c r="PT52" i="2" s="1"/>
  <c r="PT53" i="2" s="1"/>
  <c r="PT54" i="2" s="1"/>
  <c r="PT55" i="2" s="1"/>
  <c r="PT56" i="2" s="1"/>
  <c r="PO56" i="2"/>
  <c r="F56" i="8" s="1"/>
  <c r="PN56" i="2"/>
  <c r="PL8" i="2"/>
  <c r="PL9" i="2" s="1"/>
  <c r="PL10" i="2" s="1"/>
  <c r="PL11" i="2" s="1"/>
  <c r="PL12" i="2" s="1"/>
  <c r="PL13" i="2" s="1"/>
  <c r="PL14" i="2" s="1"/>
  <c r="PL15" i="2" s="1"/>
  <c r="PL16" i="2" s="1"/>
  <c r="PL17" i="2" s="1"/>
  <c r="PL18" i="2" s="1"/>
  <c r="PL19" i="2" s="1"/>
  <c r="PL20" i="2" s="1"/>
  <c r="PL21" i="2" s="1"/>
  <c r="PL22" i="2" s="1"/>
  <c r="PL23" i="2" s="1"/>
  <c r="PL24" i="2" s="1"/>
  <c r="PL25" i="2" s="1"/>
  <c r="PL26" i="2" s="1"/>
  <c r="PL27" i="2" s="1"/>
  <c r="PL28" i="2" s="1"/>
  <c r="PL29" i="2" s="1"/>
  <c r="PL30" i="2" s="1"/>
  <c r="PL31" i="2" s="1"/>
  <c r="PL32" i="2" s="1"/>
  <c r="PL33" i="2" s="1"/>
  <c r="PL34" i="2" s="1"/>
  <c r="PL35" i="2" s="1"/>
  <c r="PL36" i="2" s="1"/>
  <c r="PL37" i="2" s="1"/>
  <c r="PL38" i="2" s="1"/>
  <c r="PL39" i="2" s="1"/>
  <c r="PL40" i="2" s="1"/>
  <c r="PL41" i="2" s="1"/>
  <c r="PL42" i="2" s="1"/>
  <c r="PL43" i="2" s="1"/>
  <c r="PL44" i="2" s="1"/>
  <c r="PL45" i="2" s="1"/>
  <c r="PL46" i="2" s="1"/>
  <c r="PL47" i="2" s="1"/>
  <c r="PL48" i="2" s="1"/>
  <c r="PL49" i="2" s="1"/>
  <c r="PL50" i="2" s="1"/>
  <c r="PL51" i="2" s="1"/>
  <c r="PL52" i="2" s="1"/>
  <c r="PL53" i="2" s="1"/>
  <c r="PL54" i="2" s="1"/>
  <c r="PL55" i="2" s="1"/>
  <c r="PL56" i="2" s="1"/>
  <c r="PG56" i="2"/>
  <c r="F55" i="8" s="1"/>
  <c r="PF56" i="2"/>
  <c r="PD8" i="2"/>
  <c r="PD9" i="2" s="1"/>
  <c r="PD10" i="2" s="1"/>
  <c r="PD11" i="2" s="1"/>
  <c r="PD12" i="2" s="1"/>
  <c r="PD13" i="2" s="1"/>
  <c r="PD14" i="2" s="1"/>
  <c r="PD15" i="2" s="1"/>
  <c r="PD16" i="2" s="1"/>
  <c r="PD17" i="2" s="1"/>
  <c r="PD18" i="2" s="1"/>
  <c r="PD19" i="2" s="1"/>
  <c r="PD20" i="2" s="1"/>
  <c r="PD21" i="2" s="1"/>
  <c r="PD22" i="2" s="1"/>
  <c r="PD23" i="2" s="1"/>
  <c r="PD24" i="2" s="1"/>
  <c r="PD25" i="2" s="1"/>
  <c r="PD26" i="2" s="1"/>
  <c r="PD27" i="2" s="1"/>
  <c r="PD28" i="2" s="1"/>
  <c r="PD29" i="2" s="1"/>
  <c r="PD30" i="2" s="1"/>
  <c r="PD31" i="2" s="1"/>
  <c r="PD32" i="2" s="1"/>
  <c r="PD33" i="2" s="1"/>
  <c r="PD34" i="2" s="1"/>
  <c r="PD35" i="2" s="1"/>
  <c r="PD36" i="2" s="1"/>
  <c r="PD37" i="2" s="1"/>
  <c r="PD38" i="2" s="1"/>
  <c r="PD39" i="2" s="1"/>
  <c r="PD40" i="2" s="1"/>
  <c r="PD41" i="2" s="1"/>
  <c r="PD42" i="2" s="1"/>
  <c r="PD43" i="2" s="1"/>
  <c r="PD44" i="2" s="1"/>
  <c r="PD45" i="2" s="1"/>
  <c r="PD46" i="2" s="1"/>
  <c r="PD47" i="2" s="1"/>
  <c r="PD48" i="2" s="1"/>
  <c r="PD49" i="2" s="1"/>
  <c r="PD50" i="2" s="1"/>
  <c r="PD51" i="2" s="1"/>
  <c r="PD52" i="2" s="1"/>
  <c r="PD53" i="2" s="1"/>
  <c r="PD54" i="2" s="1"/>
  <c r="PD55" i="2" s="1"/>
  <c r="PD56" i="2" s="1"/>
  <c r="OY56" i="2"/>
  <c r="F54" i="8" s="1"/>
  <c r="OX56" i="2"/>
  <c r="OV8" i="2"/>
  <c r="OV9" i="2" s="1"/>
  <c r="OV10" i="2" s="1"/>
  <c r="OV11" i="2" s="1"/>
  <c r="OV12" i="2" s="1"/>
  <c r="OV13" i="2" s="1"/>
  <c r="OV14" i="2" s="1"/>
  <c r="OV15" i="2" s="1"/>
  <c r="OV16" i="2" s="1"/>
  <c r="OV17" i="2" s="1"/>
  <c r="OV18" i="2" s="1"/>
  <c r="OV19" i="2" s="1"/>
  <c r="OV20" i="2" s="1"/>
  <c r="OV21" i="2" s="1"/>
  <c r="OV22" i="2" s="1"/>
  <c r="OV23" i="2" s="1"/>
  <c r="OV24" i="2" s="1"/>
  <c r="OV25" i="2" s="1"/>
  <c r="OV26" i="2" s="1"/>
  <c r="OV27" i="2" s="1"/>
  <c r="OV28" i="2" s="1"/>
  <c r="OV29" i="2" s="1"/>
  <c r="OV30" i="2" s="1"/>
  <c r="OV31" i="2" s="1"/>
  <c r="OV32" i="2" s="1"/>
  <c r="OV33" i="2" s="1"/>
  <c r="OV34" i="2" s="1"/>
  <c r="OV35" i="2" s="1"/>
  <c r="OV36" i="2" s="1"/>
  <c r="OV37" i="2" s="1"/>
  <c r="OV38" i="2" s="1"/>
  <c r="OV39" i="2" s="1"/>
  <c r="OV40" i="2" s="1"/>
  <c r="OV41" i="2" s="1"/>
  <c r="OV42" i="2" s="1"/>
  <c r="OV43" i="2" s="1"/>
  <c r="OV44" i="2" s="1"/>
  <c r="OV45" i="2" s="1"/>
  <c r="OV46" i="2" s="1"/>
  <c r="OV47" i="2" s="1"/>
  <c r="OV48" i="2" s="1"/>
  <c r="OV49" i="2" s="1"/>
  <c r="OV50" i="2" s="1"/>
  <c r="OV51" i="2" s="1"/>
  <c r="OV52" i="2" s="1"/>
  <c r="OV53" i="2" s="1"/>
  <c r="OV54" i="2" s="1"/>
  <c r="OV55" i="2" s="1"/>
  <c r="OV56" i="2" s="1"/>
  <c r="OQ56" i="2"/>
  <c r="F53" i="8" s="1"/>
  <c r="OP56" i="2"/>
  <c r="ON8" i="2"/>
  <c r="ON9" i="2" s="1"/>
  <c r="ON10" i="2" s="1"/>
  <c r="ON11" i="2" s="1"/>
  <c r="ON12" i="2" s="1"/>
  <c r="ON13" i="2" s="1"/>
  <c r="ON14" i="2" s="1"/>
  <c r="ON15" i="2" s="1"/>
  <c r="ON16" i="2" s="1"/>
  <c r="ON17" i="2" s="1"/>
  <c r="ON18" i="2" s="1"/>
  <c r="ON19" i="2" s="1"/>
  <c r="ON20" i="2" s="1"/>
  <c r="ON21" i="2" s="1"/>
  <c r="ON22" i="2" s="1"/>
  <c r="ON23" i="2" s="1"/>
  <c r="ON24" i="2" s="1"/>
  <c r="ON25" i="2" s="1"/>
  <c r="ON26" i="2" s="1"/>
  <c r="ON27" i="2" s="1"/>
  <c r="ON28" i="2" s="1"/>
  <c r="ON29" i="2" s="1"/>
  <c r="ON30" i="2" s="1"/>
  <c r="ON31" i="2" s="1"/>
  <c r="ON32" i="2" s="1"/>
  <c r="ON33" i="2" s="1"/>
  <c r="ON34" i="2" s="1"/>
  <c r="ON35" i="2" s="1"/>
  <c r="ON36" i="2" s="1"/>
  <c r="ON37" i="2" s="1"/>
  <c r="ON38" i="2" s="1"/>
  <c r="ON39" i="2" s="1"/>
  <c r="ON40" i="2" s="1"/>
  <c r="ON41" i="2" s="1"/>
  <c r="ON42" i="2" s="1"/>
  <c r="ON43" i="2" s="1"/>
  <c r="ON44" i="2" s="1"/>
  <c r="ON45" i="2" s="1"/>
  <c r="ON46" i="2" s="1"/>
  <c r="ON47" i="2" s="1"/>
  <c r="ON48" i="2" s="1"/>
  <c r="ON49" i="2" s="1"/>
  <c r="ON50" i="2" s="1"/>
  <c r="ON51" i="2" s="1"/>
  <c r="ON52" i="2" s="1"/>
  <c r="ON53" i="2" s="1"/>
  <c r="ON54" i="2" s="1"/>
  <c r="ON55" i="2" s="1"/>
  <c r="ON56" i="2" s="1"/>
  <c r="OI56" i="2"/>
  <c r="F52" i="8" s="1"/>
  <c r="OH56" i="2"/>
  <c r="OF8" i="2"/>
  <c r="OF9" i="2" s="1"/>
  <c r="OF10" i="2" s="1"/>
  <c r="OF11" i="2" s="1"/>
  <c r="OF12" i="2" s="1"/>
  <c r="OF13" i="2" s="1"/>
  <c r="OF14" i="2" s="1"/>
  <c r="OF15" i="2" s="1"/>
  <c r="OF16" i="2" s="1"/>
  <c r="OF17" i="2" s="1"/>
  <c r="OF18" i="2" s="1"/>
  <c r="OF19" i="2" s="1"/>
  <c r="OF20" i="2" s="1"/>
  <c r="OF21" i="2" s="1"/>
  <c r="OF22" i="2" s="1"/>
  <c r="OF23" i="2" s="1"/>
  <c r="OF24" i="2" s="1"/>
  <c r="OF25" i="2" s="1"/>
  <c r="OF26" i="2" s="1"/>
  <c r="OF27" i="2" s="1"/>
  <c r="OF28" i="2" s="1"/>
  <c r="OF29" i="2" s="1"/>
  <c r="OF30" i="2" s="1"/>
  <c r="OF31" i="2" s="1"/>
  <c r="OF32" i="2" s="1"/>
  <c r="OF33" i="2" s="1"/>
  <c r="OF34" i="2" s="1"/>
  <c r="OF35" i="2" s="1"/>
  <c r="OF36" i="2" s="1"/>
  <c r="OF37" i="2" s="1"/>
  <c r="OF38" i="2" s="1"/>
  <c r="OF39" i="2" s="1"/>
  <c r="OF40" i="2" s="1"/>
  <c r="OF41" i="2" s="1"/>
  <c r="OF42" i="2" s="1"/>
  <c r="OF43" i="2" s="1"/>
  <c r="OF44" i="2" s="1"/>
  <c r="OF45" i="2" s="1"/>
  <c r="OF46" i="2" s="1"/>
  <c r="OF47" i="2" s="1"/>
  <c r="OF48" i="2" s="1"/>
  <c r="OF49" i="2" s="1"/>
  <c r="OF50" i="2" s="1"/>
  <c r="OF51" i="2" s="1"/>
  <c r="OF52" i="2" s="1"/>
  <c r="OF53" i="2" s="1"/>
  <c r="OF54" i="2" s="1"/>
  <c r="OF55" i="2" s="1"/>
  <c r="OF56" i="2" s="1"/>
  <c r="OA56" i="2"/>
  <c r="F51" i="8" s="1"/>
  <c r="NZ56" i="2"/>
  <c r="NX8" i="2"/>
  <c r="NX9" i="2" s="1"/>
  <c r="NX10" i="2" s="1"/>
  <c r="NX11" i="2" s="1"/>
  <c r="NX12" i="2" s="1"/>
  <c r="NX13" i="2" s="1"/>
  <c r="NX14" i="2" s="1"/>
  <c r="NX15" i="2" s="1"/>
  <c r="NX16" i="2" s="1"/>
  <c r="NX17" i="2" s="1"/>
  <c r="NX18" i="2" s="1"/>
  <c r="NX19" i="2" s="1"/>
  <c r="NX20" i="2" s="1"/>
  <c r="NX21" i="2" s="1"/>
  <c r="NX22" i="2" s="1"/>
  <c r="NX23" i="2" s="1"/>
  <c r="NX24" i="2" s="1"/>
  <c r="NX25" i="2" s="1"/>
  <c r="NX26" i="2" s="1"/>
  <c r="NX27" i="2" s="1"/>
  <c r="NX28" i="2" s="1"/>
  <c r="NX29" i="2" s="1"/>
  <c r="NX30" i="2" s="1"/>
  <c r="NX31" i="2" s="1"/>
  <c r="NX32" i="2" s="1"/>
  <c r="NX33" i="2" s="1"/>
  <c r="NX34" i="2" s="1"/>
  <c r="NX35" i="2" s="1"/>
  <c r="NX36" i="2" s="1"/>
  <c r="NX37" i="2" s="1"/>
  <c r="NX38" i="2" s="1"/>
  <c r="NX39" i="2" s="1"/>
  <c r="NX40" i="2" s="1"/>
  <c r="NX41" i="2" s="1"/>
  <c r="NX42" i="2" s="1"/>
  <c r="NX43" i="2" s="1"/>
  <c r="NX44" i="2" s="1"/>
  <c r="NX45" i="2" s="1"/>
  <c r="NX46" i="2" s="1"/>
  <c r="NX47" i="2" s="1"/>
  <c r="NX48" i="2" s="1"/>
  <c r="NX49" i="2" s="1"/>
  <c r="NX50" i="2" s="1"/>
  <c r="NX51" i="2" s="1"/>
  <c r="NX52" i="2" s="1"/>
  <c r="NX53" i="2" s="1"/>
  <c r="NX54" i="2" s="1"/>
  <c r="NX55" i="2" s="1"/>
  <c r="NX56" i="2" s="1"/>
  <c r="NR56" i="2"/>
  <c r="NP8" i="2"/>
  <c r="NP9" i="2" s="1"/>
  <c r="NP10" i="2" s="1"/>
  <c r="NP11" i="2" s="1"/>
  <c r="NP12" i="2" s="1"/>
  <c r="NP13" i="2" s="1"/>
  <c r="NP14" i="2" s="1"/>
  <c r="NP15" i="2" s="1"/>
  <c r="NP16" i="2" s="1"/>
  <c r="NP17" i="2" s="1"/>
  <c r="NP18" i="2" s="1"/>
  <c r="NP19" i="2" s="1"/>
  <c r="NP20" i="2" s="1"/>
  <c r="NP21" i="2" s="1"/>
  <c r="NP22" i="2" s="1"/>
  <c r="NP23" i="2" s="1"/>
  <c r="NP24" i="2" s="1"/>
  <c r="NP25" i="2" s="1"/>
  <c r="NP26" i="2" s="1"/>
  <c r="NP27" i="2" s="1"/>
  <c r="NP28" i="2" s="1"/>
  <c r="NP29" i="2" s="1"/>
  <c r="NP30" i="2" s="1"/>
  <c r="NP31" i="2" s="1"/>
  <c r="NP32" i="2" s="1"/>
  <c r="NP33" i="2" s="1"/>
  <c r="NP34" i="2" s="1"/>
  <c r="NP35" i="2" s="1"/>
  <c r="NP36" i="2" s="1"/>
  <c r="NP37" i="2" s="1"/>
  <c r="NP38" i="2" s="1"/>
  <c r="NP39" i="2" s="1"/>
  <c r="NP40" i="2" s="1"/>
  <c r="NP41" i="2" s="1"/>
  <c r="NP42" i="2" s="1"/>
  <c r="NP43" i="2" s="1"/>
  <c r="NP44" i="2" s="1"/>
  <c r="NP45" i="2" s="1"/>
  <c r="NP46" i="2" s="1"/>
  <c r="NP47" i="2" s="1"/>
  <c r="NP48" i="2" s="1"/>
  <c r="NP49" i="2" s="1"/>
  <c r="NP50" i="2" s="1"/>
  <c r="NP51" i="2" s="1"/>
  <c r="NP52" i="2" s="1"/>
  <c r="NP53" i="2" s="1"/>
  <c r="NP54" i="2" s="1"/>
  <c r="NP55" i="2" s="1"/>
  <c r="NP56" i="2" s="1"/>
  <c r="NK56" i="2"/>
  <c r="F49" i="8" s="1"/>
  <c r="NJ56" i="2"/>
  <c r="NH8" i="2"/>
  <c r="NH9" i="2" s="1"/>
  <c r="NH10" i="2" s="1"/>
  <c r="NH11" i="2" s="1"/>
  <c r="NH12" i="2" s="1"/>
  <c r="NH13" i="2" s="1"/>
  <c r="NH14" i="2" s="1"/>
  <c r="NH15" i="2" s="1"/>
  <c r="NH16" i="2" s="1"/>
  <c r="NH17" i="2" s="1"/>
  <c r="NH18" i="2" s="1"/>
  <c r="NH19" i="2" s="1"/>
  <c r="NH20" i="2" s="1"/>
  <c r="NH21" i="2" s="1"/>
  <c r="NH22" i="2" s="1"/>
  <c r="NH23" i="2" s="1"/>
  <c r="NH24" i="2" s="1"/>
  <c r="NH25" i="2" s="1"/>
  <c r="NH26" i="2" s="1"/>
  <c r="NH27" i="2" s="1"/>
  <c r="NH28" i="2" s="1"/>
  <c r="NH29" i="2" s="1"/>
  <c r="NH30" i="2" s="1"/>
  <c r="NH31" i="2" s="1"/>
  <c r="NH32" i="2" s="1"/>
  <c r="NH33" i="2" s="1"/>
  <c r="NH34" i="2" s="1"/>
  <c r="NH35" i="2" s="1"/>
  <c r="NH36" i="2" s="1"/>
  <c r="NH37" i="2" s="1"/>
  <c r="NH38" i="2" s="1"/>
  <c r="NH39" i="2" s="1"/>
  <c r="NH40" i="2" s="1"/>
  <c r="NH41" i="2" s="1"/>
  <c r="NH42" i="2" s="1"/>
  <c r="NH43" i="2" s="1"/>
  <c r="NH44" i="2" s="1"/>
  <c r="NH45" i="2" s="1"/>
  <c r="NH46" i="2" s="1"/>
  <c r="NH47" i="2" s="1"/>
  <c r="NH48" i="2" s="1"/>
  <c r="NH49" i="2" s="1"/>
  <c r="NH50" i="2" s="1"/>
  <c r="NH51" i="2" s="1"/>
  <c r="NH52" i="2" s="1"/>
  <c r="NH53" i="2" s="1"/>
  <c r="NH54" i="2" s="1"/>
  <c r="NH55" i="2" s="1"/>
  <c r="NH56" i="2" s="1"/>
  <c r="NC56" i="2"/>
  <c r="F48" i="8" s="1"/>
  <c r="NB56" i="2"/>
  <c r="MZ8" i="2"/>
  <c r="MZ9" i="2" s="1"/>
  <c r="MZ10" i="2" s="1"/>
  <c r="MZ11" i="2" s="1"/>
  <c r="MZ12" i="2" s="1"/>
  <c r="MZ13" i="2" s="1"/>
  <c r="MZ14" i="2" s="1"/>
  <c r="MZ15" i="2" s="1"/>
  <c r="MZ16" i="2" s="1"/>
  <c r="MZ17" i="2" s="1"/>
  <c r="MZ18" i="2" s="1"/>
  <c r="MZ19" i="2" s="1"/>
  <c r="MZ20" i="2" s="1"/>
  <c r="MZ21" i="2" s="1"/>
  <c r="MZ22" i="2" s="1"/>
  <c r="MZ23" i="2" s="1"/>
  <c r="MZ24" i="2" s="1"/>
  <c r="MZ25" i="2" s="1"/>
  <c r="MZ26" i="2" s="1"/>
  <c r="MZ27" i="2" s="1"/>
  <c r="MZ28" i="2" s="1"/>
  <c r="MZ29" i="2" s="1"/>
  <c r="MZ30" i="2" s="1"/>
  <c r="MZ31" i="2" s="1"/>
  <c r="MZ32" i="2" s="1"/>
  <c r="MZ33" i="2" s="1"/>
  <c r="MZ34" i="2" s="1"/>
  <c r="MZ35" i="2" s="1"/>
  <c r="MZ36" i="2" s="1"/>
  <c r="MZ37" i="2" s="1"/>
  <c r="MZ38" i="2" s="1"/>
  <c r="MZ39" i="2" s="1"/>
  <c r="MZ40" i="2" s="1"/>
  <c r="MZ41" i="2" s="1"/>
  <c r="MZ42" i="2" s="1"/>
  <c r="MZ43" i="2" s="1"/>
  <c r="MZ44" i="2" s="1"/>
  <c r="MZ45" i="2" s="1"/>
  <c r="MZ46" i="2" s="1"/>
  <c r="MZ47" i="2" s="1"/>
  <c r="MZ48" i="2" s="1"/>
  <c r="MZ49" i="2" s="1"/>
  <c r="MZ50" i="2" s="1"/>
  <c r="MZ51" i="2" s="1"/>
  <c r="MZ52" i="2" s="1"/>
  <c r="MZ53" i="2" s="1"/>
  <c r="MZ54" i="2" s="1"/>
  <c r="MZ55" i="2" s="1"/>
  <c r="MZ56" i="2" s="1"/>
  <c r="MU56" i="2"/>
  <c r="F47" i="8" s="1"/>
  <c r="MT56" i="2"/>
  <c r="MR8" i="2"/>
  <c r="MR9" i="2" s="1"/>
  <c r="MR10" i="2" s="1"/>
  <c r="MR11" i="2" s="1"/>
  <c r="MR12" i="2" s="1"/>
  <c r="MR13" i="2" s="1"/>
  <c r="MR14" i="2" s="1"/>
  <c r="MR15" i="2" s="1"/>
  <c r="MR16" i="2" s="1"/>
  <c r="MR17" i="2" s="1"/>
  <c r="MR18" i="2" s="1"/>
  <c r="MR19" i="2" s="1"/>
  <c r="MR20" i="2" s="1"/>
  <c r="MR21" i="2" s="1"/>
  <c r="MR22" i="2" s="1"/>
  <c r="MR23" i="2" s="1"/>
  <c r="MR24" i="2" s="1"/>
  <c r="MR25" i="2" s="1"/>
  <c r="MR26" i="2" s="1"/>
  <c r="MR27" i="2" s="1"/>
  <c r="MR28" i="2" s="1"/>
  <c r="MR29" i="2" s="1"/>
  <c r="MR30" i="2" s="1"/>
  <c r="MR31" i="2" s="1"/>
  <c r="MR32" i="2" s="1"/>
  <c r="MR33" i="2" s="1"/>
  <c r="MR34" i="2" s="1"/>
  <c r="MR35" i="2" s="1"/>
  <c r="MR36" i="2" s="1"/>
  <c r="MR37" i="2" s="1"/>
  <c r="MR38" i="2" s="1"/>
  <c r="MR39" i="2" s="1"/>
  <c r="MR40" i="2" s="1"/>
  <c r="MR41" i="2" s="1"/>
  <c r="MR42" i="2" s="1"/>
  <c r="MR43" i="2" s="1"/>
  <c r="MR44" i="2" s="1"/>
  <c r="MR45" i="2" s="1"/>
  <c r="MR46" i="2" s="1"/>
  <c r="MR47" i="2" s="1"/>
  <c r="MR48" i="2" s="1"/>
  <c r="MR49" i="2" s="1"/>
  <c r="MR50" i="2" s="1"/>
  <c r="MR51" i="2" s="1"/>
  <c r="MR52" i="2" s="1"/>
  <c r="MR53" i="2" s="1"/>
  <c r="MR54" i="2" s="1"/>
  <c r="MR55" i="2" s="1"/>
  <c r="MR56" i="2" s="1"/>
  <c r="MM56" i="2"/>
  <c r="F46" i="8" s="1"/>
  <c r="ML56" i="2"/>
  <c r="MJ8" i="2"/>
  <c r="MJ9" i="2" s="1"/>
  <c r="MJ10" i="2" s="1"/>
  <c r="MJ11" i="2" s="1"/>
  <c r="MJ12" i="2" s="1"/>
  <c r="MJ13" i="2" s="1"/>
  <c r="MJ14" i="2" s="1"/>
  <c r="MJ15" i="2" s="1"/>
  <c r="MJ16" i="2" s="1"/>
  <c r="MJ17" i="2" s="1"/>
  <c r="MJ18" i="2" s="1"/>
  <c r="MJ19" i="2" s="1"/>
  <c r="MJ20" i="2" s="1"/>
  <c r="MJ21" i="2" s="1"/>
  <c r="MJ22" i="2" s="1"/>
  <c r="MJ23" i="2" s="1"/>
  <c r="MJ24" i="2" s="1"/>
  <c r="MJ25" i="2" s="1"/>
  <c r="MJ26" i="2" s="1"/>
  <c r="MJ27" i="2" s="1"/>
  <c r="MJ28" i="2" s="1"/>
  <c r="MJ29" i="2" s="1"/>
  <c r="MJ30" i="2" s="1"/>
  <c r="MJ31" i="2" s="1"/>
  <c r="MJ32" i="2" s="1"/>
  <c r="MJ33" i="2" s="1"/>
  <c r="MJ34" i="2" s="1"/>
  <c r="MJ35" i="2" s="1"/>
  <c r="MJ36" i="2" s="1"/>
  <c r="MJ37" i="2" s="1"/>
  <c r="MJ38" i="2" s="1"/>
  <c r="MJ39" i="2" s="1"/>
  <c r="MJ40" i="2" s="1"/>
  <c r="MJ41" i="2" s="1"/>
  <c r="MJ42" i="2" s="1"/>
  <c r="MJ43" i="2" s="1"/>
  <c r="MJ44" i="2" s="1"/>
  <c r="MJ45" i="2" s="1"/>
  <c r="MJ46" i="2" s="1"/>
  <c r="MJ47" i="2" s="1"/>
  <c r="MJ48" i="2" s="1"/>
  <c r="MJ49" i="2" s="1"/>
  <c r="MJ50" i="2" s="1"/>
  <c r="MJ51" i="2" s="1"/>
  <c r="MJ52" i="2" s="1"/>
  <c r="MJ53" i="2" s="1"/>
  <c r="MJ54" i="2" s="1"/>
  <c r="MJ55" i="2" s="1"/>
  <c r="MJ56" i="2" s="1"/>
  <c r="ME56" i="2"/>
  <c r="F45" i="8" s="1"/>
  <c r="MD56" i="2"/>
  <c r="MB8" i="2"/>
  <c r="MB9" i="2" s="1"/>
  <c r="MB10" i="2" s="1"/>
  <c r="MB11" i="2" s="1"/>
  <c r="MB12" i="2" s="1"/>
  <c r="MB13" i="2" s="1"/>
  <c r="MB14" i="2" s="1"/>
  <c r="MB15" i="2" s="1"/>
  <c r="MB16" i="2" s="1"/>
  <c r="MB17" i="2" s="1"/>
  <c r="MB18" i="2" s="1"/>
  <c r="MB19" i="2" s="1"/>
  <c r="MB20" i="2" s="1"/>
  <c r="MB21" i="2" s="1"/>
  <c r="MB22" i="2" s="1"/>
  <c r="MB23" i="2" s="1"/>
  <c r="MB24" i="2" s="1"/>
  <c r="MB25" i="2" s="1"/>
  <c r="MB26" i="2" s="1"/>
  <c r="MB27" i="2" s="1"/>
  <c r="MB28" i="2" s="1"/>
  <c r="MB29" i="2" s="1"/>
  <c r="MB30" i="2" s="1"/>
  <c r="MB31" i="2" s="1"/>
  <c r="MB32" i="2" s="1"/>
  <c r="MB33" i="2" s="1"/>
  <c r="MB34" i="2" s="1"/>
  <c r="MB35" i="2" s="1"/>
  <c r="MB36" i="2" s="1"/>
  <c r="MB37" i="2" s="1"/>
  <c r="MB38" i="2" s="1"/>
  <c r="MB39" i="2" s="1"/>
  <c r="MB40" i="2" s="1"/>
  <c r="MB41" i="2" s="1"/>
  <c r="MB42" i="2" s="1"/>
  <c r="MB43" i="2" s="1"/>
  <c r="MB44" i="2" s="1"/>
  <c r="MB45" i="2" s="1"/>
  <c r="MB46" i="2" s="1"/>
  <c r="MB47" i="2" s="1"/>
  <c r="MB48" i="2" s="1"/>
  <c r="MB49" i="2" s="1"/>
  <c r="MB50" i="2" s="1"/>
  <c r="MB51" i="2" s="1"/>
  <c r="MB52" i="2" s="1"/>
  <c r="MB53" i="2" s="1"/>
  <c r="MB54" i="2" s="1"/>
  <c r="MB55" i="2" s="1"/>
  <c r="MB56" i="2" s="1"/>
  <c r="LW56" i="2"/>
  <c r="F44" i="8" s="1"/>
  <c r="LV56" i="2"/>
  <c r="LT8" i="2"/>
  <c r="LT9" i="2" s="1"/>
  <c r="LT10" i="2" s="1"/>
  <c r="LT11" i="2" s="1"/>
  <c r="LT12" i="2" s="1"/>
  <c r="LT13" i="2" s="1"/>
  <c r="LT14" i="2" s="1"/>
  <c r="LT15" i="2" s="1"/>
  <c r="LT16" i="2" s="1"/>
  <c r="LT17" i="2" s="1"/>
  <c r="LT18" i="2" s="1"/>
  <c r="LT19" i="2" s="1"/>
  <c r="LT20" i="2" s="1"/>
  <c r="LT21" i="2" s="1"/>
  <c r="LT22" i="2" s="1"/>
  <c r="LT23" i="2" s="1"/>
  <c r="LT24" i="2" s="1"/>
  <c r="LT25" i="2" s="1"/>
  <c r="LT26" i="2" s="1"/>
  <c r="LT27" i="2" s="1"/>
  <c r="LT28" i="2" s="1"/>
  <c r="LT29" i="2" s="1"/>
  <c r="LT30" i="2" s="1"/>
  <c r="LT31" i="2" s="1"/>
  <c r="LT32" i="2" s="1"/>
  <c r="LT33" i="2" s="1"/>
  <c r="LT34" i="2" s="1"/>
  <c r="LT35" i="2" s="1"/>
  <c r="LT36" i="2" s="1"/>
  <c r="LT37" i="2" s="1"/>
  <c r="LT38" i="2" s="1"/>
  <c r="LT39" i="2" s="1"/>
  <c r="LT40" i="2" s="1"/>
  <c r="LT41" i="2" s="1"/>
  <c r="LT42" i="2" s="1"/>
  <c r="LT43" i="2" s="1"/>
  <c r="LT44" i="2" s="1"/>
  <c r="LT45" i="2" s="1"/>
  <c r="LT46" i="2" s="1"/>
  <c r="LT47" i="2" s="1"/>
  <c r="LT48" i="2" s="1"/>
  <c r="LT49" i="2" s="1"/>
  <c r="LT50" i="2" s="1"/>
  <c r="LT51" i="2" s="1"/>
  <c r="LT52" i="2" s="1"/>
  <c r="LT53" i="2" s="1"/>
  <c r="LT54" i="2" s="1"/>
  <c r="LT55" i="2" s="1"/>
  <c r="LT56" i="2" s="1"/>
  <c r="LO56" i="2"/>
  <c r="F43" i="8" s="1"/>
  <c r="LN56" i="2"/>
  <c r="LL8" i="2"/>
  <c r="LL9" i="2" s="1"/>
  <c r="LL10" i="2" s="1"/>
  <c r="LL11" i="2" s="1"/>
  <c r="LL12" i="2" s="1"/>
  <c r="LL13" i="2" s="1"/>
  <c r="LL14" i="2" s="1"/>
  <c r="LL15" i="2" s="1"/>
  <c r="LL16" i="2" s="1"/>
  <c r="LL17" i="2" s="1"/>
  <c r="LL18" i="2" s="1"/>
  <c r="LL19" i="2" s="1"/>
  <c r="LL20" i="2" s="1"/>
  <c r="LL21" i="2" s="1"/>
  <c r="LL22" i="2" s="1"/>
  <c r="LL23" i="2" s="1"/>
  <c r="LL24" i="2" s="1"/>
  <c r="LL25" i="2" s="1"/>
  <c r="LL26" i="2" s="1"/>
  <c r="LL27" i="2" s="1"/>
  <c r="LL28" i="2" s="1"/>
  <c r="LL29" i="2" s="1"/>
  <c r="LL30" i="2" s="1"/>
  <c r="LL31" i="2" s="1"/>
  <c r="LL32" i="2" s="1"/>
  <c r="LL33" i="2" s="1"/>
  <c r="LL34" i="2" s="1"/>
  <c r="LL35" i="2" s="1"/>
  <c r="LL36" i="2" s="1"/>
  <c r="LL37" i="2" s="1"/>
  <c r="LL38" i="2" s="1"/>
  <c r="LL39" i="2" s="1"/>
  <c r="LL40" i="2" s="1"/>
  <c r="LL41" i="2" s="1"/>
  <c r="LL42" i="2" s="1"/>
  <c r="LL43" i="2" s="1"/>
  <c r="LL44" i="2" s="1"/>
  <c r="LL45" i="2" s="1"/>
  <c r="LL46" i="2" s="1"/>
  <c r="LL47" i="2" s="1"/>
  <c r="LL48" i="2" s="1"/>
  <c r="LL49" i="2" s="1"/>
  <c r="LL50" i="2" s="1"/>
  <c r="LL51" i="2" s="1"/>
  <c r="LL52" i="2" s="1"/>
  <c r="LL53" i="2" s="1"/>
  <c r="LL54" i="2" s="1"/>
  <c r="LL55" i="2" s="1"/>
  <c r="LL56" i="2" s="1"/>
  <c r="LF56" i="2"/>
  <c r="LD8" i="2"/>
  <c r="LD9" i="2" s="1"/>
  <c r="LD10" i="2" s="1"/>
  <c r="LD11" i="2" s="1"/>
  <c r="LD12" i="2" s="1"/>
  <c r="LD13" i="2" s="1"/>
  <c r="LD14" i="2" s="1"/>
  <c r="LD15" i="2" s="1"/>
  <c r="LD16" i="2" s="1"/>
  <c r="LD17" i="2" s="1"/>
  <c r="LD18" i="2" s="1"/>
  <c r="LD19" i="2" s="1"/>
  <c r="LD20" i="2" s="1"/>
  <c r="LD21" i="2" s="1"/>
  <c r="LD22" i="2" s="1"/>
  <c r="LD23" i="2" s="1"/>
  <c r="LD24" i="2" s="1"/>
  <c r="LD25" i="2" s="1"/>
  <c r="LD26" i="2" s="1"/>
  <c r="LD27" i="2" s="1"/>
  <c r="LD28" i="2" s="1"/>
  <c r="LD29" i="2" s="1"/>
  <c r="LD30" i="2" s="1"/>
  <c r="LD31" i="2" s="1"/>
  <c r="LD32" i="2" s="1"/>
  <c r="LD33" i="2" s="1"/>
  <c r="LD34" i="2" s="1"/>
  <c r="LD35" i="2" s="1"/>
  <c r="LD36" i="2" s="1"/>
  <c r="LD37" i="2" s="1"/>
  <c r="LD38" i="2" s="1"/>
  <c r="LD39" i="2" s="1"/>
  <c r="LD40" i="2" s="1"/>
  <c r="LD41" i="2" s="1"/>
  <c r="LD42" i="2" s="1"/>
  <c r="LD43" i="2" s="1"/>
  <c r="LD44" i="2" s="1"/>
  <c r="LD45" i="2" s="1"/>
  <c r="LD46" i="2" s="1"/>
  <c r="LD47" i="2" s="1"/>
  <c r="LD48" i="2" s="1"/>
  <c r="LD49" i="2" s="1"/>
  <c r="LD50" i="2" s="1"/>
  <c r="LD51" i="2" s="1"/>
  <c r="LD52" i="2" s="1"/>
  <c r="LD53" i="2" s="1"/>
  <c r="LD54" i="2" s="1"/>
  <c r="LD55" i="2" s="1"/>
  <c r="LD56" i="2" s="1"/>
  <c r="KY56" i="2"/>
  <c r="F41" i="8" s="1"/>
  <c r="KX56" i="2"/>
  <c r="T71" i="6"/>
  <c r="S71" i="6"/>
  <c r="I71" i="6"/>
  <c r="Q46" i="6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F8" i="6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KQ56" i="2"/>
  <c r="F40" i="8" s="1"/>
  <c r="KP56" i="2"/>
  <c r="KI56" i="2"/>
  <c r="F39" i="8" s="1"/>
  <c r="KH56" i="2"/>
  <c r="KA56" i="2"/>
  <c r="F38" i="8" s="1"/>
  <c r="JZ56" i="2"/>
  <c r="JS56" i="2"/>
  <c r="F37" i="8" s="1"/>
  <c r="JR56" i="2"/>
  <c r="JK56" i="2"/>
  <c r="F36" i="8" s="1"/>
  <c r="JJ56" i="2"/>
  <c r="JC56" i="2"/>
  <c r="F35" i="8" s="1"/>
  <c r="JB56" i="2"/>
  <c r="ID56" i="2"/>
  <c r="HV56" i="2"/>
  <c r="HO56" i="2"/>
  <c r="F30" i="8" s="1"/>
  <c r="HN56" i="2"/>
  <c r="GY56" i="2"/>
  <c r="F28" i="8" s="1"/>
  <c r="GX56" i="2"/>
  <c r="GQ56" i="2"/>
  <c r="F27" i="8" s="1"/>
  <c r="GP56" i="2"/>
  <c r="GI56" i="2"/>
  <c r="F26" i="8" s="1"/>
  <c r="GH56" i="2"/>
  <c r="FZ56" i="2"/>
  <c r="FC56" i="2"/>
  <c r="F22" i="8" s="1"/>
  <c r="FB56" i="2"/>
  <c r="ET56" i="2"/>
  <c r="EM56" i="2"/>
  <c r="F20" i="8" s="1"/>
  <c r="EL56" i="2"/>
  <c r="EE56" i="2"/>
  <c r="F19" i="8" s="1"/>
  <c r="ED56" i="2"/>
  <c r="DW56" i="2"/>
  <c r="F18" i="8" s="1"/>
  <c r="DV56" i="2"/>
  <c r="DG56" i="2"/>
  <c r="F16" i="8" s="1"/>
  <c r="DF56" i="2"/>
  <c r="CH56" i="2"/>
  <c r="CA56" i="2"/>
  <c r="F12" i="8" s="1"/>
  <c r="BZ56" i="2"/>
  <c r="AT56" i="2"/>
  <c r="AM56" i="2"/>
  <c r="F7" i="8" s="1"/>
  <c r="AL56" i="2"/>
  <c r="W56" i="2"/>
  <c r="F5" i="8" s="1"/>
  <c r="V56" i="2"/>
  <c r="O56" i="2"/>
  <c r="F4" i="8" s="1"/>
  <c r="N56" i="2"/>
  <c r="G56" i="2"/>
  <c r="F3" i="8" s="1"/>
  <c r="F56" i="2"/>
  <c r="KV8" i="2"/>
  <c r="KV9" i="2" s="1"/>
  <c r="KV10" i="2" s="1"/>
  <c r="KV11" i="2" s="1"/>
  <c r="KV12" i="2" s="1"/>
  <c r="KV13" i="2" s="1"/>
  <c r="KV14" i="2" s="1"/>
  <c r="KV15" i="2" s="1"/>
  <c r="KV16" i="2" s="1"/>
  <c r="KV17" i="2" s="1"/>
  <c r="KV18" i="2" s="1"/>
  <c r="KV19" i="2" s="1"/>
  <c r="KV20" i="2" s="1"/>
  <c r="KV21" i="2" s="1"/>
  <c r="KV22" i="2" s="1"/>
  <c r="KV23" i="2" s="1"/>
  <c r="KV24" i="2" s="1"/>
  <c r="KV25" i="2" s="1"/>
  <c r="KV26" i="2" s="1"/>
  <c r="KV27" i="2" s="1"/>
  <c r="KV28" i="2" s="1"/>
  <c r="KV29" i="2" s="1"/>
  <c r="KV30" i="2" s="1"/>
  <c r="KV31" i="2" s="1"/>
  <c r="KV32" i="2" s="1"/>
  <c r="KV33" i="2" s="1"/>
  <c r="KV34" i="2" s="1"/>
  <c r="KV35" i="2" s="1"/>
  <c r="KV36" i="2" s="1"/>
  <c r="KV37" i="2" s="1"/>
  <c r="KV38" i="2" s="1"/>
  <c r="KV39" i="2" s="1"/>
  <c r="KV40" i="2" s="1"/>
  <c r="KV41" i="2" s="1"/>
  <c r="KV42" i="2" s="1"/>
  <c r="KV43" i="2" s="1"/>
  <c r="KV44" i="2" s="1"/>
  <c r="KV45" i="2" s="1"/>
  <c r="KV46" i="2" s="1"/>
  <c r="KV47" i="2" s="1"/>
  <c r="KV48" i="2" s="1"/>
  <c r="KV49" i="2" s="1"/>
  <c r="KV50" i="2" s="1"/>
  <c r="KV51" i="2" s="1"/>
  <c r="KV52" i="2" s="1"/>
  <c r="KV53" i="2" s="1"/>
  <c r="KV54" i="2" s="1"/>
  <c r="KV55" i="2" s="1"/>
  <c r="KV56" i="2" s="1"/>
  <c r="KN8" i="2"/>
  <c r="KN9" i="2" s="1"/>
  <c r="KN10" i="2" s="1"/>
  <c r="KN11" i="2" s="1"/>
  <c r="KN12" i="2" s="1"/>
  <c r="KN13" i="2" s="1"/>
  <c r="KN14" i="2" s="1"/>
  <c r="KN15" i="2" s="1"/>
  <c r="KN16" i="2" s="1"/>
  <c r="KN17" i="2" s="1"/>
  <c r="KN18" i="2" s="1"/>
  <c r="KN19" i="2" s="1"/>
  <c r="KN20" i="2" s="1"/>
  <c r="KN21" i="2" s="1"/>
  <c r="KN22" i="2" s="1"/>
  <c r="KN23" i="2" s="1"/>
  <c r="KN24" i="2" s="1"/>
  <c r="KN25" i="2" s="1"/>
  <c r="KN26" i="2" s="1"/>
  <c r="KN27" i="2" s="1"/>
  <c r="KN28" i="2" s="1"/>
  <c r="KN29" i="2" s="1"/>
  <c r="KN30" i="2" s="1"/>
  <c r="KN31" i="2" s="1"/>
  <c r="KN32" i="2" s="1"/>
  <c r="KN33" i="2" s="1"/>
  <c r="KN34" i="2" s="1"/>
  <c r="KN35" i="2" s="1"/>
  <c r="KN36" i="2" s="1"/>
  <c r="KN37" i="2" s="1"/>
  <c r="KN38" i="2" s="1"/>
  <c r="KN39" i="2" s="1"/>
  <c r="KN40" i="2" s="1"/>
  <c r="KN41" i="2" s="1"/>
  <c r="KN42" i="2" s="1"/>
  <c r="KN43" i="2" s="1"/>
  <c r="KN44" i="2" s="1"/>
  <c r="KN45" i="2" s="1"/>
  <c r="KN46" i="2" s="1"/>
  <c r="KN47" i="2" s="1"/>
  <c r="KN48" i="2" s="1"/>
  <c r="KN49" i="2" s="1"/>
  <c r="KN50" i="2" s="1"/>
  <c r="KN51" i="2" s="1"/>
  <c r="KN52" i="2" s="1"/>
  <c r="KN53" i="2" s="1"/>
  <c r="KN54" i="2" s="1"/>
  <c r="KN55" i="2" s="1"/>
  <c r="KN56" i="2" s="1"/>
  <c r="KF8" i="2"/>
  <c r="KF9" i="2" s="1"/>
  <c r="KF10" i="2" s="1"/>
  <c r="KF11" i="2" s="1"/>
  <c r="KF12" i="2" s="1"/>
  <c r="KF13" i="2" s="1"/>
  <c r="KF14" i="2" s="1"/>
  <c r="KF15" i="2" s="1"/>
  <c r="KF16" i="2" s="1"/>
  <c r="KF17" i="2" s="1"/>
  <c r="KF18" i="2" s="1"/>
  <c r="KF19" i="2" s="1"/>
  <c r="KF20" i="2" s="1"/>
  <c r="KF21" i="2" s="1"/>
  <c r="KF22" i="2" s="1"/>
  <c r="KF23" i="2" s="1"/>
  <c r="KF24" i="2" s="1"/>
  <c r="KF25" i="2" s="1"/>
  <c r="KF26" i="2" s="1"/>
  <c r="KF27" i="2" s="1"/>
  <c r="KF28" i="2" s="1"/>
  <c r="KF29" i="2" s="1"/>
  <c r="KF30" i="2" s="1"/>
  <c r="KF31" i="2" s="1"/>
  <c r="KF32" i="2" s="1"/>
  <c r="KF33" i="2" s="1"/>
  <c r="KF34" i="2" s="1"/>
  <c r="KF35" i="2" s="1"/>
  <c r="KF36" i="2" s="1"/>
  <c r="KF37" i="2" s="1"/>
  <c r="KF38" i="2" s="1"/>
  <c r="KF39" i="2" s="1"/>
  <c r="KF40" i="2" s="1"/>
  <c r="KF41" i="2" s="1"/>
  <c r="KF42" i="2" s="1"/>
  <c r="KF43" i="2" s="1"/>
  <c r="KF44" i="2" s="1"/>
  <c r="KF45" i="2" s="1"/>
  <c r="KF46" i="2" s="1"/>
  <c r="KF47" i="2" s="1"/>
  <c r="KF48" i="2" s="1"/>
  <c r="KF49" i="2" s="1"/>
  <c r="KF50" i="2" s="1"/>
  <c r="KF51" i="2" s="1"/>
  <c r="KF52" i="2" s="1"/>
  <c r="KF53" i="2" s="1"/>
  <c r="KF54" i="2" s="1"/>
  <c r="KF55" i="2" s="1"/>
  <c r="KF56" i="2" s="1"/>
  <c r="E39" i="8" s="1"/>
  <c r="JX8" i="2"/>
  <c r="JX9" i="2" s="1"/>
  <c r="JX10" i="2" s="1"/>
  <c r="JX11" i="2" s="1"/>
  <c r="JX12" i="2" s="1"/>
  <c r="JX13" i="2" s="1"/>
  <c r="JX14" i="2" s="1"/>
  <c r="JX15" i="2" s="1"/>
  <c r="JX16" i="2" s="1"/>
  <c r="JX17" i="2" s="1"/>
  <c r="JX18" i="2" s="1"/>
  <c r="JX19" i="2" s="1"/>
  <c r="JX20" i="2" s="1"/>
  <c r="JX21" i="2" s="1"/>
  <c r="JX22" i="2" s="1"/>
  <c r="JX23" i="2" s="1"/>
  <c r="JX24" i="2" s="1"/>
  <c r="JX25" i="2" s="1"/>
  <c r="JX26" i="2" s="1"/>
  <c r="JX27" i="2" s="1"/>
  <c r="JX28" i="2" s="1"/>
  <c r="JX29" i="2" s="1"/>
  <c r="JX30" i="2" s="1"/>
  <c r="JX31" i="2" s="1"/>
  <c r="JX32" i="2" s="1"/>
  <c r="JX33" i="2" s="1"/>
  <c r="JX34" i="2" s="1"/>
  <c r="JX35" i="2" s="1"/>
  <c r="JX36" i="2" s="1"/>
  <c r="JX37" i="2" s="1"/>
  <c r="JX38" i="2" s="1"/>
  <c r="JX39" i="2" s="1"/>
  <c r="JX40" i="2" s="1"/>
  <c r="JX41" i="2" s="1"/>
  <c r="JX42" i="2" s="1"/>
  <c r="JX43" i="2" s="1"/>
  <c r="JX44" i="2" s="1"/>
  <c r="JX45" i="2" s="1"/>
  <c r="JX46" i="2" s="1"/>
  <c r="JX47" i="2" s="1"/>
  <c r="JX48" i="2" s="1"/>
  <c r="JX49" i="2" s="1"/>
  <c r="JX50" i="2" s="1"/>
  <c r="JX51" i="2" s="1"/>
  <c r="JX52" i="2" s="1"/>
  <c r="JX53" i="2" s="1"/>
  <c r="JX54" i="2" s="1"/>
  <c r="JX55" i="2" s="1"/>
  <c r="JX56" i="2" s="1"/>
  <c r="E38" i="8" s="1"/>
  <c r="JP8" i="2"/>
  <c r="JP9" i="2" s="1"/>
  <c r="JP10" i="2" s="1"/>
  <c r="JP11" i="2" s="1"/>
  <c r="JP12" i="2" s="1"/>
  <c r="JP13" i="2" s="1"/>
  <c r="JP14" i="2" s="1"/>
  <c r="JP15" i="2" s="1"/>
  <c r="JP16" i="2" s="1"/>
  <c r="JP17" i="2" s="1"/>
  <c r="JP18" i="2" s="1"/>
  <c r="JP19" i="2" s="1"/>
  <c r="JP20" i="2" s="1"/>
  <c r="JP21" i="2" s="1"/>
  <c r="JP22" i="2" s="1"/>
  <c r="JP23" i="2" s="1"/>
  <c r="JP24" i="2" s="1"/>
  <c r="JP25" i="2" s="1"/>
  <c r="JP26" i="2" s="1"/>
  <c r="JP27" i="2" s="1"/>
  <c r="JP28" i="2" s="1"/>
  <c r="JP29" i="2" s="1"/>
  <c r="JP30" i="2" s="1"/>
  <c r="JP31" i="2" s="1"/>
  <c r="JP32" i="2" s="1"/>
  <c r="JP33" i="2" s="1"/>
  <c r="JP34" i="2" s="1"/>
  <c r="JP35" i="2" s="1"/>
  <c r="JP36" i="2" s="1"/>
  <c r="JP37" i="2" s="1"/>
  <c r="JP38" i="2" s="1"/>
  <c r="JP39" i="2" s="1"/>
  <c r="JP40" i="2" s="1"/>
  <c r="JP41" i="2" s="1"/>
  <c r="JP42" i="2" s="1"/>
  <c r="JP43" i="2" s="1"/>
  <c r="JP44" i="2" s="1"/>
  <c r="JP45" i="2" s="1"/>
  <c r="JP46" i="2" s="1"/>
  <c r="JP47" i="2" s="1"/>
  <c r="JP48" i="2" s="1"/>
  <c r="JP49" i="2" s="1"/>
  <c r="JP50" i="2" s="1"/>
  <c r="JP51" i="2" s="1"/>
  <c r="JP52" i="2" s="1"/>
  <c r="JP53" i="2" s="1"/>
  <c r="JP54" i="2" s="1"/>
  <c r="JP55" i="2" s="1"/>
  <c r="JP56" i="2" s="1"/>
  <c r="E37" i="8" s="1"/>
  <c r="JH8" i="2"/>
  <c r="JH9" i="2" s="1"/>
  <c r="JH10" i="2" s="1"/>
  <c r="JH11" i="2" s="1"/>
  <c r="JH12" i="2" s="1"/>
  <c r="JH13" i="2" s="1"/>
  <c r="JH14" i="2" s="1"/>
  <c r="JH15" i="2" s="1"/>
  <c r="JH16" i="2" s="1"/>
  <c r="JH17" i="2" s="1"/>
  <c r="JH18" i="2" s="1"/>
  <c r="JH19" i="2" s="1"/>
  <c r="JH20" i="2" s="1"/>
  <c r="JH21" i="2" s="1"/>
  <c r="JH22" i="2" s="1"/>
  <c r="JH23" i="2" s="1"/>
  <c r="JH24" i="2" s="1"/>
  <c r="JH25" i="2" s="1"/>
  <c r="JH26" i="2" s="1"/>
  <c r="JH27" i="2" s="1"/>
  <c r="JH28" i="2" s="1"/>
  <c r="JH29" i="2" s="1"/>
  <c r="JH30" i="2" s="1"/>
  <c r="JH31" i="2" s="1"/>
  <c r="JH32" i="2" s="1"/>
  <c r="JH33" i="2" s="1"/>
  <c r="JH34" i="2" s="1"/>
  <c r="JH35" i="2" s="1"/>
  <c r="JH36" i="2" s="1"/>
  <c r="JH37" i="2" s="1"/>
  <c r="JH38" i="2" s="1"/>
  <c r="JH39" i="2" s="1"/>
  <c r="JH40" i="2" s="1"/>
  <c r="JH41" i="2" s="1"/>
  <c r="JH42" i="2" s="1"/>
  <c r="JH43" i="2" s="1"/>
  <c r="JH44" i="2" s="1"/>
  <c r="JH45" i="2" s="1"/>
  <c r="JH46" i="2" s="1"/>
  <c r="JH47" i="2" s="1"/>
  <c r="JH48" i="2" s="1"/>
  <c r="JH49" i="2" s="1"/>
  <c r="JH50" i="2" s="1"/>
  <c r="JH51" i="2" s="1"/>
  <c r="JH52" i="2" s="1"/>
  <c r="JH53" i="2" s="1"/>
  <c r="JH54" i="2" s="1"/>
  <c r="JH55" i="2" s="1"/>
  <c r="JH56" i="2" s="1"/>
  <c r="E36" i="8" s="1"/>
  <c r="IZ8" i="2"/>
  <c r="IZ9" i="2" s="1"/>
  <c r="IZ10" i="2" s="1"/>
  <c r="IZ11" i="2" s="1"/>
  <c r="IZ12" i="2" s="1"/>
  <c r="IZ13" i="2" s="1"/>
  <c r="IZ14" i="2" s="1"/>
  <c r="IZ15" i="2" s="1"/>
  <c r="IZ16" i="2" s="1"/>
  <c r="IZ17" i="2" s="1"/>
  <c r="IZ18" i="2" s="1"/>
  <c r="IZ19" i="2" s="1"/>
  <c r="IZ20" i="2" s="1"/>
  <c r="IZ21" i="2" s="1"/>
  <c r="IZ22" i="2" s="1"/>
  <c r="IZ23" i="2" s="1"/>
  <c r="IZ24" i="2" s="1"/>
  <c r="IZ25" i="2" s="1"/>
  <c r="IZ26" i="2" s="1"/>
  <c r="IZ27" i="2" s="1"/>
  <c r="IZ28" i="2" s="1"/>
  <c r="IZ29" i="2" s="1"/>
  <c r="IZ30" i="2" s="1"/>
  <c r="IZ31" i="2" s="1"/>
  <c r="IZ32" i="2" s="1"/>
  <c r="IZ33" i="2" s="1"/>
  <c r="IZ34" i="2" s="1"/>
  <c r="IZ35" i="2" s="1"/>
  <c r="IZ36" i="2" s="1"/>
  <c r="IZ37" i="2" s="1"/>
  <c r="IZ38" i="2" s="1"/>
  <c r="IZ39" i="2" s="1"/>
  <c r="IZ40" i="2" s="1"/>
  <c r="IZ41" i="2" s="1"/>
  <c r="IZ42" i="2" s="1"/>
  <c r="IZ43" i="2" s="1"/>
  <c r="IZ44" i="2" s="1"/>
  <c r="IZ45" i="2" s="1"/>
  <c r="IZ46" i="2" s="1"/>
  <c r="IZ47" i="2" s="1"/>
  <c r="IZ48" i="2" s="1"/>
  <c r="IZ49" i="2" s="1"/>
  <c r="IZ50" i="2" s="1"/>
  <c r="IZ51" i="2" s="1"/>
  <c r="IZ52" i="2" s="1"/>
  <c r="IZ53" i="2" s="1"/>
  <c r="IZ54" i="2" s="1"/>
  <c r="IZ55" i="2" s="1"/>
  <c r="IZ56" i="2" s="1"/>
  <c r="E35" i="8" s="1"/>
  <c r="IR8" i="2"/>
  <c r="IR9" i="2" s="1"/>
  <c r="IR10" i="2" s="1"/>
  <c r="IR11" i="2" s="1"/>
  <c r="IR12" i="2" s="1"/>
  <c r="IR13" i="2" s="1"/>
  <c r="IR14" i="2" s="1"/>
  <c r="IR15" i="2" s="1"/>
  <c r="IR16" i="2" s="1"/>
  <c r="IR17" i="2" s="1"/>
  <c r="IR18" i="2" s="1"/>
  <c r="IR19" i="2" s="1"/>
  <c r="IR20" i="2" s="1"/>
  <c r="IR21" i="2" s="1"/>
  <c r="IR22" i="2" s="1"/>
  <c r="IR23" i="2" s="1"/>
  <c r="IR24" i="2" s="1"/>
  <c r="IR25" i="2" s="1"/>
  <c r="IR26" i="2" s="1"/>
  <c r="IR27" i="2" s="1"/>
  <c r="IR28" i="2" s="1"/>
  <c r="IR29" i="2" s="1"/>
  <c r="IR30" i="2" s="1"/>
  <c r="IR31" i="2" s="1"/>
  <c r="IR32" i="2" s="1"/>
  <c r="IR33" i="2" s="1"/>
  <c r="IR34" i="2" s="1"/>
  <c r="IR35" i="2" s="1"/>
  <c r="IR36" i="2" s="1"/>
  <c r="IR37" i="2" s="1"/>
  <c r="IR38" i="2" s="1"/>
  <c r="IR39" i="2" s="1"/>
  <c r="IR40" i="2" s="1"/>
  <c r="IR41" i="2" s="1"/>
  <c r="IR42" i="2" s="1"/>
  <c r="IR43" i="2" s="1"/>
  <c r="IR44" i="2" s="1"/>
  <c r="IR45" i="2" s="1"/>
  <c r="IR46" i="2" s="1"/>
  <c r="IR47" i="2" s="1"/>
  <c r="IR48" i="2" s="1"/>
  <c r="IR49" i="2" s="1"/>
  <c r="IR50" i="2" s="1"/>
  <c r="IR51" i="2" s="1"/>
  <c r="IR52" i="2" s="1"/>
  <c r="IR53" i="2" s="1"/>
  <c r="IR54" i="2" s="1"/>
  <c r="IR55" i="2" s="1"/>
  <c r="IR56" i="2" s="1"/>
  <c r="E34" i="8" s="1"/>
  <c r="IJ8" i="2"/>
  <c r="IJ9" i="2" s="1"/>
  <c r="IJ10" i="2" s="1"/>
  <c r="IJ11" i="2" s="1"/>
  <c r="IJ12" i="2" s="1"/>
  <c r="IJ13" i="2" s="1"/>
  <c r="IJ14" i="2" s="1"/>
  <c r="IJ15" i="2" s="1"/>
  <c r="IJ16" i="2" s="1"/>
  <c r="IJ17" i="2" s="1"/>
  <c r="IJ18" i="2" s="1"/>
  <c r="IJ19" i="2" s="1"/>
  <c r="IJ20" i="2" s="1"/>
  <c r="IJ21" i="2" s="1"/>
  <c r="IJ22" i="2" s="1"/>
  <c r="IJ23" i="2" s="1"/>
  <c r="IJ24" i="2" s="1"/>
  <c r="IJ25" i="2" s="1"/>
  <c r="IJ26" i="2" s="1"/>
  <c r="IJ27" i="2" s="1"/>
  <c r="IJ28" i="2" s="1"/>
  <c r="IJ29" i="2" s="1"/>
  <c r="IJ30" i="2" s="1"/>
  <c r="IJ31" i="2" s="1"/>
  <c r="IJ32" i="2" s="1"/>
  <c r="IJ33" i="2" s="1"/>
  <c r="IJ34" i="2" s="1"/>
  <c r="IJ35" i="2" s="1"/>
  <c r="IJ36" i="2" s="1"/>
  <c r="IJ37" i="2" s="1"/>
  <c r="IJ38" i="2" s="1"/>
  <c r="IJ39" i="2" s="1"/>
  <c r="IJ40" i="2" s="1"/>
  <c r="IJ41" i="2" s="1"/>
  <c r="IJ42" i="2" s="1"/>
  <c r="IJ43" i="2" s="1"/>
  <c r="IJ44" i="2" s="1"/>
  <c r="IJ45" i="2" s="1"/>
  <c r="IJ46" i="2" s="1"/>
  <c r="IJ47" i="2" s="1"/>
  <c r="IJ48" i="2" s="1"/>
  <c r="IJ49" i="2" s="1"/>
  <c r="IJ50" i="2" s="1"/>
  <c r="IJ51" i="2" s="1"/>
  <c r="IJ52" i="2" s="1"/>
  <c r="IJ53" i="2" s="1"/>
  <c r="IJ54" i="2" s="1"/>
  <c r="IJ55" i="2" s="1"/>
  <c r="IJ56" i="2" s="1"/>
  <c r="E33" i="8" s="1"/>
  <c r="IB8" i="2"/>
  <c r="IB9" i="2" s="1"/>
  <c r="IB10" i="2" s="1"/>
  <c r="IB11" i="2" s="1"/>
  <c r="IB12" i="2" s="1"/>
  <c r="IB13" i="2" s="1"/>
  <c r="IB14" i="2" s="1"/>
  <c r="IB15" i="2" s="1"/>
  <c r="IB16" i="2" s="1"/>
  <c r="IB17" i="2" s="1"/>
  <c r="IB18" i="2" s="1"/>
  <c r="IB19" i="2" s="1"/>
  <c r="IB20" i="2" s="1"/>
  <c r="IB21" i="2" s="1"/>
  <c r="IB22" i="2" s="1"/>
  <c r="IB23" i="2" s="1"/>
  <c r="IB24" i="2" s="1"/>
  <c r="IB25" i="2" s="1"/>
  <c r="IB26" i="2" s="1"/>
  <c r="IB27" i="2" s="1"/>
  <c r="IB28" i="2" s="1"/>
  <c r="IB29" i="2" s="1"/>
  <c r="IB30" i="2" s="1"/>
  <c r="IB31" i="2" s="1"/>
  <c r="IB32" i="2" s="1"/>
  <c r="IB33" i="2" s="1"/>
  <c r="IB34" i="2" s="1"/>
  <c r="IB35" i="2" s="1"/>
  <c r="IB36" i="2" s="1"/>
  <c r="IB37" i="2" s="1"/>
  <c r="IB38" i="2" s="1"/>
  <c r="IB39" i="2" s="1"/>
  <c r="IB40" i="2" s="1"/>
  <c r="IB41" i="2" s="1"/>
  <c r="IB42" i="2" s="1"/>
  <c r="IB43" i="2" s="1"/>
  <c r="IB44" i="2" s="1"/>
  <c r="IB45" i="2" s="1"/>
  <c r="IB46" i="2" s="1"/>
  <c r="IB47" i="2" s="1"/>
  <c r="IB48" i="2" s="1"/>
  <c r="IB49" i="2" s="1"/>
  <c r="IB50" i="2" s="1"/>
  <c r="IB51" i="2" s="1"/>
  <c r="IB52" i="2" s="1"/>
  <c r="IB53" i="2" s="1"/>
  <c r="IB54" i="2" s="1"/>
  <c r="IB55" i="2" s="1"/>
  <c r="IB56" i="2" s="1"/>
  <c r="HT8" i="2"/>
  <c r="HT9" i="2" s="1"/>
  <c r="HT10" i="2" s="1"/>
  <c r="HT11" i="2" s="1"/>
  <c r="HT12" i="2" s="1"/>
  <c r="HT13" i="2" s="1"/>
  <c r="HT14" i="2" s="1"/>
  <c r="HT15" i="2" s="1"/>
  <c r="HT16" i="2" s="1"/>
  <c r="HT17" i="2" s="1"/>
  <c r="HT18" i="2" s="1"/>
  <c r="HT19" i="2" s="1"/>
  <c r="HT20" i="2" s="1"/>
  <c r="HT21" i="2" s="1"/>
  <c r="HT22" i="2" s="1"/>
  <c r="HT23" i="2" s="1"/>
  <c r="HT24" i="2" s="1"/>
  <c r="HT25" i="2" s="1"/>
  <c r="HT26" i="2" s="1"/>
  <c r="HT27" i="2" s="1"/>
  <c r="HT28" i="2" s="1"/>
  <c r="HT29" i="2" s="1"/>
  <c r="HT30" i="2" s="1"/>
  <c r="HT31" i="2" s="1"/>
  <c r="HT32" i="2" s="1"/>
  <c r="HT33" i="2" s="1"/>
  <c r="HT34" i="2" s="1"/>
  <c r="HT35" i="2" s="1"/>
  <c r="HT36" i="2" s="1"/>
  <c r="HT37" i="2" s="1"/>
  <c r="HT38" i="2" s="1"/>
  <c r="HT39" i="2" s="1"/>
  <c r="HT40" i="2" s="1"/>
  <c r="HT41" i="2" s="1"/>
  <c r="HT42" i="2" s="1"/>
  <c r="HT43" i="2" s="1"/>
  <c r="HT44" i="2" s="1"/>
  <c r="HT45" i="2" s="1"/>
  <c r="HT46" i="2" s="1"/>
  <c r="HT47" i="2" s="1"/>
  <c r="HT48" i="2" s="1"/>
  <c r="HT49" i="2" s="1"/>
  <c r="HT50" i="2" s="1"/>
  <c r="HT51" i="2" s="1"/>
  <c r="HT52" i="2" s="1"/>
  <c r="HT53" i="2" s="1"/>
  <c r="HT54" i="2" s="1"/>
  <c r="HT55" i="2" s="1"/>
  <c r="HT56" i="2" s="1"/>
  <c r="HL8" i="2"/>
  <c r="HL9" i="2" s="1"/>
  <c r="HL10" i="2" s="1"/>
  <c r="HL11" i="2" s="1"/>
  <c r="HL12" i="2" s="1"/>
  <c r="HL13" i="2" s="1"/>
  <c r="HL14" i="2" s="1"/>
  <c r="HL15" i="2" s="1"/>
  <c r="HL16" i="2" s="1"/>
  <c r="HL17" i="2" s="1"/>
  <c r="HL18" i="2" s="1"/>
  <c r="HL19" i="2" s="1"/>
  <c r="HL20" i="2" s="1"/>
  <c r="HL21" i="2" s="1"/>
  <c r="HL22" i="2" s="1"/>
  <c r="HL23" i="2" s="1"/>
  <c r="HL24" i="2" s="1"/>
  <c r="HL25" i="2" s="1"/>
  <c r="HL26" i="2" s="1"/>
  <c r="HL27" i="2" s="1"/>
  <c r="HL28" i="2" s="1"/>
  <c r="HL29" i="2" s="1"/>
  <c r="HL30" i="2" s="1"/>
  <c r="HL31" i="2" s="1"/>
  <c r="HL32" i="2" s="1"/>
  <c r="HL33" i="2" s="1"/>
  <c r="HL34" i="2" s="1"/>
  <c r="HL35" i="2" s="1"/>
  <c r="HL36" i="2" s="1"/>
  <c r="HL37" i="2" s="1"/>
  <c r="HL38" i="2" s="1"/>
  <c r="HL39" i="2" s="1"/>
  <c r="HL40" i="2" s="1"/>
  <c r="HL41" i="2" s="1"/>
  <c r="HL42" i="2" s="1"/>
  <c r="HL43" i="2" s="1"/>
  <c r="HL44" i="2" s="1"/>
  <c r="HL45" i="2" s="1"/>
  <c r="HL46" i="2" s="1"/>
  <c r="HL47" i="2" s="1"/>
  <c r="HL48" i="2" s="1"/>
  <c r="HL49" i="2" s="1"/>
  <c r="HL50" i="2" s="1"/>
  <c r="HL51" i="2" s="1"/>
  <c r="HL52" i="2" s="1"/>
  <c r="HL53" i="2" s="1"/>
  <c r="HL54" i="2" s="1"/>
  <c r="HL55" i="2" s="1"/>
  <c r="HL56" i="2" s="1"/>
  <c r="HD8" i="2"/>
  <c r="HD9" i="2" s="1"/>
  <c r="HD10" i="2" s="1"/>
  <c r="HD11" i="2" s="1"/>
  <c r="HD12" i="2" s="1"/>
  <c r="HD13" i="2" s="1"/>
  <c r="HD14" i="2" s="1"/>
  <c r="HD15" i="2" s="1"/>
  <c r="HD16" i="2" s="1"/>
  <c r="HD17" i="2" s="1"/>
  <c r="HD18" i="2" s="1"/>
  <c r="HD19" i="2" s="1"/>
  <c r="HD20" i="2" s="1"/>
  <c r="HD21" i="2" s="1"/>
  <c r="HD22" i="2" s="1"/>
  <c r="HD23" i="2" s="1"/>
  <c r="HD24" i="2" s="1"/>
  <c r="HD25" i="2" s="1"/>
  <c r="HD26" i="2" s="1"/>
  <c r="HD27" i="2" s="1"/>
  <c r="HD28" i="2" s="1"/>
  <c r="HD29" i="2" s="1"/>
  <c r="HD30" i="2" s="1"/>
  <c r="HD31" i="2" s="1"/>
  <c r="HD32" i="2" s="1"/>
  <c r="HD33" i="2" s="1"/>
  <c r="HD34" i="2" s="1"/>
  <c r="HD35" i="2" s="1"/>
  <c r="HD36" i="2" s="1"/>
  <c r="HD37" i="2" s="1"/>
  <c r="HD38" i="2" s="1"/>
  <c r="HD39" i="2" s="1"/>
  <c r="HD40" i="2" s="1"/>
  <c r="HD41" i="2" s="1"/>
  <c r="HD42" i="2" s="1"/>
  <c r="HD43" i="2" s="1"/>
  <c r="HD44" i="2" s="1"/>
  <c r="HD45" i="2" s="1"/>
  <c r="HD46" i="2" s="1"/>
  <c r="HD47" i="2" s="1"/>
  <c r="HD48" i="2" s="1"/>
  <c r="HD49" i="2" s="1"/>
  <c r="HD50" i="2" s="1"/>
  <c r="HD51" i="2" s="1"/>
  <c r="HD52" i="2" s="1"/>
  <c r="HD53" i="2" s="1"/>
  <c r="HD54" i="2" s="1"/>
  <c r="HD55" i="2" s="1"/>
  <c r="HD56" i="2" s="1"/>
  <c r="E29" i="8" s="1"/>
  <c r="GV8" i="2"/>
  <c r="GV9" i="2" s="1"/>
  <c r="GV10" i="2" s="1"/>
  <c r="GV11" i="2" s="1"/>
  <c r="GV12" i="2" s="1"/>
  <c r="GV13" i="2" s="1"/>
  <c r="GV14" i="2" s="1"/>
  <c r="GV15" i="2" s="1"/>
  <c r="GV16" i="2" s="1"/>
  <c r="GV17" i="2" s="1"/>
  <c r="GV18" i="2" s="1"/>
  <c r="GV19" i="2" s="1"/>
  <c r="GV20" i="2" s="1"/>
  <c r="GV21" i="2" s="1"/>
  <c r="GV22" i="2" s="1"/>
  <c r="GV23" i="2" s="1"/>
  <c r="GV24" i="2" s="1"/>
  <c r="GV25" i="2" s="1"/>
  <c r="GV26" i="2" s="1"/>
  <c r="GV27" i="2" s="1"/>
  <c r="GV28" i="2" s="1"/>
  <c r="GV29" i="2" s="1"/>
  <c r="GV30" i="2" s="1"/>
  <c r="GV31" i="2" s="1"/>
  <c r="GV32" i="2" s="1"/>
  <c r="GV33" i="2" s="1"/>
  <c r="GV34" i="2" s="1"/>
  <c r="GV35" i="2" s="1"/>
  <c r="GV36" i="2" s="1"/>
  <c r="GV37" i="2" s="1"/>
  <c r="GV38" i="2" s="1"/>
  <c r="GV39" i="2" s="1"/>
  <c r="GV40" i="2" s="1"/>
  <c r="GV41" i="2" s="1"/>
  <c r="GV42" i="2" s="1"/>
  <c r="GV43" i="2" s="1"/>
  <c r="GV44" i="2" s="1"/>
  <c r="GV45" i="2" s="1"/>
  <c r="GV46" i="2" s="1"/>
  <c r="GV47" i="2" s="1"/>
  <c r="GV48" i="2" s="1"/>
  <c r="GV49" i="2" s="1"/>
  <c r="GV50" i="2" s="1"/>
  <c r="GV51" i="2" s="1"/>
  <c r="GV52" i="2" s="1"/>
  <c r="GV53" i="2" s="1"/>
  <c r="GV54" i="2" s="1"/>
  <c r="GV55" i="2" s="1"/>
  <c r="GV56" i="2" s="1"/>
  <c r="GN8" i="2"/>
  <c r="GN9" i="2" s="1"/>
  <c r="GN10" i="2" s="1"/>
  <c r="GN11" i="2" s="1"/>
  <c r="GN12" i="2" s="1"/>
  <c r="GN13" i="2" s="1"/>
  <c r="GN14" i="2" s="1"/>
  <c r="GN15" i="2" s="1"/>
  <c r="GN16" i="2" s="1"/>
  <c r="GN17" i="2" s="1"/>
  <c r="GN18" i="2" s="1"/>
  <c r="GN19" i="2" s="1"/>
  <c r="GN20" i="2" s="1"/>
  <c r="GN21" i="2" s="1"/>
  <c r="GN22" i="2" s="1"/>
  <c r="GN23" i="2" s="1"/>
  <c r="GN24" i="2" s="1"/>
  <c r="GN25" i="2" s="1"/>
  <c r="GN26" i="2" s="1"/>
  <c r="GN27" i="2" s="1"/>
  <c r="GN28" i="2" s="1"/>
  <c r="GN29" i="2" s="1"/>
  <c r="GN30" i="2" s="1"/>
  <c r="GN31" i="2" s="1"/>
  <c r="GN32" i="2" s="1"/>
  <c r="GN33" i="2" s="1"/>
  <c r="GN34" i="2" s="1"/>
  <c r="GN35" i="2" s="1"/>
  <c r="GN36" i="2" s="1"/>
  <c r="GN37" i="2" s="1"/>
  <c r="GN38" i="2" s="1"/>
  <c r="GN39" i="2" s="1"/>
  <c r="GN40" i="2" s="1"/>
  <c r="GN41" i="2" s="1"/>
  <c r="GN42" i="2" s="1"/>
  <c r="GN43" i="2" s="1"/>
  <c r="GN44" i="2" s="1"/>
  <c r="GN45" i="2" s="1"/>
  <c r="GN46" i="2" s="1"/>
  <c r="GN47" i="2" s="1"/>
  <c r="GN48" i="2" s="1"/>
  <c r="GN49" i="2" s="1"/>
  <c r="GN50" i="2" s="1"/>
  <c r="GN51" i="2" s="1"/>
  <c r="GN52" i="2" s="1"/>
  <c r="GN53" i="2" s="1"/>
  <c r="GN54" i="2" s="1"/>
  <c r="GN55" i="2" s="1"/>
  <c r="GN56" i="2" s="1"/>
  <c r="GF8" i="2"/>
  <c r="GF9" i="2" s="1"/>
  <c r="GF10" i="2" s="1"/>
  <c r="GF11" i="2" s="1"/>
  <c r="GF12" i="2" s="1"/>
  <c r="GF13" i="2" s="1"/>
  <c r="GF14" i="2" s="1"/>
  <c r="GF15" i="2" s="1"/>
  <c r="GF16" i="2" s="1"/>
  <c r="GF17" i="2" s="1"/>
  <c r="GF18" i="2" s="1"/>
  <c r="GF19" i="2" s="1"/>
  <c r="GF20" i="2" s="1"/>
  <c r="GF21" i="2" s="1"/>
  <c r="GF22" i="2" s="1"/>
  <c r="GF23" i="2" s="1"/>
  <c r="GF24" i="2" s="1"/>
  <c r="GF25" i="2" s="1"/>
  <c r="GF26" i="2" s="1"/>
  <c r="GF27" i="2" s="1"/>
  <c r="GF28" i="2" s="1"/>
  <c r="GF29" i="2" s="1"/>
  <c r="GF30" i="2" s="1"/>
  <c r="GF31" i="2" s="1"/>
  <c r="GF32" i="2" s="1"/>
  <c r="GF33" i="2" s="1"/>
  <c r="GF34" i="2" s="1"/>
  <c r="GF35" i="2" s="1"/>
  <c r="GF36" i="2" s="1"/>
  <c r="GF37" i="2" s="1"/>
  <c r="GF38" i="2" s="1"/>
  <c r="GF39" i="2" s="1"/>
  <c r="GF40" i="2" s="1"/>
  <c r="GF41" i="2" s="1"/>
  <c r="GF42" i="2" s="1"/>
  <c r="GF43" i="2" s="1"/>
  <c r="GF44" i="2" s="1"/>
  <c r="GF45" i="2" s="1"/>
  <c r="GF46" i="2" s="1"/>
  <c r="GF47" i="2" s="1"/>
  <c r="GF48" i="2" s="1"/>
  <c r="GF49" i="2" s="1"/>
  <c r="GF50" i="2" s="1"/>
  <c r="GF51" i="2" s="1"/>
  <c r="GF52" i="2" s="1"/>
  <c r="GF53" i="2" s="1"/>
  <c r="GF54" i="2" s="1"/>
  <c r="GF55" i="2" s="1"/>
  <c r="GF56" i="2" s="1"/>
  <c r="FX8" i="2"/>
  <c r="FX9" i="2" s="1"/>
  <c r="FX10" i="2" s="1"/>
  <c r="FX11" i="2" s="1"/>
  <c r="FX12" i="2" s="1"/>
  <c r="FX13" i="2" s="1"/>
  <c r="FX14" i="2" s="1"/>
  <c r="FX15" i="2" s="1"/>
  <c r="FX16" i="2" s="1"/>
  <c r="FX17" i="2" s="1"/>
  <c r="FX18" i="2" s="1"/>
  <c r="FX19" i="2" s="1"/>
  <c r="FX20" i="2" s="1"/>
  <c r="FX21" i="2" s="1"/>
  <c r="FX22" i="2" s="1"/>
  <c r="FX23" i="2" s="1"/>
  <c r="FX24" i="2" s="1"/>
  <c r="FX25" i="2" s="1"/>
  <c r="FX26" i="2" s="1"/>
  <c r="FX27" i="2" s="1"/>
  <c r="FX28" i="2" s="1"/>
  <c r="FX29" i="2" s="1"/>
  <c r="FX30" i="2" s="1"/>
  <c r="FX31" i="2" s="1"/>
  <c r="FX32" i="2" s="1"/>
  <c r="FX33" i="2" s="1"/>
  <c r="FX34" i="2" s="1"/>
  <c r="FX35" i="2" s="1"/>
  <c r="FX36" i="2" s="1"/>
  <c r="FX37" i="2" s="1"/>
  <c r="FX38" i="2" s="1"/>
  <c r="FX39" i="2" s="1"/>
  <c r="FX40" i="2" s="1"/>
  <c r="FX41" i="2" s="1"/>
  <c r="FX42" i="2" s="1"/>
  <c r="FX43" i="2" s="1"/>
  <c r="FX44" i="2" s="1"/>
  <c r="FX45" i="2" s="1"/>
  <c r="FX46" i="2" s="1"/>
  <c r="FX47" i="2" s="1"/>
  <c r="FX48" i="2" s="1"/>
  <c r="FX49" i="2" s="1"/>
  <c r="FX50" i="2" s="1"/>
  <c r="FX51" i="2" s="1"/>
  <c r="FX52" i="2" s="1"/>
  <c r="FX53" i="2" s="1"/>
  <c r="FX54" i="2" s="1"/>
  <c r="FX55" i="2" s="1"/>
  <c r="FX56" i="2" s="1"/>
  <c r="FP8" i="2"/>
  <c r="FP9" i="2" s="1"/>
  <c r="FP10" i="2" s="1"/>
  <c r="FP11" i="2" s="1"/>
  <c r="FP12" i="2" s="1"/>
  <c r="FP13" i="2" s="1"/>
  <c r="FP14" i="2" s="1"/>
  <c r="FP15" i="2" s="1"/>
  <c r="FP16" i="2" s="1"/>
  <c r="FP17" i="2" s="1"/>
  <c r="FP18" i="2" s="1"/>
  <c r="FP19" i="2" s="1"/>
  <c r="FP20" i="2" s="1"/>
  <c r="FP21" i="2" s="1"/>
  <c r="FP22" i="2" s="1"/>
  <c r="FP23" i="2" s="1"/>
  <c r="FP24" i="2" s="1"/>
  <c r="FP25" i="2" s="1"/>
  <c r="FP26" i="2" s="1"/>
  <c r="FP27" i="2" s="1"/>
  <c r="FP28" i="2" s="1"/>
  <c r="FP29" i="2" s="1"/>
  <c r="FP30" i="2" s="1"/>
  <c r="FP31" i="2" s="1"/>
  <c r="FP32" i="2" s="1"/>
  <c r="FP33" i="2" s="1"/>
  <c r="FP34" i="2" s="1"/>
  <c r="FP35" i="2" s="1"/>
  <c r="FP36" i="2" s="1"/>
  <c r="FP37" i="2" s="1"/>
  <c r="FP38" i="2" s="1"/>
  <c r="FP39" i="2" s="1"/>
  <c r="FP40" i="2" s="1"/>
  <c r="FP41" i="2" s="1"/>
  <c r="FP42" i="2" s="1"/>
  <c r="FP43" i="2" s="1"/>
  <c r="FP44" i="2" s="1"/>
  <c r="FP45" i="2" s="1"/>
  <c r="FP46" i="2" s="1"/>
  <c r="FP47" i="2" s="1"/>
  <c r="FP48" i="2" s="1"/>
  <c r="FP49" i="2" s="1"/>
  <c r="FP50" i="2" s="1"/>
  <c r="FP51" i="2" s="1"/>
  <c r="FP52" i="2" s="1"/>
  <c r="FP53" i="2" s="1"/>
  <c r="FP54" i="2" s="1"/>
  <c r="FP55" i="2" s="1"/>
  <c r="FP56" i="2" s="1"/>
  <c r="EZ8" i="2"/>
  <c r="EZ9" i="2" s="1"/>
  <c r="EZ10" i="2" s="1"/>
  <c r="EZ11" i="2" s="1"/>
  <c r="EZ12" i="2" s="1"/>
  <c r="EZ13" i="2" s="1"/>
  <c r="EZ14" i="2" s="1"/>
  <c r="EZ15" i="2" s="1"/>
  <c r="EZ16" i="2" s="1"/>
  <c r="EZ17" i="2" s="1"/>
  <c r="EZ18" i="2" s="1"/>
  <c r="EZ19" i="2" s="1"/>
  <c r="EZ20" i="2" s="1"/>
  <c r="EZ21" i="2" s="1"/>
  <c r="EZ22" i="2" s="1"/>
  <c r="EZ23" i="2" s="1"/>
  <c r="EZ24" i="2" s="1"/>
  <c r="EZ25" i="2" s="1"/>
  <c r="EZ26" i="2" s="1"/>
  <c r="EZ27" i="2" s="1"/>
  <c r="EZ28" i="2" s="1"/>
  <c r="EZ29" i="2" s="1"/>
  <c r="EZ30" i="2" s="1"/>
  <c r="EZ31" i="2" s="1"/>
  <c r="EZ32" i="2" s="1"/>
  <c r="EZ33" i="2" s="1"/>
  <c r="EZ34" i="2" s="1"/>
  <c r="EZ35" i="2" s="1"/>
  <c r="EZ36" i="2" s="1"/>
  <c r="EZ37" i="2" s="1"/>
  <c r="EZ38" i="2" s="1"/>
  <c r="EZ39" i="2" s="1"/>
  <c r="EZ40" i="2" s="1"/>
  <c r="EZ41" i="2" s="1"/>
  <c r="EZ42" i="2" s="1"/>
  <c r="EZ43" i="2" s="1"/>
  <c r="EZ44" i="2" s="1"/>
  <c r="EZ45" i="2" s="1"/>
  <c r="EZ46" i="2" s="1"/>
  <c r="EZ47" i="2" s="1"/>
  <c r="EZ48" i="2" s="1"/>
  <c r="EZ49" i="2" s="1"/>
  <c r="EZ50" i="2" s="1"/>
  <c r="EZ51" i="2" s="1"/>
  <c r="EZ52" i="2" s="1"/>
  <c r="EZ53" i="2" s="1"/>
  <c r="EZ54" i="2" s="1"/>
  <c r="EZ55" i="2" s="1"/>
  <c r="EZ56" i="2" s="1"/>
  <c r="ER8" i="2"/>
  <c r="ER9" i="2" s="1"/>
  <c r="ER10" i="2" s="1"/>
  <c r="ER11" i="2" s="1"/>
  <c r="ER12" i="2" s="1"/>
  <c r="ER13" i="2" s="1"/>
  <c r="ER14" i="2" s="1"/>
  <c r="ER15" i="2" s="1"/>
  <c r="ER16" i="2" s="1"/>
  <c r="ER17" i="2" s="1"/>
  <c r="ER18" i="2" s="1"/>
  <c r="ER19" i="2" s="1"/>
  <c r="ER20" i="2" s="1"/>
  <c r="ER21" i="2" s="1"/>
  <c r="ER22" i="2" s="1"/>
  <c r="ER23" i="2" s="1"/>
  <c r="ER24" i="2" s="1"/>
  <c r="ER25" i="2" s="1"/>
  <c r="ER26" i="2" s="1"/>
  <c r="ER27" i="2" s="1"/>
  <c r="ER28" i="2" s="1"/>
  <c r="ER29" i="2" s="1"/>
  <c r="ER30" i="2" s="1"/>
  <c r="ER31" i="2" s="1"/>
  <c r="ER32" i="2" s="1"/>
  <c r="ER33" i="2" s="1"/>
  <c r="ER34" i="2" s="1"/>
  <c r="ER35" i="2" s="1"/>
  <c r="ER36" i="2" s="1"/>
  <c r="ER37" i="2" s="1"/>
  <c r="ER38" i="2" s="1"/>
  <c r="ER39" i="2" s="1"/>
  <c r="ER40" i="2" s="1"/>
  <c r="ER41" i="2" s="1"/>
  <c r="ER42" i="2" s="1"/>
  <c r="ER43" i="2" s="1"/>
  <c r="ER44" i="2" s="1"/>
  <c r="ER45" i="2" s="1"/>
  <c r="ER46" i="2" s="1"/>
  <c r="ER47" i="2" s="1"/>
  <c r="ER48" i="2" s="1"/>
  <c r="ER49" i="2" s="1"/>
  <c r="ER50" i="2" s="1"/>
  <c r="ER51" i="2" s="1"/>
  <c r="ER52" i="2" s="1"/>
  <c r="ER53" i="2" s="1"/>
  <c r="ER54" i="2" s="1"/>
  <c r="ER55" i="2" s="1"/>
  <c r="ER56" i="2" s="1"/>
  <c r="EJ8" i="2"/>
  <c r="EJ9" i="2" s="1"/>
  <c r="EJ10" i="2" s="1"/>
  <c r="EJ11" i="2" s="1"/>
  <c r="EJ12" i="2" s="1"/>
  <c r="EJ13" i="2" s="1"/>
  <c r="EJ14" i="2" s="1"/>
  <c r="EJ15" i="2" s="1"/>
  <c r="EJ16" i="2" s="1"/>
  <c r="EJ17" i="2" s="1"/>
  <c r="EJ18" i="2" s="1"/>
  <c r="EJ19" i="2" s="1"/>
  <c r="EJ20" i="2" s="1"/>
  <c r="EJ21" i="2" s="1"/>
  <c r="EJ22" i="2" s="1"/>
  <c r="EJ23" i="2" s="1"/>
  <c r="EJ24" i="2" s="1"/>
  <c r="EJ25" i="2" s="1"/>
  <c r="EJ26" i="2" s="1"/>
  <c r="EJ27" i="2" s="1"/>
  <c r="EJ28" i="2" s="1"/>
  <c r="EJ29" i="2" s="1"/>
  <c r="EJ30" i="2" s="1"/>
  <c r="EJ31" i="2" s="1"/>
  <c r="EJ32" i="2" s="1"/>
  <c r="EJ33" i="2" s="1"/>
  <c r="EJ34" i="2" s="1"/>
  <c r="EJ35" i="2" s="1"/>
  <c r="EJ36" i="2" s="1"/>
  <c r="EJ37" i="2" s="1"/>
  <c r="EJ38" i="2" s="1"/>
  <c r="EJ39" i="2" s="1"/>
  <c r="EJ40" i="2" s="1"/>
  <c r="EJ41" i="2" s="1"/>
  <c r="EJ42" i="2" s="1"/>
  <c r="EJ43" i="2" s="1"/>
  <c r="EJ44" i="2" s="1"/>
  <c r="EJ45" i="2" s="1"/>
  <c r="EJ46" i="2" s="1"/>
  <c r="EJ47" i="2" s="1"/>
  <c r="EJ48" i="2" s="1"/>
  <c r="EJ49" i="2" s="1"/>
  <c r="EJ50" i="2" s="1"/>
  <c r="EJ51" i="2" s="1"/>
  <c r="EJ52" i="2" s="1"/>
  <c r="EJ53" i="2" s="1"/>
  <c r="EJ54" i="2" s="1"/>
  <c r="EJ55" i="2" s="1"/>
  <c r="EJ56" i="2" s="1"/>
  <c r="EB8" i="2"/>
  <c r="EB9" i="2" s="1"/>
  <c r="EB10" i="2" s="1"/>
  <c r="EB11" i="2" s="1"/>
  <c r="EB12" i="2" s="1"/>
  <c r="EB13" i="2" s="1"/>
  <c r="EB14" i="2" s="1"/>
  <c r="EB15" i="2" s="1"/>
  <c r="EB16" i="2" s="1"/>
  <c r="EB17" i="2" s="1"/>
  <c r="EB18" i="2" s="1"/>
  <c r="EB19" i="2" s="1"/>
  <c r="EB20" i="2" s="1"/>
  <c r="EB21" i="2" s="1"/>
  <c r="EB22" i="2" s="1"/>
  <c r="EB23" i="2" s="1"/>
  <c r="EB24" i="2" s="1"/>
  <c r="EB25" i="2" s="1"/>
  <c r="EB26" i="2" s="1"/>
  <c r="EB27" i="2" s="1"/>
  <c r="EB28" i="2" s="1"/>
  <c r="EB29" i="2" s="1"/>
  <c r="EB30" i="2" s="1"/>
  <c r="EB31" i="2" s="1"/>
  <c r="EB32" i="2" s="1"/>
  <c r="EB33" i="2" s="1"/>
  <c r="EB34" i="2" s="1"/>
  <c r="EB35" i="2" s="1"/>
  <c r="EB36" i="2" s="1"/>
  <c r="EB37" i="2" s="1"/>
  <c r="EB38" i="2" s="1"/>
  <c r="EB39" i="2" s="1"/>
  <c r="EB40" i="2" s="1"/>
  <c r="EB41" i="2" s="1"/>
  <c r="EB42" i="2" s="1"/>
  <c r="EB43" i="2" s="1"/>
  <c r="EB44" i="2" s="1"/>
  <c r="EB45" i="2" s="1"/>
  <c r="EB46" i="2" s="1"/>
  <c r="EB47" i="2" s="1"/>
  <c r="EB48" i="2" s="1"/>
  <c r="EB49" i="2" s="1"/>
  <c r="EB50" i="2" s="1"/>
  <c r="EB51" i="2" s="1"/>
  <c r="EB52" i="2" s="1"/>
  <c r="EB53" i="2" s="1"/>
  <c r="EB54" i="2" s="1"/>
  <c r="EB55" i="2" s="1"/>
  <c r="EB56" i="2" s="1"/>
  <c r="DT8" i="2"/>
  <c r="DT9" i="2" s="1"/>
  <c r="DT10" i="2" s="1"/>
  <c r="DT11" i="2" s="1"/>
  <c r="DT12" i="2" s="1"/>
  <c r="DT13" i="2" s="1"/>
  <c r="DT14" i="2" s="1"/>
  <c r="DT15" i="2" s="1"/>
  <c r="DT16" i="2" s="1"/>
  <c r="DT17" i="2" s="1"/>
  <c r="DT18" i="2" s="1"/>
  <c r="DT19" i="2" s="1"/>
  <c r="DT20" i="2" s="1"/>
  <c r="DT21" i="2" s="1"/>
  <c r="DT22" i="2" s="1"/>
  <c r="DT23" i="2" s="1"/>
  <c r="DT24" i="2" s="1"/>
  <c r="DT25" i="2" s="1"/>
  <c r="DT26" i="2" s="1"/>
  <c r="DT27" i="2" s="1"/>
  <c r="DT28" i="2" s="1"/>
  <c r="DT29" i="2" s="1"/>
  <c r="DT30" i="2" s="1"/>
  <c r="DT31" i="2" s="1"/>
  <c r="DT32" i="2" s="1"/>
  <c r="DT33" i="2" s="1"/>
  <c r="DT34" i="2" s="1"/>
  <c r="DT35" i="2" s="1"/>
  <c r="DT36" i="2" s="1"/>
  <c r="DT37" i="2" s="1"/>
  <c r="DT38" i="2" s="1"/>
  <c r="DT39" i="2" s="1"/>
  <c r="DT40" i="2" s="1"/>
  <c r="DT41" i="2" s="1"/>
  <c r="DT42" i="2" s="1"/>
  <c r="DT43" i="2" s="1"/>
  <c r="DT44" i="2" s="1"/>
  <c r="DT45" i="2" s="1"/>
  <c r="DT46" i="2" s="1"/>
  <c r="DT47" i="2" s="1"/>
  <c r="DT48" i="2" s="1"/>
  <c r="DT49" i="2" s="1"/>
  <c r="DT50" i="2" s="1"/>
  <c r="DT51" i="2" s="1"/>
  <c r="DT52" i="2" s="1"/>
  <c r="DT53" i="2" s="1"/>
  <c r="DT54" i="2" s="1"/>
  <c r="DT55" i="2" s="1"/>
  <c r="DT56" i="2" s="1"/>
  <c r="DL8" i="2"/>
  <c r="DL9" i="2" s="1"/>
  <c r="DL10" i="2" s="1"/>
  <c r="DL11" i="2" s="1"/>
  <c r="DL12" i="2" s="1"/>
  <c r="DL13" i="2" s="1"/>
  <c r="DL14" i="2" s="1"/>
  <c r="DL15" i="2" s="1"/>
  <c r="DL16" i="2" s="1"/>
  <c r="DL17" i="2" s="1"/>
  <c r="DL18" i="2" s="1"/>
  <c r="DL19" i="2" s="1"/>
  <c r="DL20" i="2" s="1"/>
  <c r="DL21" i="2" s="1"/>
  <c r="DL22" i="2" s="1"/>
  <c r="DL23" i="2" s="1"/>
  <c r="DL24" i="2" s="1"/>
  <c r="DL25" i="2" s="1"/>
  <c r="DL26" i="2" s="1"/>
  <c r="DL27" i="2" s="1"/>
  <c r="DL28" i="2" s="1"/>
  <c r="DL29" i="2" s="1"/>
  <c r="DL30" i="2" s="1"/>
  <c r="DL31" i="2" s="1"/>
  <c r="DL32" i="2" s="1"/>
  <c r="DL33" i="2" s="1"/>
  <c r="DL34" i="2" s="1"/>
  <c r="DL35" i="2" s="1"/>
  <c r="DL36" i="2" s="1"/>
  <c r="DL37" i="2" s="1"/>
  <c r="DL38" i="2" s="1"/>
  <c r="DL39" i="2" s="1"/>
  <c r="DL40" i="2" s="1"/>
  <c r="DL41" i="2" s="1"/>
  <c r="DL42" i="2" s="1"/>
  <c r="DL43" i="2" s="1"/>
  <c r="DL44" i="2" s="1"/>
  <c r="DL45" i="2" s="1"/>
  <c r="DL46" i="2" s="1"/>
  <c r="DL47" i="2" s="1"/>
  <c r="DL48" i="2" s="1"/>
  <c r="DL49" i="2" s="1"/>
  <c r="DL50" i="2" s="1"/>
  <c r="DL51" i="2" s="1"/>
  <c r="DL52" i="2" s="1"/>
  <c r="DL53" i="2" s="1"/>
  <c r="DL54" i="2" s="1"/>
  <c r="DL55" i="2" s="1"/>
  <c r="DL56" i="2" s="1"/>
  <c r="CV8" i="2"/>
  <c r="CV9" i="2" s="1"/>
  <c r="CV10" i="2" s="1"/>
  <c r="CV11" i="2" s="1"/>
  <c r="CV12" i="2" s="1"/>
  <c r="CV13" i="2" s="1"/>
  <c r="CV14" i="2" s="1"/>
  <c r="CV15" i="2" s="1"/>
  <c r="CV16" i="2" s="1"/>
  <c r="CV17" i="2" s="1"/>
  <c r="CV18" i="2" s="1"/>
  <c r="CV19" i="2" s="1"/>
  <c r="CV20" i="2" s="1"/>
  <c r="CV21" i="2" s="1"/>
  <c r="CV22" i="2" s="1"/>
  <c r="CV23" i="2" s="1"/>
  <c r="CV24" i="2" s="1"/>
  <c r="CV25" i="2" s="1"/>
  <c r="CV26" i="2" s="1"/>
  <c r="CV27" i="2" s="1"/>
  <c r="CV28" i="2" s="1"/>
  <c r="CV29" i="2" s="1"/>
  <c r="CV30" i="2" s="1"/>
  <c r="CV31" i="2" s="1"/>
  <c r="CV32" i="2" s="1"/>
  <c r="CV33" i="2" s="1"/>
  <c r="CV34" i="2" s="1"/>
  <c r="CV35" i="2" s="1"/>
  <c r="CV36" i="2" s="1"/>
  <c r="CV37" i="2" s="1"/>
  <c r="CV38" i="2" s="1"/>
  <c r="CV39" i="2" s="1"/>
  <c r="CV40" i="2" s="1"/>
  <c r="CV41" i="2" s="1"/>
  <c r="CV42" i="2" s="1"/>
  <c r="CV43" i="2" s="1"/>
  <c r="CV44" i="2" s="1"/>
  <c r="CV45" i="2" s="1"/>
  <c r="CV46" i="2" s="1"/>
  <c r="CV47" i="2" s="1"/>
  <c r="CV48" i="2" s="1"/>
  <c r="CV49" i="2" s="1"/>
  <c r="CV50" i="2" s="1"/>
  <c r="CV51" i="2" s="1"/>
  <c r="CV52" i="2" s="1"/>
  <c r="CV53" i="2" s="1"/>
  <c r="CV54" i="2" s="1"/>
  <c r="CV55" i="2" s="1"/>
  <c r="CV56" i="2" s="1"/>
  <c r="CN8" i="2"/>
  <c r="CN9" i="2" s="1"/>
  <c r="CN10" i="2" s="1"/>
  <c r="CN11" i="2" s="1"/>
  <c r="CN12" i="2" s="1"/>
  <c r="CN13" i="2" s="1"/>
  <c r="CN14" i="2" s="1"/>
  <c r="CN15" i="2" s="1"/>
  <c r="CN16" i="2" s="1"/>
  <c r="CN17" i="2" s="1"/>
  <c r="CN18" i="2" s="1"/>
  <c r="CN19" i="2" s="1"/>
  <c r="CN20" i="2" s="1"/>
  <c r="CN21" i="2" s="1"/>
  <c r="CN22" i="2" s="1"/>
  <c r="CN23" i="2" s="1"/>
  <c r="CN24" i="2" s="1"/>
  <c r="CN25" i="2" s="1"/>
  <c r="CN26" i="2" s="1"/>
  <c r="CN27" i="2" s="1"/>
  <c r="CN28" i="2" s="1"/>
  <c r="CN29" i="2" s="1"/>
  <c r="CN30" i="2" s="1"/>
  <c r="CN31" i="2" s="1"/>
  <c r="CN32" i="2" s="1"/>
  <c r="CN33" i="2" s="1"/>
  <c r="CN34" i="2" s="1"/>
  <c r="CN35" i="2" s="1"/>
  <c r="CN36" i="2" s="1"/>
  <c r="CN37" i="2" s="1"/>
  <c r="CN38" i="2" s="1"/>
  <c r="CN39" i="2" s="1"/>
  <c r="CN40" i="2" s="1"/>
  <c r="CN41" i="2" s="1"/>
  <c r="CN42" i="2" s="1"/>
  <c r="CN43" i="2" s="1"/>
  <c r="CN44" i="2" s="1"/>
  <c r="CN45" i="2" s="1"/>
  <c r="CN46" i="2" s="1"/>
  <c r="CN47" i="2" s="1"/>
  <c r="CN48" i="2" s="1"/>
  <c r="CN49" i="2" s="1"/>
  <c r="CN50" i="2" s="1"/>
  <c r="CN51" i="2" s="1"/>
  <c r="CN52" i="2" s="1"/>
  <c r="CN53" i="2" s="1"/>
  <c r="CN54" i="2" s="1"/>
  <c r="CN55" i="2" s="1"/>
  <c r="CN56" i="2" s="1"/>
  <c r="CF8" i="2"/>
  <c r="CF9" i="2" s="1"/>
  <c r="CF10" i="2" s="1"/>
  <c r="CF11" i="2" s="1"/>
  <c r="CF12" i="2" s="1"/>
  <c r="CF13" i="2" s="1"/>
  <c r="CF14" i="2" s="1"/>
  <c r="CF15" i="2" s="1"/>
  <c r="CF16" i="2" s="1"/>
  <c r="CF17" i="2" s="1"/>
  <c r="CF18" i="2" s="1"/>
  <c r="CF19" i="2" s="1"/>
  <c r="CF20" i="2" s="1"/>
  <c r="CF21" i="2" s="1"/>
  <c r="CF22" i="2" s="1"/>
  <c r="CF23" i="2" s="1"/>
  <c r="CF24" i="2" s="1"/>
  <c r="CF25" i="2" s="1"/>
  <c r="CF26" i="2" s="1"/>
  <c r="CF27" i="2" s="1"/>
  <c r="CF28" i="2" s="1"/>
  <c r="CF29" i="2" s="1"/>
  <c r="CF30" i="2" s="1"/>
  <c r="CF31" i="2" s="1"/>
  <c r="CF32" i="2" s="1"/>
  <c r="CF33" i="2" s="1"/>
  <c r="CF34" i="2" s="1"/>
  <c r="CF35" i="2" s="1"/>
  <c r="CF36" i="2" s="1"/>
  <c r="CF37" i="2" s="1"/>
  <c r="CF38" i="2" s="1"/>
  <c r="CF39" i="2" s="1"/>
  <c r="CF40" i="2" s="1"/>
  <c r="CF41" i="2" s="1"/>
  <c r="CF42" i="2" s="1"/>
  <c r="CF43" i="2" s="1"/>
  <c r="CF44" i="2" s="1"/>
  <c r="CF45" i="2" s="1"/>
  <c r="CF46" i="2" s="1"/>
  <c r="CF47" i="2" s="1"/>
  <c r="CF48" i="2" s="1"/>
  <c r="CF49" i="2" s="1"/>
  <c r="CF50" i="2" s="1"/>
  <c r="CF51" i="2" s="1"/>
  <c r="CF52" i="2" s="1"/>
  <c r="CF53" i="2" s="1"/>
  <c r="CF54" i="2" s="1"/>
  <c r="CF55" i="2" s="1"/>
  <c r="CF56" i="2" s="1"/>
  <c r="E13" i="8" s="1"/>
  <c r="BH8" i="2"/>
  <c r="BH9" i="2" s="1"/>
  <c r="BH10" i="2" s="1"/>
  <c r="BH11" i="2" s="1"/>
  <c r="BH12" i="2" s="1"/>
  <c r="BH13" i="2" s="1"/>
  <c r="BH14" i="2" s="1"/>
  <c r="BH15" i="2" s="1"/>
  <c r="BH16" i="2" s="1"/>
  <c r="BH17" i="2" s="1"/>
  <c r="BH18" i="2" s="1"/>
  <c r="BH19" i="2" s="1"/>
  <c r="BH20" i="2" s="1"/>
  <c r="BH21" i="2" s="1"/>
  <c r="BH22" i="2" s="1"/>
  <c r="BH23" i="2" s="1"/>
  <c r="BH24" i="2" s="1"/>
  <c r="BH25" i="2" s="1"/>
  <c r="BH26" i="2" s="1"/>
  <c r="BH27" i="2" s="1"/>
  <c r="BH28" i="2" s="1"/>
  <c r="BH29" i="2" s="1"/>
  <c r="BH30" i="2" s="1"/>
  <c r="BH31" i="2" s="1"/>
  <c r="BH32" i="2" s="1"/>
  <c r="BH33" i="2" s="1"/>
  <c r="BH34" i="2" s="1"/>
  <c r="BH35" i="2" s="1"/>
  <c r="BH36" i="2" s="1"/>
  <c r="BH37" i="2" s="1"/>
  <c r="BH38" i="2" s="1"/>
  <c r="BH39" i="2" s="1"/>
  <c r="BH40" i="2" s="1"/>
  <c r="BH41" i="2" s="1"/>
  <c r="BH42" i="2" s="1"/>
  <c r="BH43" i="2" s="1"/>
  <c r="BH44" i="2" s="1"/>
  <c r="BH45" i="2" s="1"/>
  <c r="BH46" i="2" s="1"/>
  <c r="BH47" i="2" s="1"/>
  <c r="BH48" i="2" s="1"/>
  <c r="BH49" i="2" s="1"/>
  <c r="BH50" i="2" s="1"/>
  <c r="BH51" i="2" s="1"/>
  <c r="BH52" i="2" s="1"/>
  <c r="BH53" i="2" s="1"/>
  <c r="BH54" i="2" s="1"/>
  <c r="BH55" i="2" s="1"/>
  <c r="BH56" i="2" s="1"/>
  <c r="AR8" i="2"/>
  <c r="AR9" i="2" s="1"/>
  <c r="AR10" i="2" s="1"/>
  <c r="AR11" i="2" s="1"/>
  <c r="AR12" i="2" s="1"/>
  <c r="AR13" i="2" s="1"/>
  <c r="AR14" i="2" s="1"/>
  <c r="AR15" i="2" s="1"/>
  <c r="AR16" i="2" s="1"/>
  <c r="AR17" i="2" s="1"/>
  <c r="AR18" i="2" s="1"/>
  <c r="AR19" i="2" s="1"/>
  <c r="AR20" i="2" s="1"/>
  <c r="AR21" i="2" s="1"/>
  <c r="AR22" i="2" s="1"/>
  <c r="AR23" i="2" s="1"/>
  <c r="AR24" i="2" s="1"/>
  <c r="AR25" i="2" s="1"/>
  <c r="AR26" i="2" s="1"/>
  <c r="AR27" i="2" s="1"/>
  <c r="AR28" i="2" s="1"/>
  <c r="AR29" i="2" s="1"/>
  <c r="AR30" i="2" s="1"/>
  <c r="AR31" i="2" s="1"/>
  <c r="AR32" i="2" s="1"/>
  <c r="AR33" i="2" s="1"/>
  <c r="AR34" i="2" s="1"/>
  <c r="AR35" i="2" s="1"/>
  <c r="AR36" i="2" s="1"/>
  <c r="AR37" i="2" s="1"/>
  <c r="AR38" i="2" s="1"/>
  <c r="AR39" i="2" s="1"/>
  <c r="AR40" i="2" s="1"/>
  <c r="AR41" i="2" s="1"/>
  <c r="AR42" i="2" s="1"/>
  <c r="AR43" i="2" s="1"/>
  <c r="AR44" i="2" s="1"/>
  <c r="AR45" i="2" s="1"/>
  <c r="AR46" i="2" s="1"/>
  <c r="AR47" i="2" s="1"/>
  <c r="AR48" i="2" s="1"/>
  <c r="AR49" i="2" s="1"/>
  <c r="AR50" i="2" s="1"/>
  <c r="AR51" i="2" s="1"/>
  <c r="AR52" i="2" s="1"/>
  <c r="AR53" i="2" s="1"/>
  <c r="AR54" i="2" s="1"/>
  <c r="AR55" i="2" s="1"/>
  <c r="AR56" i="2" s="1"/>
  <c r="AJ8" i="2"/>
  <c r="AJ9" i="2" s="1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J27" i="2" s="1"/>
  <c r="AJ28" i="2" s="1"/>
  <c r="AJ29" i="2" s="1"/>
  <c r="AJ30" i="2" s="1"/>
  <c r="AJ31" i="2" s="1"/>
  <c r="AJ32" i="2" s="1"/>
  <c r="AJ33" i="2" s="1"/>
  <c r="AJ34" i="2" s="1"/>
  <c r="AJ35" i="2" s="1"/>
  <c r="AJ36" i="2" s="1"/>
  <c r="AJ37" i="2" s="1"/>
  <c r="AJ38" i="2" s="1"/>
  <c r="AJ39" i="2" s="1"/>
  <c r="AJ40" i="2" s="1"/>
  <c r="AJ41" i="2" s="1"/>
  <c r="AJ42" i="2" s="1"/>
  <c r="AJ43" i="2" s="1"/>
  <c r="AJ44" i="2" s="1"/>
  <c r="AJ45" i="2" s="1"/>
  <c r="AJ46" i="2" s="1"/>
  <c r="AJ47" i="2" s="1"/>
  <c r="AJ48" i="2" s="1"/>
  <c r="AJ49" i="2" s="1"/>
  <c r="AJ50" i="2" s="1"/>
  <c r="AJ51" i="2" s="1"/>
  <c r="AJ52" i="2" s="1"/>
  <c r="AJ53" i="2" s="1"/>
  <c r="AJ54" i="2" s="1"/>
  <c r="AJ55" i="2" s="1"/>
  <c r="AJ56" i="2" s="1"/>
  <c r="AB8" i="2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B39" i="2" s="1"/>
  <c r="AB40" i="2" s="1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B51" i="2" s="1"/>
  <c r="AB52" i="2" s="1"/>
  <c r="AB53" i="2" s="1"/>
  <c r="AB54" i="2" s="1"/>
  <c r="AB55" i="2" s="1"/>
  <c r="AB56" i="2" s="1"/>
  <c r="T8" i="2"/>
  <c r="T9" i="2" s="1"/>
  <c r="T10" i="2" s="1"/>
  <c r="T11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KC5" i="2"/>
  <c r="D39" i="8" s="1"/>
  <c r="IZ5" i="2"/>
  <c r="D35" i="8" s="1"/>
  <c r="D23" i="8"/>
  <c r="D18" i="8"/>
  <c r="D17" i="8"/>
  <c r="NS56" i="2"/>
  <c r="F50" i="8" s="1"/>
  <c r="LG56" i="2"/>
  <c r="F42" i="8" s="1"/>
  <c r="HW56" i="2"/>
  <c r="F31" i="8" s="1"/>
  <c r="F65" i="8"/>
  <c r="D7" i="8"/>
  <c r="K8" i="3" l="1"/>
  <c r="F8" i="3"/>
  <c r="H59" i="2"/>
  <c r="F5" i="3" s="1"/>
  <c r="E3" i="8"/>
  <c r="F74" i="6"/>
  <c r="F10" i="3" s="1"/>
  <c r="T12" i="2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H58" i="2" s="1"/>
  <c r="F9" i="3" s="1"/>
  <c r="E24" i="8"/>
  <c r="E20" i="8"/>
  <c r="E25" i="8"/>
  <c r="E16" i="8"/>
  <c r="E12" i="8"/>
  <c r="E32" i="8"/>
  <c r="E7" i="8"/>
  <c r="E30" i="8"/>
  <c r="E28" i="8"/>
  <c r="E21" i="8"/>
  <c r="E15" i="8"/>
  <c r="E27" i="8"/>
  <c r="E11" i="8"/>
  <c r="E4" i="8"/>
  <c r="E9" i="8"/>
  <c r="E18" i="8"/>
  <c r="E22" i="8"/>
  <c r="E10" i="8"/>
  <c r="E6" i="8"/>
  <c r="E19" i="8"/>
  <c r="E17" i="8"/>
  <c r="E8" i="8"/>
  <c r="E14" i="8"/>
  <c r="E23" i="8"/>
  <c r="E26" i="8"/>
  <c r="E31" i="8"/>
  <c r="H61" i="2"/>
  <c r="I5" i="3" s="1"/>
  <c r="F84" i="8"/>
  <c r="F13" i="3" l="1"/>
  <c r="F17" i="3" s="1"/>
  <c r="K5" i="3"/>
  <c r="E5" i="8"/>
  <c r="E84" i="8" s="1"/>
  <c r="G4" i="8" l="1"/>
  <c r="G12" i="8"/>
  <c r="G15" i="8"/>
  <c r="G21" i="8"/>
  <c r="G26" i="8"/>
  <c r="G33" i="8"/>
  <c r="G39" i="8"/>
  <c r="G43" i="8"/>
  <c r="G50" i="8"/>
  <c r="G57" i="8"/>
  <c r="G64" i="8"/>
  <c r="G69" i="8"/>
  <c r="G78" i="8"/>
  <c r="G84" i="8"/>
  <c r="G10" i="8"/>
  <c r="G16" i="8"/>
  <c r="G29" i="8"/>
  <c r="G32" i="8"/>
  <c r="G38" i="8"/>
  <c r="G47" i="8"/>
  <c r="G51" i="8"/>
  <c r="G61" i="8"/>
  <c r="G65" i="8"/>
  <c r="G71" i="8"/>
  <c r="G79" i="8"/>
  <c r="G5" i="8"/>
  <c r="G6" i="8"/>
  <c r="G20" i="8"/>
  <c r="G25" i="8"/>
  <c r="G31" i="8"/>
  <c r="G37" i="8"/>
  <c r="G41" i="8"/>
  <c r="G48" i="8"/>
  <c r="G54" i="8"/>
  <c r="G55" i="8"/>
  <c r="G60" i="8"/>
  <c r="G66" i="8"/>
  <c r="G73" i="8"/>
  <c r="G80" i="8"/>
  <c r="G9" i="8"/>
  <c r="G14" i="8"/>
  <c r="G18" i="8"/>
  <c r="G22" i="8"/>
  <c r="G27" i="8"/>
  <c r="G35" i="8"/>
  <c r="G40" i="8"/>
  <c r="G45" i="8"/>
  <c r="G49" i="8"/>
  <c r="G67" i="8"/>
  <c r="G72" i="8"/>
  <c r="G76" i="8"/>
  <c r="G83" i="8"/>
  <c r="G8" i="8"/>
  <c r="G17" i="8"/>
  <c r="G23" i="8"/>
  <c r="G28" i="8"/>
  <c r="G34" i="8"/>
  <c r="G42" i="8"/>
  <c r="G53" i="8"/>
  <c r="G58" i="8"/>
  <c r="G62" i="8"/>
  <c r="G68" i="8"/>
  <c r="G74" i="8"/>
  <c r="G77" i="8"/>
  <c r="G82" i="8"/>
  <c r="G7" i="8"/>
  <c r="G13" i="8"/>
  <c r="G19" i="8"/>
  <c r="G24" i="8"/>
  <c r="G30" i="8"/>
  <c r="G36" i="8"/>
  <c r="G44" i="8"/>
  <c r="G46" i="8"/>
  <c r="G52" i="8"/>
  <c r="G56" i="8"/>
  <c r="G59" i="8"/>
  <c r="G63" i="8"/>
  <c r="G70" i="8"/>
  <c r="G75" i="8"/>
  <c r="G81" i="8"/>
  <c r="G11" i="8"/>
  <c r="G3" i="8"/>
</calcChain>
</file>

<file path=xl/sharedStrings.xml><?xml version="1.0" encoding="utf-8"?>
<sst xmlns="http://schemas.openxmlformats.org/spreadsheetml/2006/main" count="1576" uniqueCount="132">
  <si>
    <t>PRESTAMOS</t>
  </si>
  <si>
    <t>CONCEDIDO</t>
  </si>
  <si>
    <t>ABONO</t>
  </si>
  <si>
    <t>NUEVO</t>
  </si>
  <si>
    <t>SALDO</t>
  </si>
  <si>
    <t>FECHA</t>
  </si>
  <si>
    <t>PAGADOS</t>
  </si>
  <si>
    <t>INTERSES</t>
  </si>
  <si>
    <t>INTERESES BANCARIOS RECIBIDOS</t>
  </si>
  <si>
    <t>MES</t>
  </si>
  <si>
    <t>CANTIDAD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</si>
  <si>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</si>
  <si>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</si>
  <si>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</si>
  <si>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</si>
  <si>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</si>
  <si>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</si>
  <si>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</si>
  <si>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</si>
  <si>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</si>
  <si>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</si>
  <si>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</si>
  <si>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</si>
  <si>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</si>
  <si>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TOTAL DE PRESTAMOS EN CIRCULACION</t>
  </si>
  <si>
    <t>TOTAL DE INTERESES RECIBIDOS POR PRESTAMOS</t>
  </si>
  <si>
    <t>LPS.</t>
  </si>
  <si>
    <t>FECHA DE</t>
  </si>
  <si>
    <t>INTERES</t>
  </si>
  <si>
    <t>INTERESES</t>
  </si>
  <si>
    <t>PENDIENTES</t>
  </si>
  <si>
    <t>Total</t>
  </si>
  <si>
    <t>(+) Ingresos Varios:</t>
  </si>
  <si>
    <t>Int. Pendientes</t>
  </si>
  <si>
    <t>+</t>
  </si>
  <si>
    <t xml:space="preserve">ABONO </t>
  </si>
  <si>
    <t>Intereses</t>
  </si>
  <si>
    <t>CUADRE DE LIBRETA DE AHORRO</t>
  </si>
  <si>
    <t>(+) INTERESES BANCARIOS</t>
  </si>
  <si>
    <t>(=) SALDO TOTAL EN LIBRETA</t>
  </si>
  <si>
    <t>TOTAL DE INTERESES POR COBRAR PRESTAMOS</t>
  </si>
  <si>
    <t>(+) FINANCIAMIENTO RECIBIDO:</t>
  </si>
  <si>
    <t>Int. Pendientes por pagar</t>
  </si>
  <si>
    <t>RECIBIDO</t>
  </si>
  <si>
    <t xml:space="preserve"> </t>
  </si>
  <si>
    <t>Nombre</t>
  </si>
  <si>
    <t>CONTROL DE INTERESES ATRASADOS                                                            En este cuadro se muestran unicamente los intereses pendientes de pago por los prestatarios</t>
  </si>
  <si>
    <r>
      <rPr>
        <sz val="11"/>
        <color indexed="56"/>
        <rFont val="Calibri"/>
        <family val="2"/>
      </rPr>
      <t>(+) INTERESES POR PRESTAMOS</t>
    </r>
  </si>
  <si>
    <t>Observacion</t>
  </si>
  <si>
    <t>?</t>
  </si>
  <si>
    <t>(-) PRESTAMOS EN CIRCULACION</t>
  </si>
  <si>
    <t>Pendiente de confirmar el pago</t>
  </si>
  <si>
    <t>PENDIENTE</t>
  </si>
  <si>
    <t>Saldo de la cuenta</t>
  </si>
  <si>
    <t>INT. PEND</t>
  </si>
  <si>
    <t>SALDO PTM</t>
  </si>
  <si>
    <t>Intereses pagados por financiamientos</t>
  </si>
  <si>
    <t>Saldos PTM/INT PENDIENTES</t>
  </si>
  <si>
    <t>LAZARO RIVERA</t>
  </si>
  <si>
    <t>(+) Recuperacion INCOBRABLES</t>
  </si>
  <si>
    <t>MONTOS CONGELADOS</t>
  </si>
  <si>
    <t>RECUPERACIÓN</t>
  </si>
  <si>
    <t>OLGA RODRIGUEZ</t>
  </si>
  <si>
    <t>JACOBO MADRID-EMELY CHAPINA</t>
  </si>
  <si>
    <t>Total Inversion 2</t>
  </si>
  <si>
    <t xml:space="preserve">No.1 </t>
  </si>
  <si>
    <t>No. 2</t>
  </si>
  <si>
    <t>INVERSIÓN</t>
  </si>
  <si>
    <t>MONTO</t>
  </si>
  <si>
    <t>TASA</t>
  </si>
  <si>
    <t>-</t>
  </si>
  <si>
    <t>ANA MARIA RAMIREZ</t>
  </si>
  <si>
    <t>$100</t>
  </si>
  <si>
    <t>INVERSIONES AÑO 2026</t>
  </si>
  <si>
    <t>AÑO 2026</t>
  </si>
  <si>
    <t>SALDO AL CIERRE 2025</t>
  </si>
  <si>
    <t>EDUARDO KALEB RIVERA REYES (0501-1999-01916)</t>
  </si>
  <si>
    <t>JORGE LUIS MEDRANO ANDINO (2024)</t>
  </si>
  <si>
    <t>10K DE PTM OTORGADO EL 21/09/2025 E INT. DE SEPT. A DICIEMBRE POR L2,640 A UNA TASA DEL 4% (POR SI APARECE SE LE DEBE COBRAR LOS INTERES DESCRITOS MAS LOS QUE ACUMULE DE 2026)</t>
  </si>
  <si>
    <t>Tramite Permiso Op</t>
  </si>
  <si>
    <t>Nuevo Saldo</t>
  </si>
  <si>
    <t>*$500 Mache</t>
  </si>
  <si>
    <t>Abonó Int L10mil el 26/06/2026</t>
  </si>
  <si>
    <t>(-) Pasado a Perdidas</t>
  </si>
  <si>
    <t>PRESTAMO 1</t>
  </si>
  <si>
    <t>PRESTAMO 2</t>
  </si>
  <si>
    <t>PRESTAMO 3</t>
  </si>
  <si>
    <t>PRESTAMO 4</t>
  </si>
  <si>
    <t>PRESTAMO 5</t>
  </si>
  <si>
    <t>PRESTAMO 6</t>
  </si>
  <si>
    <t>PRESTAMO 7</t>
  </si>
  <si>
    <t>PRESTAMO 8</t>
  </si>
  <si>
    <t>PRESTAMO 9</t>
  </si>
  <si>
    <t>PRESTAMO 10</t>
  </si>
  <si>
    <t>%</t>
  </si>
  <si>
    <t>INVERSIONISTA 2</t>
  </si>
  <si>
    <t>INVERSIONISTA 1</t>
  </si>
  <si>
    <t>INVERSIONISTA 3</t>
  </si>
  <si>
    <t>INVERSIONISTA 4</t>
  </si>
  <si>
    <t>INVERSIONISTA 5</t>
  </si>
  <si>
    <t>INVERSIONISTA 6</t>
  </si>
  <si>
    <t>ACREDITAR A CTA. 12-345-6789-0</t>
  </si>
  <si>
    <t>DEUDOR 1</t>
  </si>
  <si>
    <t>DEUDOR 2</t>
  </si>
  <si>
    <t>DEUDOR 3</t>
  </si>
  <si>
    <t>DEUDOR 4</t>
  </si>
  <si>
    <t>DEUDOR 5</t>
  </si>
  <si>
    <t>DEUDOR 6</t>
  </si>
  <si>
    <t>(-) RETIRO DE DIVIDENDOS</t>
  </si>
  <si>
    <t>( MANUAL )</t>
  </si>
  <si>
    <t>(-) Otros gastos -Retiros</t>
  </si>
  <si>
    <t xml:space="preserve"> (MANUAL)</t>
  </si>
  <si>
    <t>UTLIDAD BRUTA</t>
  </si>
  <si>
    <t>INGRESOS</t>
  </si>
  <si>
    <t>ESTADO DE RESULTADOS</t>
  </si>
  <si>
    <t>(-) Gastos de colocación</t>
  </si>
  <si>
    <t>(-) Gastos operativos (int x financiamiento)</t>
  </si>
  <si>
    <t>Ing. Intereses por préstamos</t>
  </si>
  <si>
    <t>Ing. Interés en cuentas</t>
  </si>
  <si>
    <t>Otros Ingresos</t>
  </si>
  <si>
    <t>EGRESOS Y GASTOS</t>
  </si>
  <si>
    <t>(-) Gastos Financieros</t>
  </si>
  <si>
    <t>(-) Gastos Operativos</t>
  </si>
  <si>
    <t>TOTAL DE GASTOS</t>
  </si>
  <si>
    <t>TOTAL DE INGRESOS</t>
  </si>
  <si>
    <t>UTILIDAD ANTES DE IMPUESTOS</t>
  </si>
  <si>
    <t>UTILIDAD ANTES DE IMP</t>
  </si>
  <si>
    <t>Por el ejercicio fiscal comprendido al 31 de diciembre de 2026</t>
  </si>
  <si>
    <t>(Cifras expresadas en Lempiras)</t>
  </si>
  <si>
    <t>(-) Impuesto sobre la renta</t>
  </si>
  <si>
    <t>(=) UTILIDAD NETA</t>
  </si>
  <si>
    <t>CREDO, S. DE R.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</si>
</sst>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&quot;L.&quot;* #,##0.00_-;\-&quot;L.&quot;* #,##0.00_-;_-&quot;L.&quot;* &quot;-&quot;??_-;_-@_-"/>
    <numFmt numFmtId="165" formatCode="_ &quot;L.&quot;\ * #,##0.00_ ;_ &quot;L.&quot;\ * \-#,##0.00_ ;_ &quot;L.&quot;\ * &quot;-&quot;??_ ;_ @_ "/>
    <numFmt numFmtId="166" formatCode="_ [$L.-480A]\ * #,##0.00_ ;_ [$L.-480A]\ * \-#,##0.00_ ;_ [$L.-480A]\ * &quot;-&quot;??_ ;_ @_ "/>
    <numFmt numFmtId="167" formatCode="[$L.-480A]\ #,##0.00;[$L.-480A]\ \-#,##0.00"/>
    <numFmt numFmtId="168" formatCode="_ [$L.-480A]\ * #,##0_ ;_ [$L.-480A]\ * \-#,##0_ ;_ [$L.-480A]\ * &quot;-&quot;??_ ;_ @_ "/>
    <numFmt numFmtId="169" formatCode="_ [$L.-480A]\ * #,##0.0_ ;_ [$L.-480A]\ * \-#,##0.0_ ;_ [$L.-480A]\ * &quot;-&quot;??_ ;_ @_ "/>
    <numFmt numFmtId="170" formatCode="0.0%"/>
    <numFmt numFmtId="171" formatCode="_-[$L-480A]* #,##0.00_-;\-[$L-480A]* #,##0.00_-;_-[$L-480A]* &quot;-&quot;??_-;_-@_-"/>
    <numFmt numFmtId="172" formatCode="&quot;L&quot;#,##0.00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56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6"/>
      <color theme="4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3"/>
      <name val="Calibri"/>
      <family val="2"/>
    </font>
    <font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4"/>
      <name val="Calibri"/>
      <family val="2"/>
      <scheme val="minor"/>
    </font>
    <font>
      <sz val="20"/>
      <color theme="4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9">
    <xf numFmtId="0" fontId="0" fillId="0" borderId="0" xfId="0"/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0" xfId="0" applyFont="1"/>
    <xf numFmtId="14" fontId="0" fillId="0" borderId="5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20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2" fillId="0" borderId="20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3" borderId="10" xfId="0" applyNumberForma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65" fontId="1" fillId="0" borderId="6" xfId="1" applyBorder="1" applyAlignment="1">
      <alignment horizontal="center"/>
    </xf>
    <xf numFmtId="165" fontId="1" fillId="0" borderId="24" xfId="1" applyBorder="1" applyAlignment="1">
      <alignment horizontal="center"/>
    </xf>
    <xf numFmtId="165" fontId="1" fillId="0" borderId="4" xfId="1" applyBorder="1" applyAlignment="1">
      <alignment horizontal="center"/>
    </xf>
    <xf numFmtId="165" fontId="1" fillId="0" borderId="25" xfId="1" applyBorder="1" applyAlignment="1">
      <alignment horizontal="center"/>
    </xf>
    <xf numFmtId="165" fontId="1" fillId="0" borderId="7" xfId="1" applyBorder="1" applyAlignment="1">
      <alignment horizontal="center"/>
    </xf>
    <xf numFmtId="165" fontId="1" fillId="0" borderId="14" xfId="1" applyBorder="1" applyAlignment="1">
      <alignment horizontal="center"/>
    </xf>
    <xf numFmtId="165" fontId="1" fillId="3" borderId="26" xfId="1" applyFill="1" applyBorder="1" applyAlignment="1">
      <alignment horizontal="center"/>
    </xf>
    <xf numFmtId="165" fontId="1" fillId="0" borderId="27" xfId="1" applyBorder="1" applyAlignment="1">
      <alignment horizontal="center"/>
    </xf>
    <xf numFmtId="165" fontId="1" fillId="0" borderId="18" xfId="1" applyBorder="1" applyAlignment="1">
      <alignment horizontal="center"/>
    </xf>
    <xf numFmtId="165" fontId="1" fillId="2" borderId="22" xfId="1" applyFill="1" applyBorder="1"/>
    <xf numFmtId="165" fontId="1" fillId="0" borderId="22" xfId="1" applyBorder="1"/>
    <xf numFmtId="16" fontId="0" fillId="0" borderId="0" xfId="0" applyNumberFormat="1"/>
    <xf numFmtId="165" fontId="0" fillId="0" borderId="0" xfId="0" applyNumberFormat="1"/>
    <xf numFmtId="0" fontId="0" fillId="0" borderId="17" xfId="0" applyBorder="1"/>
    <xf numFmtId="165" fontId="1" fillId="0" borderId="33" xfId="1" applyBorder="1" applyAlignment="1">
      <alignment horizontal="center"/>
    </xf>
    <xf numFmtId="165" fontId="1" fillId="2" borderId="9" xfId="1" applyFill="1" applyBorder="1" applyAlignment="1">
      <alignment horizontal="center"/>
    </xf>
    <xf numFmtId="0" fontId="0" fillId="0" borderId="34" xfId="0" applyBorder="1"/>
    <xf numFmtId="0" fontId="0" fillId="0" borderId="37" xfId="0" applyBorder="1" applyAlignment="1">
      <alignment horizontal="center"/>
    </xf>
    <xf numFmtId="165" fontId="1" fillId="0" borderId="26" xfId="1" applyBorder="1" applyAlignment="1">
      <alignment horizontal="center"/>
    </xf>
    <xf numFmtId="0" fontId="3" fillId="0" borderId="0" xfId="0" applyFont="1"/>
    <xf numFmtId="14" fontId="0" fillId="0" borderId="0" xfId="0" applyNumberFormat="1"/>
    <xf numFmtId="165" fontId="0" fillId="2" borderId="9" xfId="1" applyFont="1" applyFill="1" applyBorder="1" applyAlignment="1">
      <alignment horizontal="center"/>
    </xf>
    <xf numFmtId="165" fontId="1" fillId="0" borderId="0" xfId="1" applyAlignment="1">
      <alignment horizontal="center"/>
    </xf>
    <xf numFmtId="165" fontId="0" fillId="0" borderId="24" xfId="1" applyFont="1" applyBorder="1" applyAlignment="1">
      <alignment horizontal="center"/>
    </xf>
    <xf numFmtId="0" fontId="13" fillId="0" borderId="0" xfId="0" applyFont="1"/>
    <xf numFmtId="14" fontId="0" fillId="0" borderId="13" xfId="0" applyNumberFormat="1" applyBorder="1" applyAlignment="1">
      <alignment horizontal="center"/>
    </xf>
    <xf numFmtId="165" fontId="1" fillId="0" borderId="36" xfId="1" applyBorder="1" applyAlignment="1">
      <alignment horizontal="center"/>
    </xf>
    <xf numFmtId="165" fontId="1" fillId="0" borderId="19" xfId="1" applyBorder="1" applyAlignment="1">
      <alignment horizontal="center"/>
    </xf>
    <xf numFmtId="165" fontId="1" fillId="0" borderId="40" xfId="1" applyBorder="1" applyAlignment="1">
      <alignment horizontal="center"/>
    </xf>
    <xf numFmtId="0" fontId="0" fillId="0" borderId="17" xfId="0" applyBorder="1" applyAlignment="1">
      <alignment horizontal="left"/>
    </xf>
    <xf numFmtId="166" fontId="0" fillId="0" borderId="17" xfId="0" applyNumberFormat="1" applyBorder="1" applyAlignment="1">
      <alignment horizontal="center"/>
    </xf>
    <xf numFmtId="166" fontId="0" fillId="0" borderId="17" xfId="1" applyNumberFormat="1" applyFont="1" applyBorder="1" applyAlignment="1">
      <alignment horizontal="center"/>
    </xf>
    <xf numFmtId="0" fontId="0" fillId="0" borderId="41" xfId="0" applyBorder="1" applyAlignment="1">
      <alignment horizontal="left"/>
    </xf>
    <xf numFmtId="166" fontId="0" fillId="0" borderId="41" xfId="0" applyNumberFormat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166" fontId="0" fillId="0" borderId="34" xfId="0" applyNumberFormat="1" applyBorder="1" applyAlignment="1">
      <alignment horizontal="center"/>
    </xf>
    <xf numFmtId="0" fontId="6" fillId="0" borderId="22" xfId="0" applyFont="1" applyBorder="1"/>
    <xf numFmtId="2" fontId="6" fillId="0" borderId="22" xfId="0" applyNumberFormat="1" applyFont="1" applyBorder="1" applyAlignment="1">
      <alignment horizontal="center"/>
    </xf>
    <xf numFmtId="0" fontId="0" fillId="3" borderId="0" xfId="0" applyFill="1"/>
    <xf numFmtId="165" fontId="0" fillId="0" borderId="0" xfId="1" applyFont="1"/>
    <xf numFmtId="165" fontId="3" fillId="0" borderId="0" xfId="0" applyNumberFormat="1" applyFont="1"/>
    <xf numFmtId="0" fontId="3" fillId="6" borderId="4" xfId="0" applyFont="1" applyFill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5" fillId="0" borderId="29" xfId="0" applyFont="1" applyBorder="1"/>
    <xf numFmtId="0" fontId="27" fillId="0" borderId="0" xfId="0" applyFont="1"/>
    <xf numFmtId="0" fontId="19" fillId="2" borderId="8" xfId="0" applyFont="1" applyFill="1" applyBorder="1" applyAlignment="1">
      <alignment horizontal="center"/>
    </xf>
    <xf numFmtId="0" fontId="19" fillId="2" borderId="8" xfId="0" applyFont="1" applyFill="1" applyBorder="1"/>
    <xf numFmtId="0" fontId="19" fillId="2" borderId="11" xfId="0" applyFont="1" applyFill="1" applyBorder="1" applyAlignment="1">
      <alignment horizontal="center"/>
    </xf>
    <xf numFmtId="0" fontId="24" fillId="3" borderId="0" xfId="0" applyFont="1" applyFill="1"/>
    <xf numFmtId="0" fontId="19" fillId="3" borderId="0" xfId="0" applyFont="1" applyFill="1"/>
    <xf numFmtId="0" fontId="19" fillId="2" borderId="9" xfId="0" applyFont="1" applyFill="1" applyBorder="1"/>
    <xf numFmtId="0" fontId="19" fillId="2" borderId="1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14" fontId="19" fillId="0" borderId="5" xfId="0" applyNumberFormat="1" applyFont="1" applyBorder="1" applyAlignment="1">
      <alignment horizontal="center"/>
    </xf>
    <xf numFmtId="165" fontId="19" fillId="0" borderId="33" xfId="1" applyFont="1" applyBorder="1" applyAlignment="1">
      <alignment horizontal="center"/>
    </xf>
    <xf numFmtId="165" fontId="19" fillId="0" borderId="6" xfId="1" applyFont="1" applyBorder="1" applyAlignment="1">
      <alignment horizontal="center"/>
    </xf>
    <xf numFmtId="14" fontId="28" fillId="0" borderId="20" xfId="0" applyNumberFormat="1" applyFont="1" applyBorder="1" applyAlignment="1">
      <alignment horizontal="center"/>
    </xf>
    <xf numFmtId="165" fontId="19" fillId="0" borderId="14" xfId="1" applyFont="1" applyBorder="1" applyAlignment="1">
      <alignment horizontal="center"/>
    </xf>
    <xf numFmtId="165" fontId="19" fillId="2" borderId="9" xfId="1" applyFont="1" applyFill="1" applyBorder="1" applyAlignment="1">
      <alignment horizontal="center"/>
    </xf>
    <xf numFmtId="165" fontId="19" fillId="3" borderId="14" xfId="1" applyFont="1" applyFill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165" fontId="19" fillId="0" borderId="24" xfId="1" applyFont="1" applyBorder="1" applyAlignment="1">
      <alignment horizontal="center"/>
    </xf>
    <xf numFmtId="165" fontId="19" fillId="3" borderId="4" xfId="1" applyFont="1" applyFill="1" applyBorder="1" applyAlignment="1">
      <alignment horizontal="center"/>
    </xf>
    <xf numFmtId="165" fontId="19" fillId="0" borderId="4" xfId="1" applyFont="1" applyBorder="1" applyAlignment="1">
      <alignment horizontal="center"/>
    </xf>
    <xf numFmtId="14" fontId="28" fillId="0" borderId="15" xfId="0" applyNumberFormat="1" applyFont="1" applyBorder="1" applyAlignment="1">
      <alignment horizontal="center"/>
    </xf>
    <xf numFmtId="165" fontId="19" fillId="0" borderId="26" xfId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165" fontId="19" fillId="3" borderId="26" xfId="1" applyFont="1" applyFill="1" applyBorder="1" applyAlignment="1">
      <alignment horizontal="center"/>
    </xf>
    <xf numFmtId="165" fontId="29" fillId="0" borderId="26" xfId="1" applyFont="1" applyBorder="1" applyAlignment="1">
      <alignment horizontal="center"/>
    </xf>
    <xf numFmtId="14" fontId="19" fillId="0" borderId="20" xfId="0" applyNumberFormat="1" applyFont="1" applyBorder="1" applyAlignment="1">
      <alignment horizontal="center"/>
    </xf>
    <xf numFmtId="2" fontId="19" fillId="3" borderId="0" xfId="0" applyNumberFormat="1" applyFont="1" applyFill="1"/>
    <xf numFmtId="165" fontId="29" fillId="0" borderId="4" xfId="1" applyFont="1" applyBorder="1" applyAlignment="1">
      <alignment horizontal="center"/>
    </xf>
    <xf numFmtId="14" fontId="19" fillId="0" borderId="15" xfId="0" applyNumberFormat="1" applyFont="1" applyBorder="1" applyAlignment="1">
      <alignment horizontal="center"/>
    </xf>
    <xf numFmtId="165" fontId="30" fillId="0" borderId="26" xfId="1" applyFont="1" applyBorder="1" applyAlignment="1">
      <alignment horizontal="center"/>
    </xf>
    <xf numFmtId="168" fontId="19" fillId="0" borderId="0" xfId="1" applyNumberFormat="1" applyFont="1" applyAlignment="1">
      <alignment horizontal="center" wrapText="1"/>
    </xf>
    <xf numFmtId="16" fontId="19" fillId="0" borderId="10" xfId="0" applyNumberFormat="1" applyFont="1" applyBorder="1" applyAlignment="1">
      <alignment horizontal="center"/>
    </xf>
    <xf numFmtId="14" fontId="28" fillId="3" borderId="20" xfId="0" applyNumberFormat="1" applyFont="1" applyFill="1" applyBorder="1" applyAlignment="1">
      <alignment horizontal="center"/>
    </xf>
    <xf numFmtId="165" fontId="30" fillId="0" borderId="4" xfId="1" applyFont="1" applyBorder="1" applyAlignment="1">
      <alignment horizontal="center"/>
    </xf>
    <xf numFmtId="165" fontId="19" fillId="0" borderId="0" xfId="1" applyFont="1" applyAlignment="1">
      <alignment horizontal="center"/>
    </xf>
    <xf numFmtId="14" fontId="19" fillId="3" borderId="10" xfId="0" applyNumberFormat="1" applyFont="1" applyFill="1" applyBorder="1" applyAlignment="1">
      <alignment horizontal="center"/>
    </xf>
    <xf numFmtId="14" fontId="28" fillId="3" borderId="15" xfId="0" applyNumberFormat="1" applyFont="1" applyFill="1" applyBorder="1" applyAlignment="1">
      <alignment horizontal="center"/>
    </xf>
    <xf numFmtId="165" fontId="19" fillId="3" borderId="0" xfId="1" applyFont="1" applyFill="1" applyAlignment="1">
      <alignment horizontal="center"/>
    </xf>
    <xf numFmtId="14" fontId="19" fillId="3" borderId="20" xfId="0" applyNumberFormat="1" applyFont="1" applyFill="1" applyBorder="1" applyAlignment="1">
      <alignment horizontal="center"/>
    </xf>
    <xf numFmtId="14" fontId="19" fillId="3" borderId="15" xfId="0" applyNumberFormat="1" applyFont="1" applyFill="1" applyBorder="1" applyAlignment="1">
      <alignment horizontal="center"/>
    </xf>
    <xf numFmtId="14" fontId="19" fillId="3" borderId="0" xfId="0" applyNumberFormat="1" applyFont="1" applyFill="1"/>
    <xf numFmtId="165" fontId="19" fillId="2" borderId="28" xfId="1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9" fillId="3" borderId="10" xfId="0" applyFont="1" applyFill="1" applyBorder="1" applyAlignment="1">
      <alignment horizontal="center"/>
    </xf>
    <xf numFmtId="14" fontId="24" fillId="0" borderId="10" xfId="0" applyNumberFormat="1" applyFont="1" applyBorder="1" applyAlignment="1">
      <alignment horizontal="center"/>
    </xf>
    <xf numFmtId="0" fontId="23" fillId="3" borderId="0" xfId="0" applyFont="1" applyFill="1"/>
    <xf numFmtId="0" fontId="19" fillId="0" borderId="15" xfId="0" applyFont="1" applyBorder="1" applyAlignment="1">
      <alignment horizontal="center"/>
    </xf>
    <xf numFmtId="14" fontId="19" fillId="0" borderId="12" xfId="0" applyNumberFormat="1" applyFont="1" applyBorder="1" applyAlignment="1">
      <alignment horizontal="center"/>
    </xf>
    <xf numFmtId="165" fontId="19" fillId="0" borderId="25" xfId="1" applyFont="1" applyBorder="1" applyAlignment="1">
      <alignment horizontal="center"/>
    </xf>
    <xf numFmtId="165" fontId="19" fillId="0" borderId="7" xfId="1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165" fontId="19" fillId="0" borderId="27" xfId="1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165" fontId="19" fillId="3" borderId="27" xfId="1" applyFont="1" applyFill="1" applyBorder="1" applyAlignment="1">
      <alignment horizontal="center"/>
    </xf>
    <xf numFmtId="165" fontId="19" fillId="7" borderId="27" xfId="1" applyFont="1" applyFill="1" applyBorder="1" applyAlignment="1">
      <alignment horizontal="center"/>
    </xf>
    <xf numFmtId="165" fontId="19" fillId="0" borderId="18" xfId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2" borderId="22" xfId="1" applyFont="1" applyFill="1" applyBorder="1"/>
    <xf numFmtId="165" fontId="19" fillId="0" borderId="18" xfId="1" applyFont="1" applyBorder="1"/>
    <xf numFmtId="166" fontId="19" fillId="0" borderId="0" xfId="0" applyNumberFormat="1" applyFont="1" applyAlignment="1">
      <alignment horizontal="center"/>
    </xf>
    <xf numFmtId="165" fontId="19" fillId="3" borderId="18" xfId="1" applyFont="1" applyFill="1" applyBorder="1"/>
    <xf numFmtId="165" fontId="19" fillId="7" borderId="18" xfId="1" applyFont="1" applyFill="1" applyBorder="1"/>
    <xf numFmtId="0" fontId="31" fillId="0" borderId="0" xfId="0" applyFont="1"/>
    <xf numFmtId="166" fontId="32" fillId="2" borderId="0" xfId="0" applyNumberFormat="1" applyFont="1" applyFill="1"/>
    <xf numFmtId="165" fontId="19" fillId="0" borderId="0" xfId="0" applyNumberFormat="1" applyFont="1"/>
    <xf numFmtId="0" fontId="33" fillId="0" borderId="0" xfId="0" applyFont="1"/>
    <xf numFmtId="165" fontId="22" fillId="0" borderId="0" xfId="1" applyFont="1"/>
    <xf numFmtId="166" fontId="19" fillId="0" borderId="0" xfId="0" applyNumberFormat="1" applyFont="1"/>
    <xf numFmtId="0" fontId="34" fillId="0" borderId="0" xfId="0" applyFont="1"/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/>
    <xf numFmtId="166" fontId="36" fillId="0" borderId="0" xfId="0" applyNumberFormat="1" applyFont="1"/>
    <xf numFmtId="0" fontId="41" fillId="0" borderId="0" xfId="0" applyFont="1"/>
    <xf numFmtId="0" fontId="38" fillId="0" borderId="0" xfId="0" applyFont="1"/>
    <xf numFmtId="165" fontId="36" fillId="0" borderId="0" xfId="1" applyFont="1"/>
    <xf numFmtId="0" fontId="35" fillId="0" borderId="0" xfId="0" applyFont="1" applyAlignment="1">
      <alignment horizontal="center"/>
    </xf>
    <xf numFmtId="165" fontId="36" fillId="0" borderId="0" xfId="0" applyNumberFormat="1" applyFont="1"/>
    <xf numFmtId="165" fontId="34" fillId="0" borderId="0" xfId="0" applyNumberFormat="1" applyFont="1" applyAlignment="1">
      <alignment horizontal="center"/>
    </xf>
    <xf numFmtId="167" fontId="34" fillId="0" borderId="0" xfId="0" applyNumberFormat="1" applyFont="1" applyAlignment="1">
      <alignment horizontal="center"/>
    </xf>
    <xf numFmtId="165" fontId="36" fillId="0" borderId="18" xfId="1" applyFont="1" applyBorder="1"/>
    <xf numFmtId="0" fontId="42" fillId="0" borderId="0" xfId="0" applyFont="1"/>
    <xf numFmtId="0" fontId="34" fillId="0" borderId="0" xfId="0" applyFont="1" applyAlignment="1">
      <alignment horizontal="center"/>
    </xf>
    <xf numFmtId="165" fontId="43" fillId="0" borderId="0" xfId="1" applyFont="1"/>
    <xf numFmtId="0" fontId="44" fillId="0" borderId="0" xfId="0" applyFont="1"/>
    <xf numFmtId="0" fontId="40" fillId="0" borderId="0" xfId="0" applyFont="1" applyAlignment="1">
      <alignment horizontal="center"/>
    </xf>
    <xf numFmtId="0" fontId="34" fillId="0" borderId="0" xfId="0" applyFont="1" applyAlignment="1">
      <alignment horizontal="right"/>
    </xf>
    <xf numFmtId="165" fontId="40" fillId="0" borderId="0" xfId="1" applyFont="1"/>
    <xf numFmtId="0" fontId="45" fillId="0" borderId="0" xfId="0" applyFont="1" applyAlignment="1">
      <alignment horizontal="center"/>
    </xf>
    <xf numFmtId="4" fontId="47" fillId="0" borderId="0" xfId="0" applyNumberFormat="1" applyFont="1"/>
    <xf numFmtId="0" fontId="34" fillId="0" borderId="0" xfId="0" applyFont="1" applyAlignment="1">
      <alignment horizontal="left"/>
    </xf>
    <xf numFmtId="0" fontId="48" fillId="0" borderId="0" xfId="0" applyFont="1"/>
    <xf numFmtId="165" fontId="3" fillId="0" borderId="26" xfId="1" applyFont="1" applyBorder="1" applyAlignment="1">
      <alignment horizontal="center"/>
    </xf>
    <xf numFmtId="165" fontId="0" fillId="0" borderId="4" xfId="1" applyFont="1" applyBorder="1" applyAlignment="1">
      <alignment horizontal="center"/>
    </xf>
    <xf numFmtId="165" fontId="19" fillId="0" borderId="0" xfId="1" applyFont="1"/>
    <xf numFmtId="14" fontId="28" fillId="0" borderId="4" xfId="0" applyNumberFormat="1" applyFont="1" applyBorder="1" applyAlignment="1">
      <alignment horizontal="center"/>
    </xf>
    <xf numFmtId="14" fontId="19" fillId="0" borderId="4" xfId="0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14" fontId="28" fillId="3" borderId="4" xfId="0" applyNumberFormat="1" applyFont="1" applyFill="1" applyBorder="1" applyAlignment="1">
      <alignment horizontal="center"/>
    </xf>
    <xf numFmtId="14" fontId="19" fillId="3" borderId="4" xfId="0" applyNumberFormat="1" applyFont="1" applyFill="1" applyBorder="1" applyAlignment="1">
      <alignment horizontal="center"/>
    </xf>
    <xf numFmtId="165" fontId="19" fillId="3" borderId="42" xfId="1" applyFont="1" applyFill="1" applyBorder="1" applyAlignment="1">
      <alignment horizontal="center"/>
    </xf>
    <xf numFmtId="0" fontId="19" fillId="2" borderId="18" xfId="0" applyFont="1" applyFill="1" applyBorder="1"/>
    <xf numFmtId="165" fontId="2" fillId="2" borderId="9" xfId="1" applyFont="1" applyFill="1" applyBorder="1" applyAlignment="1">
      <alignment horizontal="center"/>
    </xf>
    <xf numFmtId="165" fontId="2" fillId="2" borderId="22" xfId="1" applyFont="1" applyFill="1" applyBorder="1"/>
    <xf numFmtId="165" fontId="19" fillId="3" borderId="0" xfId="1" applyFont="1" applyFill="1"/>
    <xf numFmtId="165" fontId="28" fillId="3" borderId="26" xfId="1" applyFont="1" applyFill="1" applyBorder="1" applyAlignment="1">
      <alignment horizontal="center"/>
    </xf>
    <xf numFmtId="0" fontId="10" fillId="0" borderId="0" xfId="0" applyFont="1"/>
    <xf numFmtId="165" fontId="19" fillId="0" borderId="20" xfId="1" applyFont="1" applyBorder="1" applyAlignment="1">
      <alignment horizontal="center"/>
    </xf>
    <xf numFmtId="0" fontId="19" fillId="2" borderId="8" xfId="0" applyFont="1" applyFill="1" applyBorder="1" applyAlignment="1">
      <alignment horizontal="center" wrapText="1"/>
    </xf>
    <xf numFmtId="0" fontId="19" fillId="2" borderId="18" xfId="0" applyFont="1" applyFill="1" applyBorder="1" applyAlignment="1">
      <alignment horizontal="center" wrapText="1"/>
    </xf>
    <xf numFmtId="165" fontId="7" fillId="2" borderId="9" xfId="1" applyFont="1" applyFill="1" applyBorder="1" applyAlignment="1">
      <alignment horizontal="center"/>
    </xf>
    <xf numFmtId="0" fontId="19" fillId="0" borderId="29" xfId="0" applyFont="1" applyBorder="1"/>
    <xf numFmtId="165" fontId="7" fillId="0" borderId="14" xfId="1" applyFont="1" applyBorder="1" applyAlignment="1">
      <alignment horizontal="center"/>
    </xf>
    <xf numFmtId="10" fontId="19" fillId="0" borderId="0" xfId="0" applyNumberFormat="1" applyFont="1"/>
    <xf numFmtId="9" fontId="19" fillId="0" borderId="0" xfId="0" applyNumberFormat="1" applyFont="1"/>
    <xf numFmtId="0" fontId="3" fillId="2" borderId="9" xfId="0" applyFont="1" applyFill="1" applyBorder="1" applyAlignment="1">
      <alignment horizontal="center"/>
    </xf>
    <xf numFmtId="165" fontId="7" fillId="3" borderId="26" xfId="1" applyFont="1" applyFill="1" applyBorder="1" applyAlignment="1">
      <alignment horizontal="center"/>
    </xf>
    <xf numFmtId="14" fontId="3" fillId="0" borderId="10" xfId="0" applyNumberFormat="1" applyFont="1" applyBorder="1" applyAlignment="1">
      <alignment horizontal="center"/>
    </xf>
    <xf numFmtId="165" fontId="3" fillId="0" borderId="4" xfId="1" applyFont="1" applyBorder="1" applyAlignment="1">
      <alignment horizontal="center"/>
    </xf>
    <xf numFmtId="16" fontId="19" fillId="0" borderId="0" xfId="0" applyNumberFormat="1" applyFont="1"/>
    <xf numFmtId="165" fontId="19" fillId="8" borderId="26" xfId="1" applyFont="1" applyFill="1" applyBorder="1" applyAlignment="1">
      <alignment horizontal="center"/>
    </xf>
    <xf numFmtId="165" fontId="19" fillId="2" borderId="18" xfId="1" applyFont="1" applyFill="1" applyBorder="1" applyAlignment="1">
      <alignment horizontal="center"/>
    </xf>
    <xf numFmtId="165" fontId="19" fillId="2" borderId="8" xfId="1" applyFont="1" applyFill="1" applyBorder="1"/>
    <xf numFmtId="165" fontId="19" fillId="2" borderId="9" xfId="1" applyFont="1" applyFill="1" applyBorder="1"/>
    <xf numFmtId="165" fontId="0" fillId="2" borderId="9" xfId="1" applyFont="1" applyFill="1" applyBorder="1"/>
    <xf numFmtId="16" fontId="0" fillId="0" borderId="10" xfId="0" applyNumberFormat="1" applyBorder="1" applyAlignment="1">
      <alignment horizontal="center"/>
    </xf>
    <xf numFmtId="0" fontId="18" fillId="0" borderId="0" xfId="0" applyFont="1"/>
    <xf numFmtId="10" fontId="25" fillId="0" borderId="29" xfId="0" applyNumberFormat="1" applyFont="1" applyBorder="1"/>
    <xf numFmtId="165" fontId="34" fillId="0" borderId="0" xfId="1" applyFont="1" applyAlignment="1">
      <alignment horizontal="center"/>
    </xf>
    <xf numFmtId="165" fontId="19" fillId="0" borderId="9" xfId="1" applyFont="1" applyBorder="1" applyAlignment="1">
      <alignment horizontal="center"/>
    </xf>
    <xf numFmtId="14" fontId="19" fillId="0" borderId="0" xfId="0" applyNumberFormat="1" applyFont="1"/>
    <xf numFmtId="165" fontId="19" fillId="2" borderId="8" xfId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wrapText="1"/>
    </xf>
    <xf numFmtId="165" fontId="34" fillId="0" borderId="0" xfId="0" applyNumberFormat="1" applyFont="1"/>
    <xf numFmtId="0" fontId="0" fillId="2" borderId="4" xfId="0" applyFill="1" applyBorder="1" applyAlignment="1">
      <alignment vertical="center"/>
    </xf>
    <xf numFmtId="165" fontId="0" fillId="2" borderId="4" xfId="0" applyNumberFormat="1" applyFill="1" applyBorder="1" applyAlignment="1">
      <alignment vertical="center"/>
    </xf>
    <xf numFmtId="0" fontId="0" fillId="2" borderId="4" xfId="0" applyFill="1" applyBorder="1" applyAlignment="1">
      <alignment wrapText="1"/>
    </xf>
    <xf numFmtId="14" fontId="19" fillId="3" borderId="5" xfId="0" applyNumberFormat="1" applyFont="1" applyFill="1" applyBorder="1" applyAlignment="1">
      <alignment horizontal="center"/>
    </xf>
    <xf numFmtId="165" fontId="19" fillId="3" borderId="6" xfId="1" applyFont="1" applyFill="1" applyBorder="1" applyAlignment="1">
      <alignment horizontal="center"/>
    </xf>
    <xf numFmtId="165" fontId="3" fillId="3" borderId="4" xfId="1" applyFont="1" applyFill="1" applyBorder="1" applyAlignment="1">
      <alignment horizontal="center"/>
    </xf>
    <xf numFmtId="165" fontId="0" fillId="2" borderId="4" xfId="1" applyFont="1" applyFill="1" applyBorder="1" applyAlignment="1">
      <alignment vertical="center"/>
    </xf>
    <xf numFmtId="0" fontId="50" fillId="0" borderId="0" xfId="0" applyFont="1"/>
    <xf numFmtId="165" fontId="1" fillId="0" borderId="0" xfId="1" applyAlignment="1">
      <alignment horizontal="left"/>
    </xf>
    <xf numFmtId="165" fontId="19" fillId="0" borderId="15" xfId="1" applyFont="1" applyBorder="1" applyAlignment="1">
      <alignment horizontal="center"/>
    </xf>
    <xf numFmtId="165" fontId="19" fillId="3" borderId="15" xfId="1" applyFont="1" applyFill="1" applyBorder="1" applyAlignment="1">
      <alignment horizontal="center"/>
    </xf>
    <xf numFmtId="165" fontId="19" fillId="0" borderId="16" xfId="1" applyFont="1" applyBorder="1" applyAlignment="1">
      <alignment horizontal="center"/>
    </xf>
    <xf numFmtId="165" fontId="19" fillId="0" borderId="2" xfId="1" applyFont="1" applyBorder="1"/>
    <xf numFmtId="165" fontId="19" fillId="0" borderId="35" xfId="1" applyFont="1" applyBorder="1" applyAlignment="1">
      <alignment horizontal="center"/>
    </xf>
    <xf numFmtId="165" fontId="19" fillId="0" borderId="17" xfId="1" applyFont="1" applyBorder="1" applyAlignment="1">
      <alignment horizontal="center"/>
    </xf>
    <xf numFmtId="165" fontId="19" fillId="0" borderId="32" xfId="1" applyFont="1" applyBorder="1"/>
    <xf numFmtId="165" fontId="0" fillId="0" borderId="0" xfId="1" applyFont="1" applyAlignment="1">
      <alignment horizontal="left"/>
    </xf>
    <xf numFmtId="165" fontId="0" fillId="0" borderId="0" xfId="1" applyFont="1" applyAlignment="1">
      <alignment horizontal="center"/>
    </xf>
    <xf numFmtId="165" fontId="19" fillId="0" borderId="26" xfId="1" applyFont="1" applyFill="1" applyBorder="1" applyAlignment="1">
      <alignment horizontal="center"/>
    </xf>
    <xf numFmtId="165" fontId="1" fillId="0" borderId="4" xfId="1" applyFont="1" applyBorder="1" applyAlignment="1">
      <alignment horizontal="center"/>
    </xf>
    <xf numFmtId="165" fontId="19" fillId="0" borderId="4" xfId="1" applyFont="1" applyFill="1" applyBorder="1" applyAlignment="1">
      <alignment horizontal="center"/>
    </xf>
    <xf numFmtId="165" fontId="19" fillId="0" borderId="27" xfId="1" applyFont="1" applyFill="1" applyBorder="1" applyAlignment="1">
      <alignment horizontal="center"/>
    </xf>
    <xf numFmtId="165" fontId="19" fillId="0" borderId="18" xfId="1" applyFont="1" applyFill="1" applyBorder="1"/>
    <xf numFmtId="169" fontId="1" fillId="3" borderId="0" xfId="1" applyNumberFormat="1" applyFont="1" applyFill="1" applyBorder="1" applyAlignment="1">
      <alignment horizontal="center"/>
    </xf>
    <xf numFmtId="16" fontId="19" fillId="3" borderId="0" xfId="0" applyNumberFormat="1" applyFont="1" applyFill="1"/>
    <xf numFmtId="165" fontId="1" fillId="3" borderId="0" xfId="1" applyFont="1" applyFill="1" applyBorder="1" applyAlignment="1">
      <alignment horizontal="center"/>
    </xf>
    <xf numFmtId="165" fontId="2" fillId="3" borderId="4" xfId="1" applyFont="1" applyFill="1" applyBorder="1" applyAlignment="1">
      <alignment horizontal="center"/>
    </xf>
    <xf numFmtId="14" fontId="19" fillId="3" borderId="4" xfId="1" applyNumberFormat="1" applyFont="1" applyFill="1" applyBorder="1" applyAlignment="1">
      <alignment horizontal="center"/>
    </xf>
    <xf numFmtId="0" fontId="1" fillId="0" borderId="0" xfId="0" applyFont="1"/>
    <xf numFmtId="10" fontId="1" fillId="0" borderId="0" xfId="0" applyNumberFormat="1" applyFont="1"/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165" fontId="1" fillId="0" borderId="6" xfId="1" applyFont="1" applyBorder="1" applyAlignment="1">
      <alignment horizontal="center"/>
    </xf>
    <xf numFmtId="165" fontId="1" fillId="0" borderId="14" xfId="1" applyFont="1" applyBorder="1" applyAlignment="1">
      <alignment horizontal="center"/>
    </xf>
    <xf numFmtId="165" fontId="1" fillId="2" borderId="9" xfId="1" applyFont="1" applyFill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165" fontId="1" fillId="0" borderId="26" xfId="1" applyFont="1" applyBorder="1" applyAlignment="1">
      <alignment horizontal="center"/>
    </xf>
    <xf numFmtId="14" fontId="1" fillId="0" borderId="20" xfId="0" applyNumberFormat="1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5" fontId="0" fillId="0" borderId="0" xfId="1" applyFont="1" applyFill="1" applyAlignment="1">
      <alignment horizontal="left"/>
    </xf>
    <xf numFmtId="49" fontId="0" fillId="0" borderId="0" xfId="0" applyNumberFormat="1"/>
    <xf numFmtId="165" fontId="19" fillId="0" borderId="6" xfId="1" applyFont="1" applyFill="1" applyBorder="1" applyAlignment="1">
      <alignment horizontal="center"/>
    </xf>
    <xf numFmtId="0" fontId="0" fillId="0" borderId="15" xfId="0" applyBorder="1"/>
    <xf numFmtId="165" fontId="0" fillId="0" borderId="24" xfId="0" applyNumberFormat="1" applyBorder="1"/>
    <xf numFmtId="10" fontId="0" fillId="0" borderId="0" xfId="0" applyNumberFormat="1"/>
    <xf numFmtId="0" fontId="16" fillId="0" borderId="0" xfId="0" applyFont="1"/>
    <xf numFmtId="165" fontId="15" fillId="0" borderId="0" xfId="0" applyNumberFormat="1" applyFont="1"/>
    <xf numFmtId="43" fontId="0" fillId="0" borderId="0" xfId="0" applyNumberFormat="1"/>
    <xf numFmtId="165" fontId="43" fillId="2" borderId="0" xfId="1" applyFont="1" applyFill="1"/>
    <xf numFmtId="0" fontId="9" fillId="5" borderId="37" xfId="0" applyFont="1" applyFill="1" applyBorder="1" applyAlignment="1">
      <alignment horizontal="center"/>
    </xf>
    <xf numFmtId="0" fontId="9" fillId="5" borderId="39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 vertical="center"/>
    </xf>
    <xf numFmtId="165" fontId="0" fillId="0" borderId="33" xfId="0" applyNumberFormat="1" applyBorder="1"/>
    <xf numFmtId="0" fontId="0" fillId="3" borderId="15" xfId="0" applyFill="1" applyBorder="1"/>
    <xf numFmtId="0" fontId="0" fillId="5" borderId="43" xfId="0" applyFill="1" applyBorder="1"/>
    <xf numFmtId="165" fontId="0" fillId="5" borderId="41" xfId="0" applyNumberFormat="1" applyFill="1" applyBorder="1"/>
    <xf numFmtId="165" fontId="8" fillId="5" borderId="23" xfId="0" applyNumberFormat="1" applyFont="1" applyFill="1" applyBorder="1"/>
    <xf numFmtId="165" fontId="19" fillId="3" borderId="9" xfId="1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Alignment="1">
      <alignment horizontal="left"/>
    </xf>
    <xf numFmtId="165" fontId="34" fillId="0" borderId="0" xfId="1" applyFont="1"/>
    <xf numFmtId="164" fontId="34" fillId="0" borderId="0" xfId="0" applyNumberFormat="1" applyFont="1" applyAlignment="1">
      <alignment horizontal="center"/>
    </xf>
    <xf numFmtId="0" fontId="0" fillId="3" borderId="10" xfId="0" applyFill="1" applyBorder="1" applyAlignment="1">
      <alignment horizontal="center"/>
    </xf>
    <xf numFmtId="14" fontId="2" fillId="0" borderId="37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5" fontId="1" fillId="0" borderId="44" xfId="1" applyFill="1" applyBorder="1" applyAlignment="1">
      <alignment horizontal="center"/>
    </xf>
    <xf numFmtId="164" fontId="0" fillId="0" borderId="0" xfId="0" applyNumberFormat="1"/>
    <xf numFmtId="0" fontId="0" fillId="0" borderId="15" xfId="0" applyBorder="1" applyAlignment="1">
      <alignment horizontal="right"/>
    </xf>
    <xf numFmtId="0" fontId="0" fillId="3" borderId="15" xfId="0" applyFill="1" applyBorder="1" applyAlignment="1">
      <alignment horizontal="right"/>
    </xf>
    <xf numFmtId="165" fontId="51" fillId="0" borderId="0" xfId="1" applyFont="1"/>
    <xf numFmtId="14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14" fontId="19" fillId="0" borderId="0" xfId="0" applyNumberFormat="1" applyFont="1" applyAlignment="1">
      <alignment horizontal="center"/>
    </xf>
    <xf numFmtId="165" fontId="19" fillId="0" borderId="14" xfId="1" applyFont="1" applyFill="1" applyBorder="1" applyAlignment="1">
      <alignment horizontal="center"/>
    </xf>
    <xf numFmtId="14" fontId="19" fillId="0" borderId="0" xfId="1" applyNumberFormat="1" applyFont="1" applyFill="1" applyAlignment="1">
      <alignment horizontal="center"/>
    </xf>
    <xf numFmtId="165" fontId="1" fillId="0" borderId="0" xfId="1" applyFill="1" applyAlignment="1">
      <alignment horizontal="center"/>
    </xf>
    <xf numFmtId="0" fontId="4" fillId="0" borderId="0" xfId="0" applyFont="1"/>
    <xf numFmtId="164" fontId="34" fillId="0" borderId="0" xfId="0" applyNumberFormat="1" applyFont="1"/>
    <xf numFmtId="165" fontId="0" fillId="0" borderId="4" xfId="1" applyFont="1" applyBorder="1"/>
    <xf numFmtId="165" fontId="7" fillId="0" borderId="4" xfId="1" applyFont="1" applyBorder="1" applyAlignment="1">
      <alignment horizontal="center"/>
    </xf>
    <xf numFmtId="0" fontId="52" fillId="0" borderId="0" xfId="0" applyFont="1"/>
    <xf numFmtId="165" fontId="1" fillId="0" borderId="4" xfId="1" applyFill="1" applyBorder="1" applyAlignment="1">
      <alignment horizontal="center"/>
    </xf>
    <xf numFmtId="165" fontId="1" fillId="0" borderId="26" xfId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2" fontId="0" fillId="0" borderId="0" xfId="0" applyNumberFormat="1"/>
    <xf numFmtId="9" fontId="34" fillId="0" borderId="0" xfId="2" applyFont="1"/>
    <xf numFmtId="165" fontId="0" fillId="0" borderId="9" xfId="1" applyFont="1" applyBorder="1" applyAlignment="1">
      <alignment horizontal="center"/>
    </xf>
    <xf numFmtId="165" fontId="1" fillId="0" borderId="4" xfId="1" applyFont="1" applyFill="1" applyBorder="1" applyAlignment="1">
      <alignment horizontal="center"/>
    </xf>
    <xf numFmtId="165" fontId="19" fillId="0" borderId="9" xfId="1" applyFont="1" applyFill="1" applyBorder="1" applyAlignment="1">
      <alignment horizontal="center"/>
    </xf>
    <xf numFmtId="2" fontId="19" fillId="0" borderId="0" xfId="0" applyNumberFormat="1" applyFont="1" applyAlignment="1">
      <alignment horizontal="center"/>
    </xf>
    <xf numFmtId="165" fontId="19" fillId="0" borderId="42" xfId="1" applyFont="1" applyFill="1" applyBorder="1" applyAlignment="1">
      <alignment horizontal="center"/>
    </xf>
    <xf numFmtId="165" fontId="7" fillId="0" borderId="4" xfId="1" applyFont="1" applyFill="1" applyBorder="1" applyAlignment="1">
      <alignment horizontal="center"/>
    </xf>
    <xf numFmtId="165" fontId="0" fillId="0" borderId="4" xfId="1" applyFont="1" applyFill="1" applyBorder="1" applyAlignment="1">
      <alignment horizontal="center"/>
    </xf>
    <xf numFmtId="14" fontId="19" fillId="0" borderId="9" xfId="1" applyNumberFormat="1" applyFont="1" applyFill="1" applyBorder="1" applyAlignment="1">
      <alignment horizontal="center"/>
    </xf>
    <xf numFmtId="9" fontId="0" fillId="0" borderId="0" xfId="2" applyFont="1" applyFill="1"/>
    <xf numFmtId="170" fontId="0" fillId="0" borderId="0" xfId="2" applyNumberFormat="1" applyFont="1"/>
    <xf numFmtId="0" fontId="0" fillId="2" borderId="2" xfId="0" applyFill="1" applyBorder="1" applyAlignment="1">
      <alignment horizontal="center"/>
    </xf>
    <xf numFmtId="165" fontId="1" fillId="2" borderId="1" xfId="1" applyFill="1" applyBorder="1" applyAlignment="1">
      <alignment horizontal="center"/>
    </xf>
    <xf numFmtId="0" fontId="0" fillId="2" borderId="28" xfId="0" applyFill="1" applyBorder="1"/>
    <xf numFmtId="14" fontId="0" fillId="0" borderId="33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65" fontId="0" fillId="0" borderId="4" xfId="1" applyFont="1" applyBorder="1" applyAlignment="1">
      <alignment horizontal="left"/>
    </xf>
    <xf numFmtId="165" fontId="0" fillId="0" borderId="4" xfId="0" applyNumberFormat="1" applyBorder="1" applyAlignment="1">
      <alignment horizontal="left"/>
    </xf>
    <xf numFmtId="170" fontId="0" fillId="0" borderId="4" xfId="2" applyNumberFormat="1" applyFont="1" applyBorder="1" applyAlignment="1">
      <alignment horizontal="center"/>
    </xf>
    <xf numFmtId="165" fontId="1" fillId="0" borderId="26" xfId="1" applyFont="1" applyFill="1" applyBorder="1" applyAlignment="1">
      <alignment horizontal="center"/>
    </xf>
    <xf numFmtId="165" fontId="1" fillId="3" borderId="26" xfId="1" applyFont="1" applyFill="1" applyBorder="1" applyAlignment="1">
      <alignment horizontal="center"/>
    </xf>
    <xf numFmtId="165" fontId="1" fillId="3" borderId="4" xfId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165" fontId="1" fillId="0" borderId="7" xfId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65" fontId="1" fillId="0" borderId="27" xfId="1" applyFont="1" applyBorder="1" applyAlignment="1">
      <alignment horizontal="center"/>
    </xf>
    <xf numFmtId="165" fontId="1" fillId="0" borderId="18" xfId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18" xfId="1" applyFont="1" applyBorder="1"/>
    <xf numFmtId="165" fontId="1" fillId="2" borderId="22" xfId="1" applyFont="1" applyFill="1" applyBorder="1"/>
    <xf numFmtId="10" fontId="1" fillId="0" borderId="0" xfId="0" applyNumberFormat="1" applyFont="1" applyAlignment="1">
      <alignment horizontal="center"/>
    </xf>
    <xf numFmtId="16" fontId="1" fillId="0" borderId="10" xfId="0" applyNumberFormat="1" applyFont="1" applyBorder="1" applyAlignment="1">
      <alignment horizontal="center"/>
    </xf>
    <xf numFmtId="165" fontId="1" fillId="3" borderId="6" xfId="1" applyFont="1" applyFill="1" applyBorder="1" applyAlignment="1">
      <alignment horizontal="center"/>
    </xf>
    <xf numFmtId="14" fontId="1" fillId="3" borderId="10" xfId="0" applyNumberFormat="1" applyFont="1" applyFill="1" applyBorder="1" applyAlignment="1">
      <alignment horizontal="center"/>
    </xf>
    <xf numFmtId="0" fontId="22" fillId="0" borderId="0" xfId="0" applyFont="1"/>
    <xf numFmtId="0" fontId="7" fillId="0" borderId="0" xfId="0" applyFont="1"/>
    <xf numFmtId="10" fontId="19" fillId="0" borderId="0" xfId="0" applyNumberFormat="1" applyFont="1" applyAlignment="1">
      <alignment horizontal="center"/>
    </xf>
    <xf numFmtId="170" fontId="19" fillId="0" borderId="0" xfId="0" applyNumberFormat="1" applyFont="1"/>
    <xf numFmtId="165" fontId="0" fillId="0" borderId="4" xfId="0" applyNumberFormat="1" applyBorder="1"/>
    <xf numFmtId="9" fontId="0" fillId="0" borderId="0" xfId="0" applyNumberFormat="1"/>
    <xf numFmtId="165" fontId="19" fillId="4" borderId="0" xfId="0" applyNumberFormat="1" applyFont="1" applyFill="1"/>
    <xf numFmtId="165" fontId="1" fillId="4" borderId="0" xfId="0" applyNumberFormat="1" applyFont="1" applyFill="1"/>
    <xf numFmtId="0" fontId="9" fillId="0" borderId="0" xfId="0" applyFont="1"/>
    <xf numFmtId="164" fontId="4" fillId="0" borderId="0" xfId="0" applyNumberFormat="1" applyFont="1"/>
    <xf numFmtId="164" fontId="9" fillId="0" borderId="0" xfId="0" applyNumberFormat="1" applyFont="1"/>
    <xf numFmtId="10" fontId="0" fillId="0" borderId="0" xfId="2" applyNumberFormat="1" applyFont="1"/>
    <xf numFmtId="164" fontId="19" fillId="0" borderId="0" xfId="0" applyNumberFormat="1" applyFont="1"/>
    <xf numFmtId="2" fontId="19" fillId="0" borderId="0" xfId="0" applyNumberFormat="1" applyFont="1"/>
    <xf numFmtId="0" fontId="3" fillId="3" borderId="0" xfId="0" applyFont="1" applyFill="1"/>
    <xf numFmtId="2" fontId="19" fillId="0" borderId="0" xfId="0" applyNumberFormat="1" applyFont="1" applyAlignment="1">
      <alignment horizontal="right"/>
    </xf>
    <xf numFmtId="165" fontId="53" fillId="0" borderId="0" xfId="1" applyFont="1" applyAlignment="1">
      <alignment horizontal="left"/>
    </xf>
    <xf numFmtId="165" fontId="1" fillId="0" borderId="0" xfId="1" applyFont="1" applyFill="1" applyBorder="1" applyAlignment="1">
      <alignment horizontal="center"/>
    </xf>
    <xf numFmtId="0" fontId="19" fillId="0" borderId="4" xfId="0" applyFont="1" applyBorder="1"/>
    <xf numFmtId="43" fontId="34" fillId="0" borderId="0" xfId="0" applyNumberFormat="1" applyFont="1"/>
    <xf numFmtId="165" fontId="19" fillId="0" borderId="33" xfId="1" applyFont="1" applyFill="1" applyBorder="1" applyAlignment="1">
      <alignment horizontal="center"/>
    </xf>
    <xf numFmtId="165" fontId="19" fillId="0" borderId="24" xfId="1" applyFont="1" applyFill="1" applyBorder="1" applyAlignment="1">
      <alignment horizontal="center"/>
    </xf>
    <xf numFmtId="164" fontId="19" fillId="0" borderId="0" xfId="0" applyNumberFormat="1" applyFont="1" applyAlignment="1">
      <alignment horizontal="center"/>
    </xf>
    <xf numFmtId="171" fontId="19" fillId="0" borderId="0" xfId="0" applyNumberFormat="1" applyFont="1" applyAlignment="1">
      <alignment horizontal="center"/>
    </xf>
    <xf numFmtId="165" fontId="19" fillId="0" borderId="0" xfId="1" applyFont="1" applyFill="1" applyAlignment="1">
      <alignment horizontal="center"/>
    </xf>
    <xf numFmtId="165" fontId="0" fillId="0" borderId="0" xfId="1" applyFont="1" applyFill="1"/>
    <xf numFmtId="165" fontId="19" fillId="0" borderId="0" xfId="1" applyFont="1" applyFill="1"/>
    <xf numFmtId="14" fontId="19" fillId="0" borderId="10" xfId="0" applyNumberFormat="1" applyFont="1" applyBorder="1"/>
    <xf numFmtId="165" fontId="19" fillId="0" borderId="20" xfId="1" applyFont="1" applyFill="1" applyBorder="1" applyAlignment="1">
      <alignment horizontal="center"/>
    </xf>
    <xf numFmtId="165" fontId="0" fillId="0" borderId="0" xfId="1" applyFont="1" applyFill="1" applyAlignment="1">
      <alignment horizontal="center"/>
    </xf>
    <xf numFmtId="165" fontId="15" fillId="0" borderId="0" xfId="1" applyFont="1"/>
    <xf numFmtId="0" fontId="12" fillId="0" borderId="0" xfId="0" applyFont="1" applyAlignment="1">
      <alignment horizontal="center"/>
    </xf>
    <xf numFmtId="165" fontId="1" fillId="0" borderId="0" xfId="1" applyFill="1" applyBorder="1" applyAlignment="1">
      <alignment horizontal="center"/>
    </xf>
    <xf numFmtId="165" fontId="1" fillId="0" borderId="0" xfId="1" applyFill="1" applyBorder="1"/>
    <xf numFmtId="0" fontId="3" fillId="9" borderId="24" xfId="0" applyFont="1" applyFill="1" applyBorder="1" applyAlignment="1">
      <alignment horizontal="center"/>
    </xf>
    <xf numFmtId="165" fontId="3" fillId="9" borderId="4" xfId="1" applyFont="1" applyFill="1" applyBorder="1" applyAlignment="1">
      <alignment horizontal="center"/>
    </xf>
    <xf numFmtId="165" fontId="3" fillId="9" borderId="4" xfId="1" applyFont="1" applyFill="1" applyBorder="1" applyAlignment="1">
      <alignment horizontal="left"/>
    </xf>
    <xf numFmtId="10" fontId="0" fillId="0" borderId="4" xfId="0" applyNumberFormat="1" applyBorder="1" applyAlignment="1">
      <alignment horizontal="center"/>
    </xf>
    <xf numFmtId="165" fontId="3" fillId="0" borderId="19" xfId="1" applyFont="1" applyFill="1" applyBorder="1" applyAlignment="1">
      <alignment horizontal="center" vertical="center"/>
    </xf>
    <xf numFmtId="165" fontId="3" fillId="0" borderId="4" xfId="1" applyFont="1" applyFill="1" applyBorder="1" applyAlignment="1">
      <alignment horizontal="center"/>
    </xf>
    <xf numFmtId="43" fontId="0" fillId="0" borderId="4" xfId="0" applyNumberFormat="1" applyBorder="1"/>
    <xf numFmtId="0" fontId="3" fillId="9" borderId="15" xfId="0" applyFont="1" applyFill="1" applyBorder="1" applyAlignment="1">
      <alignment horizontal="center"/>
    </xf>
    <xf numFmtId="165" fontId="0" fillId="0" borderId="42" xfId="1" applyFont="1" applyBorder="1" applyAlignment="1">
      <alignment horizontal="left"/>
    </xf>
    <xf numFmtId="10" fontId="0" fillId="0" borderId="4" xfId="2" applyNumberFormat="1" applyFont="1" applyBorder="1" applyAlignment="1">
      <alignment horizontal="center"/>
    </xf>
    <xf numFmtId="165" fontId="19" fillId="0" borderId="45" xfId="1" applyFont="1" applyFill="1" applyBorder="1" applyAlignment="1">
      <alignment horizontal="center"/>
    </xf>
    <xf numFmtId="165" fontId="19" fillId="0" borderId="15" xfId="1" applyFont="1" applyFill="1" applyBorder="1" applyAlignment="1">
      <alignment horizontal="center"/>
    </xf>
    <xf numFmtId="165" fontId="19" fillId="0" borderId="21" xfId="1" applyFont="1" applyBorder="1"/>
    <xf numFmtId="165" fontId="46" fillId="0" borderId="22" xfId="1" applyFont="1" applyBorder="1"/>
    <xf numFmtId="165" fontId="46" fillId="0" borderId="0" xfId="1" applyFont="1"/>
    <xf numFmtId="171" fontId="43" fillId="0" borderId="0" xfId="1" applyNumberFormat="1" applyFont="1"/>
    <xf numFmtId="171" fontId="49" fillId="0" borderId="0" xfId="1" applyNumberFormat="1" applyFont="1" applyAlignment="1">
      <alignment horizontal="right"/>
    </xf>
    <xf numFmtId="0" fontId="0" fillId="0" borderId="20" xfId="0" applyBorder="1"/>
    <xf numFmtId="172" fontId="19" fillId="2" borderId="9" xfId="2" applyNumberFormat="1" applyFont="1" applyFill="1" applyBorder="1" applyAlignment="1">
      <alignment horizontal="center"/>
    </xf>
    <xf numFmtId="172" fontId="19" fillId="2" borderId="9" xfId="1" applyNumberFormat="1" applyFont="1" applyFill="1" applyBorder="1" applyAlignment="1">
      <alignment horizontal="center"/>
    </xf>
    <xf numFmtId="0" fontId="0" fillId="0" borderId="4" xfId="0" applyBorder="1"/>
    <xf numFmtId="172" fontId="19" fillId="2" borderId="9" xfId="1" applyNumberFormat="1" applyFont="1" applyFill="1" applyBorder="1" applyAlignment="1">
      <alignment horizontal="right"/>
    </xf>
    <xf numFmtId="170" fontId="0" fillId="0" borderId="0" xfId="2" applyNumberFormat="1" applyFont="1" applyAlignment="1">
      <alignment horizontal="left"/>
    </xf>
    <xf numFmtId="165" fontId="3" fillId="0" borderId="0" xfId="1" applyFont="1" applyAlignment="1">
      <alignment horizontal="left"/>
    </xf>
    <xf numFmtId="165" fontId="36" fillId="5" borderId="0" xfId="1" applyFont="1" applyFill="1"/>
    <xf numFmtId="165" fontId="1" fillId="0" borderId="0" xfId="1" applyFont="1"/>
    <xf numFmtId="165" fontId="55" fillId="2" borderId="9" xfId="1" applyFont="1" applyFill="1" applyBorder="1" applyAlignment="1">
      <alignment horizontal="center"/>
    </xf>
    <xf numFmtId="165" fontId="55" fillId="3" borderId="0" xfId="1" applyFont="1" applyFill="1" applyAlignment="1">
      <alignment horizontal="center"/>
    </xf>
    <xf numFmtId="165" fontId="1" fillId="0" borderId="0" xfId="1" applyFont="1" applyFill="1"/>
    <xf numFmtId="165" fontId="3" fillId="0" borderId="0" xfId="1" applyFont="1" applyFill="1" applyAlignment="1">
      <alignment horizontal="left"/>
    </xf>
    <xf numFmtId="49" fontId="34" fillId="0" borderId="0" xfId="0" applyNumberFormat="1" applyFont="1"/>
    <xf numFmtId="165" fontId="0" fillId="3" borderId="0" xfId="1" applyFont="1" applyFill="1"/>
    <xf numFmtId="0" fontId="0" fillId="0" borderId="0" xfId="0" applyAlignment="1">
      <alignment vertical="center"/>
    </xf>
    <xf numFmtId="165" fontId="2" fillId="0" borderId="0" xfId="1" applyFont="1" applyAlignment="1">
      <alignment horizontal="left"/>
    </xf>
    <xf numFmtId="0" fontId="0" fillId="0" borderId="0" xfId="0" applyAlignment="1">
      <alignment wrapText="1"/>
    </xf>
    <xf numFmtId="14" fontId="1" fillId="0" borderId="0" xfId="1" applyNumberFormat="1" applyFont="1" applyFill="1" applyBorder="1" applyAlignment="1">
      <alignment horizontal="center"/>
    </xf>
    <xf numFmtId="170" fontId="0" fillId="0" borderId="0" xfId="0" applyNumberFormat="1"/>
    <xf numFmtId="0" fontId="0" fillId="0" borderId="4" xfId="0" applyBorder="1" applyAlignment="1">
      <alignment vertical="center"/>
    </xf>
    <xf numFmtId="165" fontId="0" fillId="0" borderId="4" xfId="1" applyFont="1" applyBorder="1" applyAlignment="1">
      <alignment vertic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165" fontId="51" fillId="0" borderId="0" xfId="1" applyFont="1" applyFill="1" applyAlignment="1">
      <alignment horizontal="left"/>
    </xf>
    <xf numFmtId="0" fontId="0" fillId="11" borderId="15" xfId="0" applyFill="1" applyBorder="1"/>
    <xf numFmtId="165" fontId="3" fillId="0" borderId="0" xfId="1" applyFont="1" applyFill="1" applyBorder="1" applyAlignment="1">
      <alignment horizontal="center"/>
    </xf>
    <xf numFmtId="165" fontId="1" fillId="11" borderId="4" xfId="1" applyFill="1" applyBorder="1" applyAlignment="1">
      <alignment horizontal="center"/>
    </xf>
    <xf numFmtId="165" fontId="0" fillId="0" borderId="26" xfId="1" applyFont="1" applyFill="1" applyBorder="1" applyAlignment="1">
      <alignment horizontal="center"/>
    </xf>
    <xf numFmtId="172" fontId="0" fillId="2" borderId="9" xfId="1" applyNumberFormat="1" applyFont="1" applyFill="1" applyBorder="1" applyAlignment="1">
      <alignment horizontal="right"/>
    </xf>
    <xf numFmtId="165" fontId="1" fillId="3" borderId="0" xfId="1" applyFont="1" applyFill="1"/>
    <xf numFmtId="165" fontId="7" fillId="0" borderId="0" xfId="1" applyFont="1"/>
    <xf numFmtId="165" fontId="55" fillId="0" borderId="0" xfId="1" applyFont="1"/>
    <xf numFmtId="165" fontId="55" fillId="3" borderId="0" xfId="1" applyFont="1" applyFill="1"/>
    <xf numFmtId="165" fontId="9" fillId="6" borderId="0" xfId="1" applyFont="1" applyFill="1" applyBorder="1" applyAlignment="1">
      <alignment horizontal="center"/>
    </xf>
    <xf numFmtId="165" fontId="11" fillId="0" borderId="0" xfId="1" applyFont="1" applyFill="1" applyBorder="1" applyAlignment="1">
      <alignment horizontal="center"/>
    </xf>
    <xf numFmtId="14" fontId="19" fillId="3" borderId="0" xfId="1" applyNumberFormat="1" applyFont="1" applyFill="1"/>
    <xf numFmtId="9" fontId="0" fillId="0" borderId="0" xfId="2" applyFont="1" applyAlignment="1">
      <alignment horizontal="center"/>
    </xf>
    <xf numFmtId="16" fontId="19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3" fillId="2" borderId="8" xfId="0" applyFont="1" applyFill="1" applyBorder="1" applyAlignment="1">
      <alignment horizontal="center"/>
    </xf>
    <xf numFmtId="0" fontId="14" fillId="0" borderId="1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9" fillId="0" borderId="29" xfId="0" applyFont="1" applyBorder="1" applyAlignment="1">
      <alignment horizontal="center" wrapText="1"/>
    </xf>
    <xf numFmtId="0" fontId="27" fillId="0" borderId="29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0" fillId="0" borderId="4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7" xfId="0" applyBorder="1" applyAlignment="1">
      <alignment horizontal="center"/>
    </xf>
    <xf numFmtId="165" fontId="3" fillId="0" borderId="4" xfId="1" applyFont="1" applyFill="1" applyBorder="1" applyAlignment="1">
      <alignment horizontal="center" vertical="center"/>
    </xf>
    <xf numFmtId="165" fontId="0" fillId="0" borderId="4" xfId="1" applyFont="1" applyBorder="1" applyAlignment="1">
      <alignment horizontal="center" vertical="center"/>
    </xf>
    <xf numFmtId="10" fontId="0" fillId="0" borderId="4" xfId="2" applyNumberFormat="1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16" fillId="10" borderId="19" xfId="1" applyFont="1" applyFill="1" applyBorder="1" applyAlignment="1">
      <alignment horizontal="center" vertical="center"/>
    </xf>
    <xf numFmtId="165" fontId="16" fillId="10" borderId="48" xfId="1" applyFont="1" applyFill="1" applyBorder="1" applyAlignment="1">
      <alignment horizontal="center" vertical="center"/>
    </xf>
    <xf numFmtId="165" fontId="16" fillId="10" borderId="42" xfId="1" applyFont="1" applyFill="1" applyBorder="1" applyAlignment="1">
      <alignment horizontal="center" vertical="center"/>
    </xf>
    <xf numFmtId="165" fontId="3" fillId="0" borderId="19" xfId="1" applyFont="1" applyFill="1" applyBorder="1" applyAlignment="1">
      <alignment horizontal="center" vertical="center"/>
    </xf>
    <xf numFmtId="165" fontId="3" fillId="0" borderId="42" xfId="1" applyFont="1" applyFill="1" applyBorder="1" applyAlignment="1">
      <alignment horizontal="center" vertical="center"/>
    </xf>
    <xf numFmtId="165" fontId="0" fillId="0" borderId="40" xfId="0" applyNumberFormat="1" applyBorder="1" applyAlignment="1">
      <alignment horizontal="center" vertical="center"/>
    </xf>
    <xf numFmtId="165" fontId="0" fillId="0" borderId="44" xfId="0" applyNumberFormat="1" applyBorder="1" applyAlignment="1">
      <alignment horizontal="center" vertical="center"/>
    </xf>
    <xf numFmtId="165" fontId="0" fillId="0" borderId="43" xfId="0" applyNumberFormat="1" applyBorder="1" applyAlignment="1">
      <alignment horizontal="center" vertical="center"/>
    </xf>
    <xf numFmtId="0" fontId="3" fillId="9" borderId="4" xfId="0" applyFont="1" applyFill="1" applyBorder="1" applyAlignment="1">
      <alignment horizontal="center"/>
    </xf>
    <xf numFmtId="165" fontId="3" fillId="0" borderId="13" xfId="1" applyFont="1" applyFill="1" applyBorder="1" applyAlignment="1">
      <alignment horizontal="center" vertical="center"/>
    </xf>
    <xf numFmtId="165" fontId="3" fillId="0" borderId="49" xfId="1" applyFont="1" applyFill="1" applyBorder="1" applyAlignment="1">
      <alignment horizontal="center" vertical="center"/>
    </xf>
    <xf numFmtId="165" fontId="3" fillId="0" borderId="23" xfId="1" applyFont="1" applyFill="1" applyBorder="1" applyAlignment="1">
      <alignment horizontal="center" vertical="center"/>
    </xf>
    <xf numFmtId="165" fontId="0" fillId="0" borderId="19" xfId="1" applyFont="1" applyBorder="1" applyAlignment="1">
      <alignment horizontal="center" vertical="center"/>
    </xf>
    <xf numFmtId="165" fontId="0" fillId="0" borderId="48" xfId="1" applyFont="1" applyBorder="1" applyAlignment="1">
      <alignment horizontal="center" vertical="center"/>
    </xf>
    <xf numFmtId="165" fontId="0" fillId="0" borderId="42" xfId="1" applyFont="1" applyBorder="1" applyAlignment="1">
      <alignment horizontal="center" vertical="center"/>
    </xf>
    <xf numFmtId="10" fontId="0" fillId="0" borderId="19" xfId="2" applyNumberFormat="1" applyFont="1" applyBorder="1" applyAlignment="1">
      <alignment horizontal="center" vertical="center"/>
    </xf>
    <xf numFmtId="10" fontId="0" fillId="0" borderId="48" xfId="2" applyNumberFormat="1" applyFont="1" applyBorder="1" applyAlignment="1">
      <alignment horizontal="center" vertical="center"/>
    </xf>
    <xf numFmtId="10" fontId="0" fillId="0" borderId="42" xfId="2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3" fillId="6" borderId="4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67" fontId="34" fillId="0" borderId="4" xfId="0" applyNumberFormat="1" applyFont="1" applyBorder="1" applyAlignment="1">
      <alignment horizontal="center"/>
    </xf>
    <xf numFmtId="0" fontId="56" fillId="2" borderId="4" xfId="0" applyFont="1" applyFill="1" applyBorder="1" applyAlignment="1">
      <alignment horizontal="center"/>
    </xf>
    <xf numFmtId="0" fontId="3" fillId="12" borderId="0" xfId="0" applyFont="1" applyFill="1" applyAlignment="1">
      <alignment horizontal="left"/>
    </xf>
    <xf numFmtId="0" fontId="3" fillId="12" borderId="0" xfId="0" applyFont="1" applyFill="1"/>
    <xf numFmtId="0" fontId="0" fillId="12" borderId="0" xfId="0" applyFill="1"/>
    <xf numFmtId="0" fontId="3" fillId="11" borderId="0" xfId="0" applyFont="1" applyFill="1"/>
    <xf numFmtId="0" fontId="0" fillId="11" borderId="0" xfId="0" applyFill="1"/>
    <xf numFmtId="43" fontId="3" fillId="11" borderId="0" xfId="0" applyNumberFormat="1" applyFont="1" applyFill="1"/>
    <xf numFmtId="43" fontId="3" fillId="12" borderId="0" xfId="0" applyNumberFormat="1" applyFont="1" applyFill="1"/>
    <xf numFmtId="165" fontId="3" fillId="12" borderId="0" xfId="1" applyFont="1" applyFill="1"/>
    <xf numFmtId="165" fontId="0" fillId="12" borderId="0" xfId="0" applyNumberFormat="1" applyFill="1"/>
    <xf numFmtId="165" fontId="3" fillId="12" borderId="0" xfId="0" applyNumberFormat="1" applyFont="1" applyFill="1"/>
    <xf numFmtId="0" fontId="3" fillId="0" borderId="0" xfId="0" applyFont="1" applyFill="1"/>
    <xf numFmtId="165" fontId="0" fillId="0" borderId="0" xfId="0" applyNumberFormat="1" applyFill="1"/>
    <xf numFmtId="165" fontId="3" fillId="0" borderId="0" xfId="0" applyNumberFormat="1" applyFont="1" applyFill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E68"/>
  <sheetViews>
    <sheetView topLeftCell="A47" zoomScaleNormal="100" workbookViewId="0">
      <selection activeCell="J61" sqref="J61"/>
    </sheetView>
  </sheetViews>
  <sheetFormatPr baseColWidth="10" defaultColWidth="11.42578125" defaultRowHeight="15" x14ac:dyDescent="0.25"/>
  <cols>
    <col min="1" max="1" width="11.42578125" style="63" customWidth="1"/>
    <col min="2" max="2" width="13" style="63" customWidth="1"/>
    <col min="3" max="3" width="12.42578125" style="63" customWidth="1"/>
    <col min="4" max="4" width="14.140625" style="63" customWidth="1"/>
    <col min="5" max="5" width="11.85546875" style="63" customWidth="1"/>
    <col min="6" max="6" width="12.85546875" style="63" customWidth="1"/>
    <col min="7" max="7" width="11.85546875" style="63" customWidth="1"/>
    <col min="8" max="8" width="21.5703125" style="63" customWidth="1"/>
    <col min="9" max="9" width="11.42578125" style="63" customWidth="1"/>
    <col min="10" max="10" width="13.140625" style="63" bestFit="1" customWidth="1"/>
    <col min="11" max="11" width="14" style="63" customWidth="1"/>
    <col min="12" max="12" width="13.140625" style="63" bestFit="1" customWidth="1"/>
    <col min="13" max="13" width="11.42578125" style="63" customWidth="1"/>
    <col min="14" max="14" width="13.140625" style="63" customWidth="1"/>
    <col min="15" max="15" width="12.28515625" style="63" customWidth="1"/>
    <col min="16" max="16" width="15.7109375" style="63" bestFit="1" customWidth="1"/>
    <col min="17" max="17" width="11.42578125" style="63" customWidth="1"/>
    <col min="18" max="18" width="12.28515625" style="63" bestFit="1" customWidth="1"/>
    <col min="19" max="19" width="11.85546875" style="63" bestFit="1" customWidth="1"/>
    <col min="20" max="20" width="17.7109375" style="63" customWidth="1"/>
    <col min="21" max="21" width="11.42578125" style="63" customWidth="1"/>
    <col min="22" max="22" width="12.28515625" style="63" customWidth="1"/>
    <col min="23" max="23" width="11.42578125" style="63" customWidth="1"/>
    <col min="24" max="24" width="12.140625" style="63" bestFit="1" customWidth="1"/>
    <col min="25" max="25" width="11.42578125" style="63" customWidth="1"/>
    <col min="26" max="26" width="14.28515625" style="63" customWidth="1"/>
    <col min="27" max="27" width="14" style="63" customWidth="1"/>
    <col min="28" max="28" width="13.7109375" style="63" customWidth="1"/>
    <col min="29" max="29" width="11.42578125" style="63" customWidth="1"/>
    <col min="30" max="30" width="12.28515625" style="63" customWidth="1"/>
    <col min="31" max="31" width="12.140625" style="63" bestFit="1" customWidth="1"/>
    <col min="32" max="32" width="11.7109375" style="63" customWidth="1"/>
    <col min="33" max="33" width="11.42578125" style="63" customWidth="1"/>
    <col min="34" max="34" width="13.42578125" style="63" customWidth="1"/>
    <col min="35" max="35" width="13.5703125" style="63" customWidth="1"/>
    <col min="36" max="36" width="13.28515625" style="63" customWidth="1"/>
    <col min="37" max="37" width="11.42578125" style="63" customWidth="1"/>
    <col min="38" max="38" width="12.28515625" style="63" customWidth="1"/>
    <col min="39" max="39" width="12.140625" style="63" customWidth="1"/>
    <col min="40" max="40" width="12.140625" style="63" bestFit="1" customWidth="1"/>
    <col min="41" max="41" width="11.42578125" style="63" customWidth="1"/>
    <col min="42" max="42" width="11.85546875" style="63" customWidth="1"/>
    <col min="43" max="43" width="12.5703125" style="63" customWidth="1"/>
    <col min="44" max="44" width="12.85546875" style="63" customWidth="1"/>
    <col min="45" max="45" width="11.42578125" style="63" customWidth="1"/>
    <col min="46" max="46" width="14" style="63" customWidth="1"/>
    <col min="47" max="47" width="12" style="63" customWidth="1"/>
    <col min="48" max="48" width="10.7109375" style="63" customWidth="1"/>
    <col min="49" max="49" width="11.42578125" style="63" customWidth="1"/>
    <col min="50" max="50" width="11.85546875" style="63" bestFit="1" customWidth="1"/>
    <col min="51" max="52" width="13.140625" style="63" customWidth="1"/>
    <col min="53" max="53" width="11.42578125" style="63" customWidth="1"/>
    <col min="54" max="54" width="12.140625" style="63" bestFit="1" customWidth="1"/>
    <col min="55" max="55" width="12.140625" style="63" customWidth="1"/>
    <col min="56" max="56" width="12.140625" style="63" bestFit="1" customWidth="1"/>
    <col min="57" max="57" width="11.42578125" style="63" customWidth="1"/>
    <col min="58" max="58" width="12.85546875" style="63" customWidth="1"/>
    <col min="59" max="59" width="11.85546875" style="63" customWidth="1"/>
    <col min="60" max="60" width="12.7109375" style="63" customWidth="1"/>
    <col min="61" max="63" width="11.42578125" style="63" customWidth="1"/>
    <col min="64" max="64" width="15.7109375" style="63" bestFit="1" customWidth="1"/>
    <col min="65" max="65" width="12.5703125" style="63" customWidth="1"/>
    <col min="66" max="66" width="12.42578125" style="63" customWidth="1"/>
    <col min="67" max="67" width="12.85546875" style="63" customWidth="1"/>
    <col min="68" max="68" width="16.42578125" style="63" customWidth="1"/>
    <col min="69" max="69" width="11.42578125" style="63" customWidth="1"/>
    <col min="70" max="70" width="12.140625" style="63" customWidth="1"/>
    <col min="71" max="71" width="12" style="63" customWidth="1"/>
    <col min="72" max="72" width="11.7109375" style="63" customWidth="1"/>
    <col min="73" max="73" width="11.42578125" style="63" customWidth="1"/>
    <col min="74" max="74" width="12.140625" style="63" bestFit="1" customWidth="1"/>
    <col min="75" max="75" width="13.28515625" style="63" customWidth="1"/>
    <col min="76" max="76" width="12.5703125" style="63" bestFit="1" customWidth="1"/>
    <col min="77" max="77" width="11.42578125" style="63" customWidth="1"/>
    <col min="78" max="78" width="11.7109375" style="63" customWidth="1"/>
    <col min="79" max="79" width="11.42578125" style="63" customWidth="1"/>
    <col min="80" max="80" width="10.42578125" style="63" customWidth="1"/>
    <col min="81" max="81" width="11.42578125" style="63"/>
    <col min="82" max="82" width="14.85546875" style="63" customWidth="1"/>
    <col min="83" max="83" width="11.85546875" style="63" bestFit="1" customWidth="1"/>
    <col min="84" max="84" width="14" style="63" customWidth="1"/>
    <col min="85" max="85" width="11.42578125" style="63"/>
    <col min="86" max="86" width="12.7109375" style="63" customWidth="1"/>
    <col min="87" max="87" width="11.42578125" style="63"/>
    <col min="88" max="88" width="10.7109375" style="63" customWidth="1"/>
    <col min="89" max="89" width="11.42578125" style="63" customWidth="1"/>
    <col min="90" max="90" width="12.140625" style="63" customWidth="1"/>
    <col min="91" max="91" width="12.7109375" style="63" customWidth="1"/>
    <col min="92" max="92" width="13" style="63" customWidth="1"/>
    <col min="93" max="94" width="11.42578125" style="63" customWidth="1"/>
    <col min="95" max="95" width="12.42578125" style="63" customWidth="1"/>
    <col min="96" max="96" width="10.85546875" style="63" bestFit="1" customWidth="1"/>
    <col min="97" max="97" width="11.42578125" style="63" customWidth="1"/>
    <col min="98" max="98" width="12.140625" style="63" customWidth="1"/>
    <col min="99" max="99" width="12.5703125" style="63" customWidth="1"/>
    <col min="100" max="100" width="14.28515625" style="63" customWidth="1"/>
    <col min="101" max="101" width="11.42578125" style="63" customWidth="1"/>
    <col min="102" max="102" width="12.140625" style="63" bestFit="1" customWidth="1"/>
    <col min="103" max="103" width="11.42578125" style="63" customWidth="1"/>
    <col min="104" max="104" width="12" style="63" customWidth="1"/>
    <col min="105" max="105" width="12.28515625" style="63" customWidth="1"/>
    <col min="106" max="106" width="13.85546875" style="63" customWidth="1"/>
    <col min="107" max="107" width="12.5703125" style="63" customWidth="1"/>
    <col min="108" max="108" width="16.5703125" style="63" customWidth="1"/>
    <col min="109" max="109" width="11.85546875" style="63" customWidth="1"/>
    <col min="110" max="111" width="11.42578125" style="63" customWidth="1"/>
    <col min="112" max="112" width="10.7109375" style="63" bestFit="1" customWidth="1"/>
    <col min="113" max="113" width="11.42578125" style="63" customWidth="1"/>
    <col min="114" max="114" width="12.85546875" style="63" customWidth="1"/>
    <col min="115" max="115" width="12.5703125" style="63" customWidth="1"/>
    <col min="116" max="116" width="14.42578125" style="63" customWidth="1"/>
    <col min="117" max="117" width="11.42578125" style="63" customWidth="1"/>
    <col min="118" max="118" width="11.28515625" style="63" customWidth="1"/>
    <col min="119" max="119" width="11.85546875" style="63" customWidth="1"/>
    <col min="120" max="120" width="11.28515625" style="63" customWidth="1"/>
    <col min="121" max="121" width="11.42578125" style="63" customWidth="1"/>
    <col min="122" max="122" width="13.42578125" style="63" customWidth="1"/>
    <col min="123" max="123" width="12.140625" style="63" customWidth="1"/>
    <col min="124" max="124" width="14.85546875" style="63" customWidth="1"/>
    <col min="125" max="126" width="11.42578125" style="63" customWidth="1"/>
    <col min="127" max="127" width="12.28515625" style="63" customWidth="1"/>
    <col min="128" max="128" width="6.7109375" style="63" customWidth="1"/>
    <col min="129" max="129" width="11.42578125" style="63" customWidth="1"/>
    <col min="130" max="130" width="13.28515625" style="63" customWidth="1"/>
    <col min="131" max="131" width="12.5703125" style="63" customWidth="1"/>
    <col min="132" max="132" width="12.140625" style="63" customWidth="1"/>
    <col min="133" max="135" width="11.42578125" style="63" customWidth="1"/>
    <col min="136" max="136" width="5.7109375" style="63" customWidth="1"/>
    <col min="137" max="137" width="11.42578125" style="63" customWidth="1"/>
    <col min="138" max="138" width="13" style="63" customWidth="1"/>
    <col min="139" max="140" width="11.85546875" style="63" customWidth="1"/>
    <col min="141" max="143" width="11.42578125" style="63" customWidth="1"/>
    <col min="144" max="144" width="15.42578125" style="63" customWidth="1"/>
    <col min="145" max="145" width="11.42578125" style="63" customWidth="1"/>
    <col min="146" max="146" width="12.85546875" style="63" customWidth="1"/>
    <col min="147" max="147" width="13.28515625" style="63" customWidth="1"/>
    <col min="148" max="148" width="13.7109375" style="63" customWidth="1"/>
    <col min="149" max="150" width="11.42578125" style="63" customWidth="1"/>
    <col min="151" max="151" width="12.140625" style="63" customWidth="1"/>
    <col min="152" max="152" width="7.140625" style="63" customWidth="1"/>
    <col min="153" max="153" width="11.42578125" style="63" customWidth="1"/>
    <col min="154" max="154" width="12.140625" style="63" customWidth="1"/>
    <col min="155" max="156" width="13.5703125" style="63" customWidth="1"/>
    <col min="157" max="157" width="11.42578125" style="63" customWidth="1"/>
    <col min="158" max="158" width="12.42578125" style="63" customWidth="1"/>
    <col min="159" max="159" width="11.42578125" style="63" customWidth="1"/>
    <col min="160" max="160" width="10" style="63" customWidth="1"/>
    <col min="161" max="161" width="11.42578125" style="63" customWidth="1"/>
    <col min="162" max="162" width="12" style="63" customWidth="1"/>
    <col min="163" max="163" width="12.5703125" style="63" customWidth="1"/>
    <col min="164" max="164" width="13" style="63" customWidth="1"/>
    <col min="165" max="166" width="12.28515625" style="63" customWidth="1"/>
    <col min="167" max="167" width="12.140625" style="63" customWidth="1"/>
    <col min="168" max="168" width="11" style="63" customWidth="1"/>
    <col min="169" max="169" width="11.42578125" style="63" customWidth="1"/>
    <col min="170" max="170" width="12.5703125" style="63" customWidth="1"/>
    <col min="171" max="171" width="13.7109375" style="63" customWidth="1"/>
    <col min="172" max="172" width="13.5703125" style="63" customWidth="1"/>
    <col min="173" max="175" width="11.42578125" style="63" customWidth="1"/>
    <col min="176" max="176" width="7.28515625" style="63" customWidth="1"/>
    <col min="177" max="177" width="11.42578125" style="63"/>
    <col min="178" max="178" width="11.85546875" style="63" bestFit="1" customWidth="1"/>
    <col min="179" max="179" width="12.140625" style="63" bestFit="1" customWidth="1"/>
    <col min="180" max="180" width="12.85546875" style="63" customWidth="1"/>
    <col min="181" max="181" width="11.42578125" style="63"/>
    <col min="182" max="182" width="11.7109375" style="63" customWidth="1"/>
    <col min="183" max="183" width="13.85546875" style="63" customWidth="1"/>
    <col min="184" max="184" width="12" style="63" customWidth="1"/>
    <col min="185" max="185" width="11.28515625" style="63" customWidth="1"/>
    <col min="186" max="186" width="11.85546875" style="63" bestFit="1" customWidth="1"/>
    <col min="187" max="187" width="11.42578125" style="63"/>
    <col min="188" max="188" width="12.85546875" style="63" customWidth="1"/>
    <col min="189" max="189" width="11.42578125" style="63"/>
    <col min="190" max="190" width="13" style="63" customWidth="1"/>
    <col min="191" max="191" width="11.42578125" style="63"/>
    <col min="192" max="192" width="14.7109375" style="63" customWidth="1"/>
    <col min="193" max="193" width="11.42578125" style="63" customWidth="1"/>
    <col min="194" max="194" width="12.5703125" style="63" customWidth="1"/>
    <col min="195" max="195" width="13.5703125" style="63" customWidth="1"/>
    <col min="196" max="196" width="12.85546875" style="63" customWidth="1"/>
    <col min="197" max="199" width="11.42578125" style="63" customWidth="1"/>
    <col min="200" max="200" width="11.140625" style="63" customWidth="1"/>
    <col min="201" max="201" width="11.42578125" style="63" customWidth="1"/>
    <col min="202" max="202" width="15.5703125" style="63" customWidth="1"/>
    <col min="203" max="203" width="11.85546875" style="63" customWidth="1"/>
    <col min="204" max="204" width="14.28515625" style="63" customWidth="1"/>
    <col min="205" max="205" width="11.42578125" style="63" customWidth="1"/>
    <col min="206" max="206" width="12.42578125" style="63" customWidth="1"/>
    <col min="207" max="207" width="12.85546875" style="63" customWidth="1"/>
    <col min="208" max="208" width="10.7109375" style="63" customWidth="1"/>
    <col min="209" max="209" width="11.42578125" style="63" customWidth="1"/>
    <col min="210" max="211" width="11.85546875" style="63" bestFit="1" customWidth="1"/>
    <col min="212" max="212" width="13" style="63" customWidth="1"/>
    <col min="213" max="215" width="11.42578125" style="63" customWidth="1"/>
    <col min="216" max="216" width="11.5703125" style="63" customWidth="1"/>
    <col min="217" max="217" width="11.42578125" style="63" customWidth="1"/>
    <col min="218" max="220" width="12.85546875" style="63" bestFit="1" customWidth="1"/>
    <col min="221" max="222" width="11.42578125" style="63" customWidth="1"/>
    <col min="223" max="223" width="12.7109375" style="63" customWidth="1"/>
    <col min="224" max="224" width="10.7109375" style="63" bestFit="1" customWidth="1"/>
    <col min="225" max="225" width="11.42578125" style="63" customWidth="1"/>
    <col min="226" max="226" width="13.5703125" style="63" customWidth="1"/>
    <col min="227" max="227" width="11.85546875" style="63" bestFit="1" customWidth="1"/>
    <col min="228" max="228" width="13.140625" style="63" customWidth="1"/>
    <col min="229" max="230" width="11.42578125" style="63" customWidth="1"/>
    <col min="231" max="232" width="12.140625" style="63" customWidth="1"/>
    <col min="233" max="233" width="11.42578125" style="63" customWidth="1"/>
    <col min="234" max="234" width="12.28515625" style="63" customWidth="1"/>
    <col min="235" max="235" width="11.85546875" style="63" customWidth="1"/>
    <col min="236" max="236" width="13" style="63" customWidth="1"/>
    <col min="237" max="243" width="11.42578125" style="63" customWidth="1"/>
    <col min="244" max="244" width="12.5703125" style="63" customWidth="1"/>
    <col min="245" max="249" width="11.42578125" style="63" customWidth="1"/>
    <col min="250" max="250" width="12.5703125" style="63" customWidth="1"/>
    <col min="251" max="251" width="12.140625" style="63" customWidth="1"/>
    <col min="252" max="252" width="13.28515625" style="63" customWidth="1"/>
    <col min="253" max="258" width="11.42578125" style="63" customWidth="1"/>
    <col min="259" max="259" width="11.85546875" style="63" customWidth="1"/>
    <col min="260" max="260" width="13.85546875" style="63" customWidth="1"/>
    <col min="261" max="262" width="11.42578125" style="63" customWidth="1"/>
    <col min="263" max="263" width="12.85546875" style="63" customWidth="1"/>
    <col min="264" max="267" width="11.42578125" style="63" customWidth="1"/>
    <col min="268" max="268" width="13" style="63" customWidth="1"/>
    <col min="269" max="273" width="11.42578125" style="63" customWidth="1"/>
    <col min="274" max="274" width="12.140625" style="63" customWidth="1"/>
    <col min="275" max="275" width="11.42578125" style="63" customWidth="1"/>
    <col min="276" max="276" width="13.5703125" style="63" customWidth="1"/>
    <col min="277" max="277" width="11.42578125" style="63" customWidth="1"/>
    <col min="278" max="278" width="12.85546875" style="63" customWidth="1"/>
    <col min="279" max="279" width="12.28515625" style="63" customWidth="1"/>
    <col min="280" max="287" width="11.42578125" style="63"/>
    <col min="288" max="290" width="11.42578125" style="63" customWidth="1"/>
    <col min="291" max="291" width="12.28515625" style="63" customWidth="1"/>
    <col min="292" max="292" width="14.42578125" style="63" customWidth="1"/>
    <col min="293" max="294" width="11.42578125" style="63" customWidth="1"/>
    <col min="295" max="295" width="12" style="63" customWidth="1"/>
    <col min="296" max="296" width="12.140625" style="63" bestFit="1" customWidth="1"/>
    <col min="297" max="297" width="13.28515625" style="63" customWidth="1"/>
    <col min="298" max="298" width="12.5703125" style="63" bestFit="1" customWidth="1"/>
    <col min="299" max="299" width="11.42578125" style="63"/>
    <col min="300" max="300" width="12.5703125" style="63" bestFit="1" customWidth="1"/>
    <col min="301" max="302" width="11.42578125" style="63"/>
    <col min="303" max="303" width="12.28515625" style="63" customWidth="1"/>
    <col min="304" max="304" width="13.140625" style="63" customWidth="1"/>
    <col min="305" max="305" width="11.42578125" style="63" customWidth="1"/>
    <col min="306" max="307" width="12.140625" style="63" customWidth="1"/>
    <col min="308" max="312" width="11.42578125" style="63" customWidth="1"/>
    <col min="313" max="313" width="11.42578125" style="63"/>
    <col min="314" max="314" width="12.140625" style="63" customWidth="1"/>
    <col min="315" max="315" width="11.42578125" style="63"/>
    <col min="316" max="316" width="12.85546875" style="63" customWidth="1"/>
    <col min="317" max="317" width="11.42578125" style="63"/>
    <col min="318" max="318" width="12.140625" style="63" customWidth="1"/>
    <col min="319" max="319" width="13.28515625" style="63" customWidth="1"/>
    <col min="320" max="320" width="12.28515625" style="63" customWidth="1"/>
    <col min="321" max="321" width="11.42578125" style="63" customWidth="1"/>
    <col min="322" max="322" width="13.42578125" style="63" customWidth="1"/>
    <col min="323" max="323" width="12.5703125" style="63" customWidth="1"/>
    <col min="324" max="324" width="12.28515625" style="63" customWidth="1"/>
    <col min="325" max="326" width="11.42578125" style="63" customWidth="1"/>
    <col min="327" max="327" width="12" style="63" customWidth="1"/>
    <col min="328" max="328" width="11.42578125" style="63" customWidth="1"/>
    <col min="329" max="329" width="11.42578125" style="63"/>
    <col min="330" max="330" width="11.7109375" style="63" bestFit="1" customWidth="1"/>
    <col min="331" max="331" width="11.28515625" style="63" customWidth="1"/>
    <col min="332" max="336" width="11.42578125" style="63"/>
    <col min="337" max="337" width="11.42578125" style="63" customWidth="1"/>
    <col min="338" max="338" width="12.140625" style="63" customWidth="1"/>
    <col min="339" max="344" width="11.42578125" style="63" customWidth="1"/>
    <col min="345" max="345" width="11.42578125" style="63"/>
    <col min="346" max="346" width="11.85546875" style="63" bestFit="1" customWidth="1"/>
    <col min="347" max="347" width="12.140625" style="63" bestFit="1" customWidth="1"/>
    <col min="348" max="348" width="13" style="63" customWidth="1"/>
    <col min="349" max="353" width="11.42578125" style="63"/>
    <col min="354" max="354" width="14.140625" style="63" customWidth="1"/>
    <col min="355" max="355" width="11.42578125" style="63"/>
    <col min="356" max="356" width="11.85546875" style="63" bestFit="1" customWidth="1"/>
    <col min="357" max="357" width="11.42578125" style="63"/>
    <col min="358" max="358" width="14.28515625" style="63" customWidth="1"/>
    <col min="359" max="359" width="12" style="63" customWidth="1"/>
    <col min="360" max="360" width="11.42578125" style="63"/>
    <col min="361" max="361" width="11.42578125" style="63" customWidth="1"/>
    <col min="362" max="362" width="12.5703125" style="63" customWidth="1"/>
    <col min="363" max="363" width="13.140625" style="63" customWidth="1"/>
    <col min="364" max="369" width="11.42578125" style="63" customWidth="1"/>
    <col min="370" max="370" width="11.85546875" style="63" customWidth="1"/>
    <col min="371" max="371" width="11.42578125" style="63" customWidth="1"/>
    <col min="372" max="372" width="13.42578125" style="63" customWidth="1"/>
    <col min="373" max="374" width="11.42578125" style="63" customWidth="1"/>
    <col min="375" max="375" width="12.28515625" style="63" customWidth="1"/>
    <col min="376" max="377" width="11.42578125" style="63" customWidth="1"/>
    <col min="378" max="379" width="11.85546875" style="63" customWidth="1"/>
    <col min="380" max="380" width="12" style="63" customWidth="1"/>
    <col min="381" max="382" width="11.42578125" style="63" customWidth="1"/>
    <col min="383" max="383" width="12.140625" style="63" customWidth="1"/>
    <col min="384" max="385" width="11.42578125" style="63" customWidth="1"/>
    <col min="386" max="386" width="12.42578125" style="63" customWidth="1"/>
    <col min="387" max="387" width="11.42578125" style="63" customWidth="1"/>
    <col min="388" max="388" width="12.28515625" style="63" customWidth="1"/>
    <col min="389" max="393" width="11.42578125" style="63" customWidth="1"/>
    <col min="394" max="394" width="11.7109375" style="63" customWidth="1"/>
    <col min="395" max="395" width="14.7109375" style="63" customWidth="1"/>
    <col min="396" max="396" width="11.85546875" style="63" customWidth="1"/>
    <col min="397" max="400" width="11.42578125" style="63" customWidth="1"/>
    <col min="401" max="401" width="11.42578125" style="63"/>
    <col min="402" max="402" width="11.85546875" style="63" bestFit="1" customWidth="1"/>
    <col min="403" max="403" width="11.42578125" style="63"/>
    <col min="404" max="404" width="11.85546875" style="63" bestFit="1" customWidth="1"/>
    <col min="405" max="405" width="11.42578125" style="63"/>
    <col min="406" max="406" width="12.85546875" style="63" customWidth="1"/>
    <col min="407" max="408" width="11.42578125" style="63"/>
    <col min="409" max="409" width="11.42578125" style="63" customWidth="1"/>
    <col min="410" max="410" width="12.42578125" style="63" customWidth="1"/>
    <col min="411" max="411" width="11.42578125" style="63" customWidth="1"/>
    <col min="412" max="412" width="12.85546875" style="63" customWidth="1"/>
    <col min="413" max="416" width="11.42578125" style="63" customWidth="1"/>
    <col min="417" max="417" width="11.42578125" style="63"/>
    <col min="418" max="418" width="11.85546875" style="63" bestFit="1" customWidth="1"/>
    <col min="419" max="419" width="11.42578125" style="63"/>
    <col min="420" max="420" width="12.5703125" style="63" bestFit="1" customWidth="1"/>
    <col min="421" max="423" width="11.42578125" style="63"/>
    <col min="424" max="424" width="11.85546875" style="63" bestFit="1" customWidth="1"/>
    <col min="425" max="425" width="11.42578125" style="63"/>
    <col min="426" max="426" width="12.85546875" style="63" bestFit="1" customWidth="1"/>
    <col min="427" max="427" width="11.42578125" style="63"/>
    <col min="428" max="428" width="15.140625" style="63" customWidth="1"/>
    <col min="429" max="430" width="11.42578125" style="63"/>
    <col min="431" max="431" width="11.85546875" style="63" bestFit="1" customWidth="1"/>
    <col min="432" max="432" width="11.42578125" style="63"/>
    <col min="433" max="433" width="11.42578125" style="63" customWidth="1"/>
    <col min="434" max="434" width="12.28515625" style="63" customWidth="1"/>
    <col min="435" max="436" width="12.5703125" style="63" customWidth="1"/>
    <col min="437" max="437" width="11.42578125" style="63" customWidth="1"/>
    <col min="438" max="438" width="10.85546875" style="63" customWidth="1"/>
    <col min="439" max="439" width="11.85546875" style="63" customWidth="1"/>
    <col min="440" max="441" width="11.42578125" style="63" customWidth="1"/>
    <col min="442" max="442" width="12.5703125" style="63" customWidth="1"/>
    <col min="443" max="443" width="11.42578125" style="63" customWidth="1"/>
    <col min="444" max="444" width="12.85546875" style="63" customWidth="1"/>
    <col min="445" max="445" width="11.42578125" style="63" customWidth="1"/>
    <col min="446" max="446" width="12.140625" style="63" customWidth="1"/>
    <col min="447" max="447" width="12.28515625" style="63" customWidth="1"/>
    <col min="448" max="448" width="11.42578125" style="63" customWidth="1"/>
    <col min="449" max="457" width="11.42578125" style="63"/>
    <col min="458" max="458" width="12" style="63" customWidth="1"/>
    <col min="459" max="459" width="11.42578125" style="63"/>
    <col min="460" max="460" width="13.28515625" style="63" customWidth="1"/>
    <col min="461" max="462" width="11.42578125" style="63"/>
    <col min="463" max="463" width="12.28515625" style="63" customWidth="1"/>
    <col min="464" max="464" width="11.42578125" style="63"/>
    <col min="465" max="465" width="11.42578125" style="63" customWidth="1"/>
    <col min="466" max="466" width="12.28515625" style="63" customWidth="1"/>
    <col min="467" max="467" width="11.42578125" style="63" customWidth="1"/>
    <col min="468" max="468" width="12.28515625" style="63" customWidth="1"/>
    <col min="469" max="469" width="11.42578125" style="63" customWidth="1"/>
    <col min="470" max="470" width="10.5703125" style="63" customWidth="1"/>
    <col min="471" max="473" width="11.42578125" style="63" customWidth="1"/>
    <col min="474" max="474" width="11.7109375" style="63" customWidth="1"/>
    <col min="475" max="475" width="11.42578125" style="63" customWidth="1"/>
    <col min="476" max="476" width="12.140625" style="63" customWidth="1"/>
    <col min="477" max="480" width="11.42578125" style="63" customWidth="1"/>
    <col min="481" max="481" width="11.42578125" style="63"/>
    <col min="482" max="482" width="13.5703125" style="63" customWidth="1"/>
    <col min="483" max="483" width="11.42578125" style="63"/>
    <col min="484" max="484" width="12.42578125" style="63" customWidth="1"/>
    <col min="485" max="485" width="11.42578125" style="63"/>
    <col min="486" max="487" width="12" style="63" customWidth="1"/>
    <col min="488" max="488" width="11.42578125" style="63"/>
    <col min="489" max="489" width="11.42578125" style="63" customWidth="1"/>
    <col min="490" max="490" width="12.140625" style="63" customWidth="1"/>
    <col min="491" max="491" width="11.42578125" style="63" customWidth="1"/>
    <col min="492" max="492" width="12.5703125" style="63" customWidth="1"/>
    <col min="493" max="494" width="11.42578125" style="63" customWidth="1"/>
    <col min="495" max="495" width="12.7109375" style="63" customWidth="1"/>
    <col min="496" max="496" width="11.42578125" style="63" customWidth="1"/>
    <col min="497" max="497" width="11.42578125" style="63"/>
    <col min="498" max="498" width="12.5703125" style="63" bestFit="1" customWidth="1"/>
    <col min="499" max="499" width="12.140625" style="63" bestFit="1" customWidth="1"/>
    <col min="500" max="500" width="12.42578125" style="63" customWidth="1"/>
    <col min="501" max="501" width="11.42578125" style="63"/>
    <col min="502" max="502" width="12.42578125" style="63" customWidth="1"/>
    <col min="503" max="503" width="12.5703125" style="63" customWidth="1"/>
    <col min="504" max="504" width="11.42578125" style="63"/>
    <col min="505" max="513" width="11.42578125" style="63" customWidth="1"/>
    <col min="514" max="514" width="12" style="63" customWidth="1"/>
    <col min="515" max="520" width="11.42578125" style="63" customWidth="1"/>
    <col min="521" max="521" width="11.42578125" style="63"/>
    <col min="522" max="522" width="12.28515625" style="63" bestFit="1" customWidth="1"/>
    <col min="523" max="523" width="11.42578125" style="63"/>
    <col min="524" max="524" width="13.140625" style="63" customWidth="1"/>
    <col min="525" max="526" width="11.42578125" style="63"/>
    <col min="527" max="527" width="12.5703125" style="63" customWidth="1"/>
    <col min="528" max="528" width="11.42578125" style="63"/>
    <col min="529" max="529" width="11.42578125" style="63" customWidth="1"/>
    <col min="530" max="530" width="12.140625" style="63" customWidth="1"/>
    <col min="531" max="537" width="11.42578125" style="63" customWidth="1"/>
    <col min="538" max="538" width="12.28515625" style="63" customWidth="1"/>
    <col min="539" max="539" width="11.42578125" style="63" customWidth="1"/>
    <col min="540" max="540" width="12.85546875" style="63" customWidth="1"/>
    <col min="541" max="542" width="11.42578125" style="63" customWidth="1"/>
    <col min="543" max="543" width="13" style="63" customWidth="1"/>
    <col min="544" max="545" width="11.42578125" style="63" customWidth="1"/>
    <col min="546" max="546" width="11.85546875" style="63" customWidth="1"/>
    <col min="547" max="547" width="11.42578125" style="63" customWidth="1"/>
    <col min="548" max="548" width="14" style="63" customWidth="1"/>
    <col min="549" max="554" width="11.42578125" style="63" customWidth="1"/>
    <col min="555" max="555" width="11.5703125" style="63" customWidth="1"/>
    <col min="556" max="561" width="11.42578125" style="63" customWidth="1"/>
    <col min="562" max="563" width="11.85546875" style="63" customWidth="1"/>
    <col min="564" max="564" width="12.7109375" style="63" customWidth="1"/>
    <col min="565" max="570" width="11.42578125" style="63" customWidth="1"/>
    <col min="571" max="571" width="14.42578125" style="63" customWidth="1"/>
    <col min="572" max="572" width="11.5703125" style="63" customWidth="1"/>
    <col min="573" max="579" width="11.42578125" style="63" customWidth="1"/>
    <col min="580" max="580" width="12" style="63" customWidth="1"/>
    <col min="581" max="600" width="11.42578125" style="63" customWidth="1"/>
    <col min="601" max="608" width="11.42578125" style="63"/>
    <col min="609" max="625" width="11.42578125" style="63" customWidth="1"/>
    <col min="626" max="626" width="12.5703125" style="63" customWidth="1"/>
    <col min="627" max="627" width="11.42578125" style="63" customWidth="1"/>
    <col min="628" max="628" width="12.7109375" style="63" customWidth="1"/>
    <col min="629" max="631" width="11.42578125" style="63" customWidth="1"/>
    <col min="632" max="632" width="11.42578125" style="63"/>
    <col min="633" max="635" width="11.42578125" style="63" customWidth="1"/>
    <col min="636" max="636" width="12.7109375" style="63" customWidth="1"/>
    <col min="637" max="673" width="11.42578125" style="63" customWidth="1"/>
    <col min="674" max="675" width="11.85546875" style="63" customWidth="1"/>
    <col min="676" max="676" width="14.5703125" style="63" customWidth="1"/>
    <col min="677" max="759" width="11.42578125" style="63" customWidth="1"/>
    <col min="760" max="16384" width="11.42578125" style="63"/>
  </cols>
  <sheetData>
    <row r="1" spans="1:759" x14ac:dyDescent="0.25">
      <c r="B1"/>
      <c r="PN1"/>
      <c r="PO1" s="162"/>
    </row>
    <row r="2" spans="1:759" ht="25.5" customHeight="1" x14ac:dyDescent="0.35">
      <c r="B2" s="64" t="s">
        <v>73</v>
      </c>
      <c r="N2" s="65"/>
      <c r="O2" s="65"/>
      <c r="V2" t="s">
        <v>82</v>
      </c>
      <c r="AA2"/>
      <c r="AK2" s="63">
        <f>2433.92+2433.95</f>
        <v>4867.87</v>
      </c>
      <c r="AN2" s="63">
        <v>7301.89</v>
      </c>
      <c r="AO2" s="63">
        <v>2433.9499999999998</v>
      </c>
      <c r="AP2" s="63">
        <f>AN2-AO2</f>
        <v>4867.9400000000005</v>
      </c>
      <c r="CQ2"/>
      <c r="DV2"/>
      <c r="EC2"/>
      <c r="ED2"/>
      <c r="EE2" s="181"/>
      <c r="EL2"/>
      <c r="FO2"/>
      <c r="GA2"/>
      <c r="GF2"/>
      <c r="GG2"/>
      <c r="GH2" s="181"/>
      <c r="II2" s="63" t="s">
        <v>44</v>
      </c>
      <c r="KB2" s="63" t="s">
        <v>44</v>
      </c>
      <c r="PN2" s="187"/>
    </row>
    <row r="3" spans="1:759" ht="18" customHeight="1" x14ac:dyDescent="0.3">
      <c r="B3" s="286"/>
      <c r="H3"/>
      <c r="N3" s="65"/>
      <c r="O3" s="65"/>
      <c r="AE3" s="182"/>
      <c r="DL3" s="290"/>
      <c r="DV3"/>
      <c r="FG3" s="431"/>
      <c r="FH3" s="432"/>
      <c r="FI3" s="432"/>
      <c r="FK3" s="181"/>
      <c r="FO3"/>
      <c r="FR3"/>
      <c r="FU3"/>
      <c r="GM3" s="431"/>
      <c r="GN3" s="432"/>
      <c r="GO3" s="432"/>
      <c r="IE3" s="181"/>
      <c r="IK3"/>
      <c r="IS3"/>
      <c r="IT3"/>
      <c r="SC3"/>
    </row>
    <row r="4" spans="1:759" ht="14.1" customHeight="1" x14ac:dyDescent="0.3">
      <c r="B4" s="329"/>
      <c r="C4" s="431" t="s">
        <v>84</v>
      </c>
      <c r="D4" s="432"/>
      <c r="E4" s="432"/>
      <c r="F4" s="181"/>
      <c r="G4" s="181">
        <v>0.05</v>
      </c>
      <c r="K4" s="431" t="s">
        <v>85</v>
      </c>
      <c r="L4" s="432"/>
      <c r="M4" s="432"/>
      <c r="O4" s="332">
        <v>0.03</v>
      </c>
      <c r="T4" s="330" t="s">
        <v>86</v>
      </c>
      <c r="W4" s="181">
        <v>0.02</v>
      </c>
      <c r="AB4" t="s">
        <v>87</v>
      </c>
      <c r="AD4" s="181">
        <v>0.02</v>
      </c>
      <c r="AE4" s="181"/>
      <c r="AJ4" t="s">
        <v>88</v>
      </c>
      <c r="AL4" s="182">
        <v>0.04</v>
      </c>
      <c r="AM4" s="181"/>
      <c r="AR4" t="s">
        <v>89</v>
      </c>
      <c r="AT4" s="181">
        <v>3.5000000000000003E-2</v>
      </c>
      <c r="AZ4" t="s">
        <v>90</v>
      </c>
      <c r="BC4" s="332">
        <v>3.5000000000000003E-2</v>
      </c>
      <c r="BH4" t="s">
        <v>91</v>
      </c>
      <c r="BJ4" s="332">
        <v>4.4999999999999998E-2</v>
      </c>
      <c r="BK4" s="181"/>
      <c r="BO4" s="442" t="s">
        <v>92</v>
      </c>
      <c r="BP4" s="442"/>
      <c r="BQ4" s="332">
        <v>4.4999999999999998E-2</v>
      </c>
      <c r="BW4" t="s">
        <v>93</v>
      </c>
      <c r="BX4"/>
      <c r="BZ4" s="332">
        <v>0.05</v>
      </c>
      <c r="CC4" s="181"/>
      <c r="CF4">
        <v>0</v>
      </c>
      <c r="CH4" s="181">
        <v>4.4999999999999998E-2</v>
      </c>
      <c r="CM4" s="431">
        <v>0</v>
      </c>
      <c r="CN4" s="432"/>
      <c r="CO4" s="432"/>
      <c r="CP4" s="254"/>
      <c r="CQ4" s="334">
        <v>0.04</v>
      </c>
      <c r="CU4" s="431">
        <v>0</v>
      </c>
      <c r="CV4" s="431"/>
      <c r="CW4" s="431"/>
      <c r="CX4" s="399">
        <v>4.4999999999999998E-2</v>
      </c>
      <c r="CY4" s="182"/>
      <c r="DD4">
        <v>0</v>
      </c>
      <c r="DF4" s="332">
        <v>4.4999999999999998E-2</v>
      </c>
      <c r="DG4" s="182"/>
      <c r="DI4" s="124"/>
      <c r="DJ4" s="124"/>
      <c r="DK4" s="124"/>
      <c r="DL4" s="13">
        <v>0</v>
      </c>
      <c r="DM4" s="124"/>
      <c r="DN4" s="124"/>
      <c r="DO4" s="331">
        <v>0.04</v>
      </c>
      <c r="DQ4"/>
      <c r="DS4" s="431">
        <v>0</v>
      </c>
      <c r="DT4" s="432"/>
      <c r="DU4" s="432"/>
      <c r="DV4" s="181">
        <v>3.7999999999999999E-2</v>
      </c>
      <c r="EA4" s="431">
        <v>0</v>
      </c>
      <c r="EB4" s="431"/>
      <c r="ED4" s="334"/>
      <c r="EE4" s="181">
        <v>4.4999999999999998E-2</v>
      </c>
      <c r="EI4"/>
      <c r="EJ4">
        <v>0</v>
      </c>
      <c r="EL4" s="332">
        <v>4.4999999999999998E-2</v>
      </c>
      <c r="EM4" s="181"/>
      <c r="ER4">
        <v>0</v>
      </c>
      <c r="ET4" s="182"/>
      <c r="EU4" s="181">
        <v>4.4999999999999998E-2</v>
      </c>
      <c r="EY4" s="431">
        <v>0</v>
      </c>
      <c r="EZ4" s="432"/>
      <c r="FA4" s="432"/>
      <c r="FB4" s="181">
        <v>4.4999999999999998E-2</v>
      </c>
      <c r="FG4" s="431">
        <v>0</v>
      </c>
      <c r="FH4" s="432"/>
      <c r="FI4" s="432"/>
      <c r="FK4" s="182">
        <v>0.04</v>
      </c>
      <c r="FO4" s="431">
        <v>0</v>
      </c>
      <c r="FP4" s="432"/>
      <c r="FQ4" s="432"/>
      <c r="FR4" s="254"/>
      <c r="FS4" s="332">
        <v>4.4999999999999998E-2</v>
      </c>
      <c r="FU4" s="198"/>
      <c r="FV4"/>
      <c r="FW4" s="431">
        <v>0</v>
      </c>
      <c r="FX4" s="431"/>
      <c r="FY4" s="431"/>
      <c r="GA4" s="181">
        <v>2.5000000000000001E-2</v>
      </c>
      <c r="GC4"/>
      <c r="GE4" s="431">
        <v>0</v>
      </c>
      <c r="GF4" s="432"/>
      <c r="GG4" s="432"/>
      <c r="GH4" s="181"/>
      <c r="GI4" s="181">
        <v>4.4999999999999998E-2</v>
      </c>
      <c r="GM4" s="431">
        <v>0</v>
      </c>
      <c r="GN4" s="431"/>
      <c r="GO4" s="431"/>
      <c r="GP4" s="431"/>
      <c r="GQ4" s="181">
        <v>4.4999999999999998E-2</v>
      </c>
      <c r="GU4" s="431">
        <v>0</v>
      </c>
      <c r="GV4" s="432"/>
      <c r="GW4" s="432"/>
      <c r="GX4" s="332">
        <v>0.04</v>
      </c>
      <c r="HC4" s="431">
        <v>0</v>
      </c>
      <c r="HD4" s="432"/>
      <c r="HE4" s="432"/>
      <c r="HF4"/>
      <c r="HG4" s="181"/>
      <c r="HK4" s="431">
        <v>0</v>
      </c>
      <c r="HL4" s="432"/>
      <c r="HM4" s="432"/>
      <c r="HN4" s="182"/>
      <c r="HO4" s="181">
        <v>4.4999999999999998E-2</v>
      </c>
      <c r="HT4" s="13">
        <v>0</v>
      </c>
      <c r="HU4"/>
      <c r="HV4" s="181"/>
      <c r="HW4" s="181"/>
      <c r="IB4">
        <v>0</v>
      </c>
      <c r="ID4" s="332"/>
      <c r="IJ4">
        <v>0</v>
      </c>
      <c r="IM4" s="182"/>
      <c r="IR4">
        <v>0</v>
      </c>
      <c r="IZ4">
        <v>0</v>
      </c>
      <c r="JC4" s="181"/>
      <c r="JG4" s="431">
        <v>0</v>
      </c>
      <c r="JH4" s="432"/>
      <c r="JI4" s="432"/>
      <c r="JM4"/>
      <c r="JP4">
        <v>0</v>
      </c>
      <c r="JU4"/>
      <c r="JW4" s="431">
        <v>0</v>
      </c>
      <c r="JX4" s="432"/>
      <c r="JY4" s="432"/>
      <c r="KE4" s="431">
        <v>0</v>
      </c>
      <c r="KF4" s="432"/>
      <c r="KG4" s="432"/>
      <c r="KK4"/>
      <c r="KM4" s="431">
        <v>0</v>
      </c>
      <c r="KN4" s="432"/>
      <c r="KO4" s="432"/>
      <c r="KU4" s="431">
        <v>0</v>
      </c>
      <c r="KV4" s="432"/>
      <c r="KW4" s="432"/>
      <c r="LA4"/>
      <c r="LB4" s="198"/>
      <c r="LC4" s="432">
        <v>0</v>
      </c>
      <c r="LD4" s="432"/>
      <c r="LE4" s="432"/>
      <c r="LK4" s="431">
        <v>0</v>
      </c>
      <c r="LL4" s="432"/>
      <c r="LM4" s="432"/>
      <c r="LQ4"/>
      <c r="LS4">
        <v>0</v>
      </c>
      <c r="MA4" s="433">
        <v>0</v>
      </c>
      <c r="MB4" s="434"/>
      <c r="MI4" s="431">
        <v>0</v>
      </c>
      <c r="MJ4" s="432"/>
      <c r="MK4" s="432"/>
      <c r="MO4"/>
      <c r="MQ4">
        <v>0</v>
      </c>
      <c r="MY4" s="435">
        <v>0</v>
      </c>
      <c r="MZ4" s="436"/>
      <c r="NG4">
        <v>0</v>
      </c>
      <c r="NJ4"/>
      <c r="NO4">
        <v>0</v>
      </c>
      <c r="NW4" s="431">
        <v>0</v>
      </c>
      <c r="NX4" s="432"/>
      <c r="NY4"/>
      <c r="OE4" s="431">
        <v>0</v>
      </c>
      <c r="OF4" s="432"/>
      <c r="OM4" s="431">
        <v>0</v>
      </c>
      <c r="ON4" s="431"/>
      <c r="OO4" s="431"/>
      <c r="OU4" s="431">
        <v>0</v>
      </c>
      <c r="OV4" s="432"/>
      <c r="PA4"/>
      <c r="PC4" s="431">
        <v>0</v>
      </c>
      <c r="PD4" s="432"/>
      <c r="PI4"/>
      <c r="PK4" s="431">
        <v>0</v>
      </c>
      <c r="PL4" s="432"/>
      <c r="PS4" s="431">
        <v>0</v>
      </c>
      <c r="PT4" s="432"/>
      <c r="PU4" s="432"/>
      <c r="QA4" s="432">
        <v>0</v>
      </c>
      <c r="QB4" s="432"/>
      <c r="QC4" s="432"/>
      <c r="QG4" s="198"/>
      <c r="QI4" s="431">
        <v>0</v>
      </c>
      <c r="QJ4" s="432"/>
      <c r="QK4" s="432"/>
      <c r="QO4"/>
      <c r="QQ4" s="431">
        <v>0</v>
      </c>
      <c r="QR4" s="432"/>
      <c r="QS4" s="432"/>
      <c r="QT4"/>
      <c r="QY4" s="431">
        <v>0</v>
      </c>
      <c r="QZ4" s="432"/>
      <c r="RA4" s="432"/>
      <c r="RG4">
        <v>0</v>
      </c>
      <c r="RI4"/>
      <c r="RO4">
        <v>0</v>
      </c>
      <c r="RU4" s="198"/>
      <c r="RW4">
        <v>0</v>
      </c>
      <c r="SA4" s="182"/>
      <c r="SC4" s="182"/>
      <c r="SE4">
        <v>0</v>
      </c>
      <c r="SG4"/>
      <c r="SM4">
        <v>0</v>
      </c>
      <c r="SU4">
        <v>0</v>
      </c>
      <c r="TC4">
        <v>0</v>
      </c>
      <c r="TE4"/>
      <c r="TK4">
        <v>0</v>
      </c>
      <c r="TQ4"/>
      <c r="TS4">
        <v>0</v>
      </c>
      <c r="UA4">
        <v>0</v>
      </c>
      <c r="UI4">
        <v>0</v>
      </c>
      <c r="UQ4">
        <v>0</v>
      </c>
      <c r="UY4">
        <v>0</v>
      </c>
      <c r="UZ4"/>
      <c r="VG4" s="40">
        <v>0</v>
      </c>
      <c r="VM4"/>
      <c r="VO4">
        <v>0</v>
      </c>
      <c r="VW4">
        <v>0</v>
      </c>
      <c r="WC4"/>
      <c r="WE4">
        <v>0</v>
      </c>
      <c r="WM4">
        <v>0</v>
      </c>
      <c r="WU4">
        <v>0</v>
      </c>
      <c r="WV4"/>
      <c r="WW4"/>
      <c r="XC4">
        <v>0</v>
      </c>
      <c r="XK4">
        <v>0</v>
      </c>
      <c r="XS4">
        <v>0</v>
      </c>
      <c r="YA4">
        <v>0</v>
      </c>
      <c r="YI4">
        <v>0</v>
      </c>
      <c r="YQ4">
        <v>0</v>
      </c>
      <c r="YY4">
        <v>0</v>
      </c>
      <c r="ZG4">
        <v>0</v>
      </c>
      <c r="ZI4"/>
      <c r="ZO4">
        <v>0</v>
      </c>
      <c r="ZR4"/>
      <c r="ZW4">
        <v>0</v>
      </c>
      <c r="ZZ4"/>
      <c r="AAE4">
        <v>0</v>
      </c>
      <c r="AAM4">
        <v>0</v>
      </c>
      <c r="AAU4">
        <v>0</v>
      </c>
      <c r="AAW4"/>
      <c r="ABC4">
        <v>0</v>
      </c>
      <c r="ABF4"/>
      <c r="ABK4">
        <v>0</v>
      </c>
      <c r="ABS4">
        <v>0</v>
      </c>
      <c r="ACA4">
        <v>0</v>
      </c>
    </row>
    <row r="5" spans="1:759" ht="14.1" customHeight="1" thickBot="1" x14ac:dyDescent="0.3">
      <c r="A5" s="439" t="str">
        <f>C4</f>
        <v>PRESTAMO 1</v>
      </c>
      <c r="B5" s="439"/>
      <c r="C5" s="439"/>
      <c r="D5" s="439"/>
      <c r="E5" s="439"/>
      <c r="F5" s="439"/>
      <c r="G5" s="439"/>
      <c r="I5" s="439" t="str">
        <f>K4</f>
        <v>PRESTAMO 2</v>
      </c>
      <c r="J5" s="439"/>
      <c r="K5" s="439"/>
      <c r="L5" s="439"/>
      <c r="M5" s="439"/>
      <c r="N5" s="439"/>
      <c r="O5" s="439"/>
      <c r="Q5" s="439" t="str">
        <f>T4</f>
        <v>PRESTAMO 3</v>
      </c>
      <c r="R5" s="439"/>
      <c r="S5" s="439"/>
      <c r="T5" s="439"/>
      <c r="U5" s="439"/>
      <c r="V5" s="439"/>
      <c r="W5" s="439"/>
      <c r="Y5" s="439" t="str">
        <f>AB4</f>
        <v>PRESTAMO 4</v>
      </c>
      <c r="Z5" s="439"/>
      <c r="AA5" s="439"/>
      <c r="AB5" s="439"/>
      <c r="AC5" s="439"/>
      <c r="AD5" s="439"/>
      <c r="AE5" s="439"/>
      <c r="AG5" s="439" t="str">
        <f>AJ4</f>
        <v>PRESTAMO 5</v>
      </c>
      <c r="AH5" s="439"/>
      <c r="AI5" s="439"/>
      <c r="AJ5" s="439"/>
      <c r="AK5" s="439"/>
      <c r="AL5" s="439"/>
      <c r="AM5" s="439"/>
      <c r="AO5" s="439" t="str">
        <f>AR4</f>
        <v>PRESTAMO 6</v>
      </c>
      <c r="AP5" s="439"/>
      <c r="AQ5" s="439"/>
      <c r="AR5" s="439"/>
      <c r="AS5" s="439"/>
      <c r="AT5" s="439"/>
      <c r="AU5" s="439"/>
      <c r="AW5" s="439" t="str">
        <f>AZ4</f>
        <v>PRESTAMO 7</v>
      </c>
      <c r="AX5" s="439"/>
      <c r="AY5" s="439"/>
      <c r="AZ5" s="439"/>
      <c r="BA5" s="439"/>
      <c r="BB5" s="439"/>
      <c r="BC5" s="439"/>
      <c r="BE5" s="439" t="str">
        <f>BH4</f>
        <v>PRESTAMO 8</v>
      </c>
      <c r="BF5" s="439"/>
      <c r="BG5" s="439"/>
      <c r="BH5" s="439"/>
      <c r="BI5" s="439"/>
      <c r="BJ5" s="439"/>
      <c r="BK5" s="439"/>
      <c r="BM5" s="439" t="str">
        <f>BO4</f>
        <v>PRESTAMO 9</v>
      </c>
      <c r="BN5" s="439"/>
      <c r="BO5" s="439"/>
      <c r="BP5" s="439"/>
      <c r="BQ5" s="439"/>
      <c r="BR5" s="439"/>
      <c r="BS5" s="439"/>
      <c r="BU5" s="439" t="str">
        <f>BW4</f>
        <v>PRESTAMO 10</v>
      </c>
      <c r="BV5" s="439"/>
      <c r="BW5" s="439"/>
      <c r="BX5" s="439"/>
      <c r="BY5" s="439"/>
      <c r="BZ5" s="439"/>
      <c r="CA5" s="439"/>
      <c r="CC5" s="441">
        <f>CF4</f>
        <v>0</v>
      </c>
      <c r="CD5" s="441"/>
      <c r="CE5" s="441"/>
      <c r="CF5" s="441"/>
      <c r="CG5" s="441"/>
      <c r="CH5" s="441"/>
      <c r="CI5" s="441"/>
      <c r="CK5" s="439">
        <f>CM4</f>
        <v>0</v>
      </c>
      <c r="CL5" s="439"/>
      <c r="CM5" s="439"/>
      <c r="CN5" s="439"/>
      <c r="CO5" s="439"/>
      <c r="CP5" s="439"/>
      <c r="CQ5" s="439"/>
      <c r="CS5" s="439">
        <f>CU4</f>
        <v>0</v>
      </c>
      <c r="CT5" s="439"/>
      <c r="CU5" s="439"/>
      <c r="CV5" s="439"/>
      <c r="CW5" s="439"/>
      <c r="CX5" s="439"/>
      <c r="CY5" s="439"/>
      <c r="DA5" s="441">
        <f>DD4</f>
        <v>0</v>
      </c>
      <c r="DB5" s="441"/>
      <c r="DC5" s="441"/>
      <c r="DD5" s="441"/>
      <c r="DE5" s="441"/>
      <c r="DF5" s="441"/>
      <c r="DG5" s="441"/>
      <c r="DI5" s="439">
        <f>DL4</f>
        <v>0</v>
      </c>
      <c r="DJ5" s="439"/>
      <c r="DK5" s="439"/>
      <c r="DL5" s="439"/>
      <c r="DM5" s="439"/>
      <c r="DN5" s="439"/>
      <c r="DO5" s="439"/>
      <c r="DQ5" s="439">
        <f>DS4</f>
        <v>0</v>
      </c>
      <c r="DR5" s="439"/>
      <c r="DS5" s="439"/>
      <c r="DT5" s="439"/>
      <c r="DU5" s="439"/>
      <c r="DV5" s="439"/>
      <c r="DW5" s="439"/>
      <c r="DY5" s="439">
        <f>EA4</f>
        <v>0</v>
      </c>
      <c r="DZ5" s="439"/>
      <c r="EA5" s="439"/>
      <c r="EB5" s="439"/>
      <c r="EC5" s="439"/>
      <c r="ED5" s="439"/>
      <c r="EE5" s="439"/>
      <c r="EG5" s="439">
        <f>EJ4</f>
        <v>0</v>
      </c>
      <c r="EH5" s="439"/>
      <c r="EI5" s="439"/>
      <c r="EJ5" s="439"/>
      <c r="EK5" s="439"/>
      <c r="EL5" s="439"/>
      <c r="EM5" s="439"/>
      <c r="EO5" s="439">
        <f>ER4</f>
        <v>0</v>
      </c>
      <c r="EP5" s="439"/>
      <c r="EQ5" s="439"/>
      <c r="ER5" s="439"/>
      <c r="ES5" s="439"/>
      <c r="ET5" s="439"/>
      <c r="EU5" s="439"/>
      <c r="EW5" s="439">
        <f>EY4</f>
        <v>0</v>
      </c>
      <c r="EX5" s="439"/>
      <c r="EY5" s="439"/>
      <c r="EZ5" s="439"/>
      <c r="FA5" s="439"/>
      <c r="FB5" s="439"/>
      <c r="FC5" s="439"/>
      <c r="FE5" s="439">
        <f>FG4</f>
        <v>0</v>
      </c>
      <c r="FF5" s="439"/>
      <c r="FG5" s="439"/>
      <c r="FH5" s="439"/>
      <c r="FI5" s="439"/>
      <c r="FJ5" s="439"/>
      <c r="FK5" s="439"/>
      <c r="FM5" s="439">
        <f>FO4</f>
        <v>0</v>
      </c>
      <c r="FN5" s="439"/>
      <c r="FO5" s="439"/>
      <c r="FP5" s="439"/>
      <c r="FQ5" s="439"/>
      <c r="FR5" s="439"/>
      <c r="FS5" s="439"/>
      <c r="FU5" s="439">
        <f>FW4</f>
        <v>0</v>
      </c>
      <c r="FV5" s="439"/>
      <c r="FW5" s="439"/>
      <c r="FX5" s="439"/>
      <c r="FY5" s="439"/>
      <c r="FZ5" s="439"/>
      <c r="GA5" s="439"/>
      <c r="GC5" s="439">
        <f>GE4</f>
        <v>0</v>
      </c>
      <c r="GD5" s="439"/>
      <c r="GE5" s="439"/>
      <c r="GF5" s="439"/>
      <c r="GG5" s="439"/>
      <c r="GH5" s="439"/>
      <c r="GI5" s="439"/>
      <c r="GK5" s="439">
        <f>GM4</f>
        <v>0</v>
      </c>
      <c r="GL5" s="439"/>
      <c r="GM5" s="439"/>
      <c r="GN5" s="439"/>
      <c r="GO5" s="439"/>
      <c r="GP5" s="439"/>
      <c r="GQ5" s="439"/>
      <c r="GS5" s="439">
        <f>GU4</f>
        <v>0</v>
      </c>
      <c r="GT5" s="439"/>
      <c r="GU5" s="439"/>
      <c r="GV5" s="439"/>
      <c r="GW5" s="439"/>
      <c r="GX5" s="439"/>
      <c r="GY5" s="439"/>
      <c r="HA5" s="439">
        <f>HC4</f>
        <v>0</v>
      </c>
      <c r="HB5" s="439"/>
      <c r="HC5" s="439"/>
      <c r="HD5" s="439"/>
      <c r="HE5" s="439"/>
      <c r="HF5" s="439"/>
      <c r="HG5" s="439"/>
      <c r="HI5" s="439">
        <f>HK4</f>
        <v>0</v>
      </c>
      <c r="HJ5" s="439"/>
      <c r="HK5" s="439"/>
      <c r="HL5" s="439"/>
      <c r="HM5" s="439"/>
      <c r="HN5" s="439"/>
      <c r="HO5" s="439"/>
      <c r="HQ5" s="439">
        <f>HT4</f>
        <v>0</v>
      </c>
      <c r="HR5" s="439"/>
      <c r="HS5" s="439"/>
      <c r="HT5" s="439"/>
      <c r="HU5" s="439"/>
      <c r="HV5" s="439"/>
      <c r="HW5" s="439"/>
      <c r="HY5" s="439">
        <f>IB4</f>
        <v>0</v>
      </c>
      <c r="HZ5" s="439"/>
      <c r="IA5" s="439"/>
      <c r="IB5" s="439"/>
      <c r="IC5" s="439"/>
      <c r="ID5" s="439"/>
      <c r="IE5" s="439"/>
      <c r="IG5" s="439">
        <f>IJ4</f>
        <v>0</v>
      </c>
      <c r="IH5" s="439"/>
      <c r="II5" s="439"/>
      <c r="IJ5" s="439"/>
      <c r="IK5" s="439"/>
      <c r="IL5" s="439"/>
      <c r="IM5" s="439"/>
      <c r="IO5" s="66"/>
      <c r="IP5" s="66"/>
      <c r="IQ5" s="66"/>
      <c r="IR5" s="66">
        <f>IR4</f>
        <v>0</v>
      </c>
      <c r="IS5" s="66"/>
      <c r="IT5" s="66"/>
      <c r="IU5" s="195"/>
      <c r="IW5" s="66"/>
      <c r="IX5" s="66"/>
      <c r="IY5" s="66"/>
      <c r="IZ5" s="66">
        <f>IZ4</f>
        <v>0</v>
      </c>
      <c r="JA5" s="66"/>
      <c r="JB5" s="66"/>
      <c r="JC5" s="66"/>
      <c r="JE5" s="439">
        <f>JG4</f>
        <v>0</v>
      </c>
      <c r="JF5" s="439"/>
      <c r="JG5" s="439"/>
      <c r="JH5" s="439"/>
      <c r="JI5" s="439"/>
      <c r="JJ5" s="439"/>
      <c r="JK5" s="439"/>
      <c r="JM5" s="440">
        <f>JP4</f>
        <v>0</v>
      </c>
      <c r="JN5" s="439"/>
      <c r="JO5" s="439"/>
      <c r="JP5" s="439"/>
      <c r="JQ5" s="439"/>
      <c r="JR5" s="439"/>
      <c r="JS5" s="439"/>
      <c r="JU5" s="439">
        <f>JW4</f>
        <v>0</v>
      </c>
      <c r="JV5" s="439"/>
      <c r="JW5" s="439"/>
      <c r="JX5" s="439"/>
      <c r="JY5" s="439"/>
      <c r="JZ5" s="439"/>
      <c r="KA5" s="439"/>
      <c r="KC5" s="439">
        <f>KE4</f>
        <v>0</v>
      </c>
      <c r="KD5" s="439"/>
      <c r="KE5" s="439"/>
      <c r="KF5" s="439"/>
      <c r="KG5" s="439"/>
      <c r="KH5" s="439"/>
      <c r="KI5" s="439"/>
      <c r="KK5" s="439">
        <f>KM4</f>
        <v>0</v>
      </c>
      <c r="KL5" s="439"/>
      <c r="KM5" s="439"/>
      <c r="KN5" s="439"/>
      <c r="KO5" s="439"/>
      <c r="KP5" s="439"/>
      <c r="KQ5" s="439"/>
      <c r="KS5" s="439">
        <f>KU4</f>
        <v>0</v>
      </c>
      <c r="KT5" s="439"/>
      <c r="KU5" s="439"/>
      <c r="KV5" s="439"/>
      <c r="KW5" s="439"/>
      <c r="KX5" s="439"/>
      <c r="KY5" s="439"/>
      <c r="LA5" s="439">
        <f>LC4</f>
        <v>0</v>
      </c>
      <c r="LB5" s="439"/>
      <c r="LC5" s="439"/>
      <c r="LD5" s="439"/>
      <c r="LE5" s="439"/>
      <c r="LF5" s="439"/>
      <c r="LG5" s="439"/>
      <c r="LI5" s="439">
        <f>LK4</f>
        <v>0</v>
      </c>
      <c r="LJ5" s="439"/>
      <c r="LK5" s="439"/>
      <c r="LL5" s="439"/>
      <c r="LM5" s="439"/>
      <c r="LN5" s="439"/>
      <c r="LO5" s="439"/>
      <c r="LS5" s="179">
        <f>LS4</f>
        <v>0</v>
      </c>
      <c r="LT5" s="179"/>
      <c r="MA5" s="430">
        <f>MA4</f>
        <v>0</v>
      </c>
      <c r="MB5" s="430"/>
      <c r="MI5" s="430">
        <f>MI4</f>
        <v>0</v>
      </c>
      <c r="MJ5" s="430"/>
      <c r="MK5" s="430"/>
      <c r="MQ5" s="63">
        <f>MQ4</f>
        <v>0</v>
      </c>
      <c r="MY5" s="437">
        <f>MY4</f>
        <v>0</v>
      </c>
      <c r="MZ5" s="437"/>
      <c r="NG5" s="63">
        <f>NG4</f>
        <v>0</v>
      </c>
      <c r="NO5" s="67">
        <f>NO4</f>
        <v>0</v>
      </c>
      <c r="NW5" s="438">
        <f>NW4</f>
        <v>0</v>
      </c>
      <c r="NX5" s="438"/>
      <c r="OE5" s="430">
        <f>OE4</f>
        <v>0</v>
      </c>
      <c r="OF5" s="430"/>
      <c r="OM5" s="438">
        <f>OM4</f>
        <v>0</v>
      </c>
      <c r="ON5" s="438"/>
      <c r="OO5" s="438"/>
      <c r="OU5" s="430">
        <f>OU4</f>
        <v>0</v>
      </c>
      <c r="OV5" s="430"/>
      <c r="PC5" s="430">
        <f>PC4</f>
        <v>0</v>
      </c>
      <c r="PD5" s="430"/>
      <c r="PK5" s="430">
        <f>PK4</f>
        <v>0</v>
      </c>
      <c r="PL5" s="430"/>
      <c r="PS5" s="430">
        <f>PS4</f>
        <v>0</v>
      </c>
      <c r="PT5" s="430"/>
      <c r="PU5" s="430"/>
      <c r="PV5" s="182"/>
      <c r="QA5" s="430">
        <f>QA4</f>
        <v>0</v>
      </c>
      <c r="QB5" s="430"/>
      <c r="QC5" s="430"/>
      <c r="QI5" s="430">
        <f>QI4</f>
        <v>0</v>
      </c>
      <c r="QJ5" s="430"/>
      <c r="QK5" s="430"/>
      <c r="QQ5" s="430">
        <f>QQ4</f>
        <v>0</v>
      </c>
      <c r="QR5" s="430"/>
      <c r="QS5" s="430"/>
      <c r="QY5" s="432">
        <f>QY4</f>
        <v>0</v>
      </c>
      <c r="QZ5" s="432"/>
      <c r="RA5" s="432"/>
      <c r="RG5" s="63">
        <f>RG4</f>
        <v>0</v>
      </c>
      <c r="RO5" s="63">
        <f>RO4</f>
        <v>0</v>
      </c>
      <c r="RW5" s="63">
        <f>RW4</f>
        <v>0</v>
      </c>
      <c r="SE5" s="63">
        <f>SE4</f>
        <v>0</v>
      </c>
      <c r="SM5" s="63">
        <f>SM4</f>
        <v>0</v>
      </c>
      <c r="SU5" s="63">
        <f>SU4</f>
        <v>0</v>
      </c>
      <c r="TC5" s="63">
        <f>TC4</f>
        <v>0</v>
      </c>
      <c r="TK5" s="63">
        <f>TK4</f>
        <v>0</v>
      </c>
      <c r="TS5" s="63">
        <f>TS4</f>
        <v>0</v>
      </c>
      <c r="UA5" s="63">
        <f>UA4</f>
        <v>0</v>
      </c>
      <c r="UI5" s="63">
        <f>UI4</f>
        <v>0</v>
      </c>
      <c r="UQ5" s="63">
        <f>UQ4</f>
        <v>0</v>
      </c>
      <c r="UU5" s="181"/>
      <c r="UY5" s="63">
        <f>UY4</f>
        <v>0</v>
      </c>
      <c r="VG5" s="63">
        <f>VG4</f>
        <v>0</v>
      </c>
      <c r="VO5" s="63">
        <f>VO4</f>
        <v>0</v>
      </c>
      <c r="VW5" s="63">
        <f>VW4</f>
        <v>0</v>
      </c>
      <c r="WE5" s="63">
        <f>WE4</f>
        <v>0</v>
      </c>
      <c r="WM5" s="63">
        <f>WM4</f>
        <v>0</v>
      </c>
      <c r="WU5" s="63">
        <f>WU4</f>
        <v>0</v>
      </c>
      <c r="XC5" s="63">
        <f>XC4</f>
        <v>0</v>
      </c>
      <c r="XK5" s="63">
        <f>XK4</f>
        <v>0</v>
      </c>
      <c r="XS5" s="63">
        <f>XS4</f>
        <v>0</v>
      </c>
      <c r="YA5" s="63">
        <f>YA4</f>
        <v>0</v>
      </c>
      <c r="YI5" s="63">
        <f>YI4</f>
        <v>0</v>
      </c>
      <c r="YQ5" s="63">
        <f>YQ4</f>
        <v>0</v>
      </c>
      <c r="YY5" s="63">
        <f>YY4</f>
        <v>0</v>
      </c>
      <c r="ZC5" s="181"/>
      <c r="ZG5" s="63">
        <f>ZG4</f>
        <v>0</v>
      </c>
      <c r="ZO5" s="63">
        <f>ZO4</f>
        <v>0</v>
      </c>
      <c r="ZW5" s="63">
        <f>ZW4</f>
        <v>0</v>
      </c>
      <c r="AAE5" s="63">
        <f>AAE4</f>
        <v>0</v>
      </c>
      <c r="AAM5" s="63">
        <f>AAM4</f>
        <v>0</v>
      </c>
      <c r="AAU5" s="63">
        <f>AAU4</f>
        <v>0</v>
      </c>
      <c r="ABC5" s="63">
        <f>ABC4</f>
        <v>0</v>
      </c>
      <c r="ABK5" s="63">
        <f>ABK4</f>
        <v>0</v>
      </c>
      <c r="ABS5" s="63">
        <f>ABS4</f>
        <v>0</v>
      </c>
      <c r="ACA5" s="63">
        <f>ACA4</f>
        <v>0</v>
      </c>
    </row>
    <row r="6" spans="1:759" ht="13.5" customHeight="1" x14ac:dyDescent="0.25">
      <c r="A6" s="68" t="s">
        <v>5</v>
      </c>
      <c r="B6" s="69" t="s">
        <v>0</v>
      </c>
      <c r="C6" s="68" t="s">
        <v>35</v>
      </c>
      <c r="D6" s="70" t="s">
        <v>3</v>
      </c>
      <c r="E6" s="70" t="s">
        <v>27</v>
      </c>
      <c r="F6" s="68" t="s">
        <v>7</v>
      </c>
      <c r="G6" s="68" t="s">
        <v>29</v>
      </c>
      <c r="I6" s="68" t="s">
        <v>5</v>
      </c>
      <c r="J6" s="69" t="s">
        <v>0</v>
      </c>
      <c r="K6" s="68" t="s">
        <v>2</v>
      </c>
      <c r="L6" s="68" t="s">
        <v>3</v>
      </c>
      <c r="M6" s="70" t="s">
        <v>27</v>
      </c>
      <c r="N6" s="68" t="s">
        <v>7</v>
      </c>
      <c r="O6" s="68" t="s">
        <v>29</v>
      </c>
      <c r="P6" s="110"/>
      <c r="Q6" s="68" t="s">
        <v>5</v>
      </c>
      <c r="R6" s="69" t="s">
        <v>0</v>
      </c>
      <c r="S6" s="68" t="s">
        <v>2</v>
      </c>
      <c r="T6" s="68" t="s">
        <v>3</v>
      </c>
      <c r="U6" s="70" t="s">
        <v>27</v>
      </c>
      <c r="V6" s="68" t="s">
        <v>7</v>
      </c>
      <c r="W6" s="68" t="s">
        <v>29</v>
      </c>
      <c r="X6" s="72"/>
      <c r="Y6" s="68" t="s">
        <v>5</v>
      </c>
      <c r="Z6" s="69" t="s">
        <v>0</v>
      </c>
      <c r="AA6" s="68" t="s">
        <v>2</v>
      </c>
      <c r="AB6" s="68" t="s">
        <v>3</v>
      </c>
      <c r="AC6" s="70" t="s">
        <v>27</v>
      </c>
      <c r="AD6" s="68" t="s">
        <v>7</v>
      </c>
      <c r="AE6" s="68" t="s">
        <v>29</v>
      </c>
      <c r="AF6" s="72"/>
      <c r="AG6" s="68" t="s">
        <v>5</v>
      </c>
      <c r="AH6" s="68" t="s">
        <v>0</v>
      </c>
      <c r="AI6" s="68" t="s">
        <v>2</v>
      </c>
      <c r="AJ6" s="68" t="s">
        <v>3</v>
      </c>
      <c r="AK6" s="70" t="s">
        <v>27</v>
      </c>
      <c r="AL6" s="68" t="s">
        <v>7</v>
      </c>
      <c r="AM6" s="68" t="s">
        <v>29</v>
      </c>
      <c r="AN6" s="72"/>
      <c r="AO6" s="68" t="s">
        <v>5</v>
      </c>
      <c r="AP6" s="69" t="s">
        <v>0</v>
      </c>
      <c r="AQ6" s="68" t="s">
        <v>2</v>
      </c>
      <c r="AR6" s="68" t="s">
        <v>3</v>
      </c>
      <c r="AS6" s="70" t="s">
        <v>27</v>
      </c>
      <c r="AT6" s="68" t="s">
        <v>7</v>
      </c>
      <c r="AU6" s="68" t="s">
        <v>29</v>
      </c>
      <c r="AV6" s="72"/>
      <c r="AW6" s="68" t="s">
        <v>5</v>
      </c>
      <c r="AX6" s="69" t="s">
        <v>0</v>
      </c>
      <c r="AY6" s="68" t="s">
        <v>2</v>
      </c>
      <c r="AZ6" s="68" t="s">
        <v>3</v>
      </c>
      <c r="BA6" s="70" t="s">
        <v>27</v>
      </c>
      <c r="BB6" s="68" t="s">
        <v>7</v>
      </c>
      <c r="BC6" s="68" t="s">
        <v>29</v>
      </c>
      <c r="BD6" s="72"/>
      <c r="BE6" s="68" t="s">
        <v>5</v>
      </c>
      <c r="BF6" s="69" t="s">
        <v>0</v>
      </c>
      <c r="BG6" s="68" t="s">
        <v>2</v>
      </c>
      <c r="BH6" s="68" t="s">
        <v>3</v>
      </c>
      <c r="BI6" s="70" t="s">
        <v>27</v>
      </c>
      <c r="BJ6" s="68" t="s">
        <v>7</v>
      </c>
      <c r="BK6" s="68" t="s">
        <v>29</v>
      </c>
      <c r="BL6" s="72"/>
      <c r="BM6" s="68" t="s">
        <v>5</v>
      </c>
      <c r="BN6" s="69" t="s">
        <v>0</v>
      </c>
      <c r="BO6" s="68" t="s">
        <v>2</v>
      </c>
      <c r="BP6" s="68" t="s">
        <v>3</v>
      </c>
      <c r="BQ6" s="70" t="s">
        <v>27</v>
      </c>
      <c r="BR6" s="68" t="s">
        <v>7</v>
      </c>
      <c r="BS6" s="68" t="s">
        <v>29</v>
      </c>
      <c r="BT6" s="72"/>
      <c r="BU6" s="68" t="s">
        <v>5</v>
      </c>
      <c r="BV6" s="69" t="s">
        <v>0</v>
      </c>
      <c r="BW6" s="68" t="s">
        <v>2</v>
      </c>
      <c r="BX6" s="68" t="s">
        <v>3</v>
      </c>
      <c r="BY6" s="70" t="s">
        <v>27</v>
      </c>
      <c r="BZ6" s="68" t="s">
        <v>7</v>
      </c>
      <c r="CA6" s="68" t="s">
        <v>29</v>
      </c>
      <c r="CB6" s="72"/>
      <c r="CC6" s="68" t="s">
        <v>5</v>
      </c>
      <c r="CD6" s="69" t="s">
        <v>0</v>
      </c>
      <c r="CE6" s="68" t="s">
        <v>2</v>
      </c>
      <c r="CF6" s="68" t="s">
        <v>3</v>
      </c>
      <c r="CG6" s="70" t="s">
        <v>27</v>
      </c>
      <c r="CH6" s="68" t="s">
        <v>7</v>
      </c>
      <c r="CI6" s="68" t="s">
        <v>29</v>
      </c>
      <c r="CJ6" s="72"/>
      <c r="CK6" s="68" t="s">
        <v>5</v>
      </c>
      <c r="CL6" s="69" t="s">
        <v>0</v>
      </c>
      <c r="CM6" s="68" t="s">
        <v>2</v>
      </c>
      <c r="CN6" s="68" t="s">
        <v>3</v>
      </c>
      <c r="CO6" s="70" t="s">
        <v>27</v>
      </c>
      <c r="CP6" s="68" t="s">
        <v>7</v>
      </c>
      <c r="CQ6" s="68" t="s">
        <v>29</v>
      </c>
      <c r="CR6" s="72"/>
      <c r="CS6" s="68" t="s">
        <v>5</v>
      </c>
      <c r="CT6" s="69" t="s">
        <v>0</v>
      </c>
      <c r="CU6" s="68" t="s">
        <v>2</v>
      </c>
      <c r="CV6" s="68" t="s">
        <v>3</v>
      </c>
      <c r="CW6" s="70" t="s">
        <v>27</v>
      </c>
      <c r="CX6" s="68" t="s">
        <v>7</v>
      </c>
      <c r="CY6" s="68" t="s">
        <v>29</v>
      </c>
      <c r="CZ6" s="72"/>
      <c r="DA6" s="68" t="s">
        <v>5</v>
      </c>
      <c r="DB6" s="69" t="s">
        <v>0</v>
      </c>
      <c r="DC6" s="176" t="s">
        <v>2</v>
      </c>
      <c r="DD6" s="68" t="s">
        <v>3</v>
      </c>
      <c r="DE6" s="70" t="s">
        <v>27</v>
      </c>
      <c r="DF6" s="68" t="s">
        <v>7</v>
      </c>
      <c r="DG6" s="68" t="s">
        <v>29</v>
      </c>
      <c r="DH6" s="72"/>
      <c r="DI6" s="68" t="s">
        <v>5</v>
      </c>
      <c r="DJ6" s="69" t="s">
        <v>0</v>
      </c>
      <c r="DK6" s="68" t="s">
        <v>2</v>
      </c>
      <c r="DL6" s="68" t="s">
        <v>3</v>
      </c>
      <c r="DM6" s="70" t="s">
        <v>27</v>
      </c>
      <c r="DN6" s="68" t="s">
        <v>7</v>
      </c>
      <c r="DO6" s="68" t="s">
        <v>29</v>
      </c>
      <c r="DP6" s="72"/>
      <c r="DQ6" s="68" t="s">
        <v>5</v>
      </c>
      <c r="DR6" s="69" t="s">
        <v>0</v>
      </c>
      <c r="DS6" s="68" t="s">
        <v>2</v>
      </c>
      <c r="DT6" s="68" t="s">
        <v>3</v>
      </c>
      <c r="DU6" s="70" t="s">
        <v>27</v>
      </c>
      <c r="DV6" s="68" t="s">
        <v>7</v>
      </c>
      <c r="DW6" s="68" t="s">
        <v>29</v>
      </c>
      <c r="DX6" s="72"/>
      <c r="DY6" s="68" t="s">
        <v>5</v>
      </c>
      <c r="DZ6" s="69" t="s">
        <v>0</v>
      </c>
      <c r="EA6" s="68" t="s">
        <v>2</v>
      </c>
      <c r="EB6" s="68" t="s">
        <v>3</v>
      </c>
      <c r="EC6" s="70" t="s">
        <v>27</v>
      </c>
      <c r="ED6" s="68" t="s">
        <v>7</v>
      </c>
      <c r="EE6" s="68" t="s">
        <v>29</v>
      </c>
      <c r="EF6" s="72"/>
      <c r="EG6" s="68" t="s">
        <v>5</v>
      </c>
      <c r="EH6" s="69" t="s">
        <v>0</v>
      </c>
      <c r="EI6" s="68" t="s">
        <v>2</v>
      </c>
      <c r="EJ6" s="68" t="s">
        <v>3</v>
      </c>
      <c r="EK6" s="70" t="s">
        <v>27</v>
      </c>
      <c r="EL6" s="68" t="s">
        <v>7</v>
      </c>
      <c r="EM6" s="68" t="s">
        <v>29</v>
      </c>
      <c r="EO6" s="68" t="s">
        <v>5</v>
      </c>
      <c r="EP6" s="69" t="s">
        <v>0</v>
      </c>
      <c r="EQ6" s="68" t="s">
        <v>2</v>
      </c>
      <c r="ER6" s="68" t="s">
        <v>3</v>
      </c>
      <c r="ES6" s="70" t="s">
        <v>27</v>
      </c>
      <c r="ET6" s="68" t="s">
        <v>7</v>
      </c>
      <c r="EU6" s="68" t="s">
        <v>29</v>
      </c>
      <c r="EW6" s="68" t="s">
        <v>5</v>
      </c>
      <c r="EX6" s="69" t="s">
        <v>0</v>
      </c>
      <c r="EY6" s="68" t="s">
        <v>2</v>
      </c>
      <c r="EZ6" s="68" t="s">
        <v>3</v>
      </c>
      <c r="FA6" s="70" t="s">
        <v>27</v>
      </c>
      <c r="FB6" s="68" t="s">
        <v>7</v>
      </c>
      <c r="FC6" s="68" t="s">
        <v>29</v>
      </c>
      <c r="FE6" s="68" t="s">
        <v>5</v>
      </c>
      <c r="FF6" s="69" t="s">
        <v>0</v>
      </c>
      <c r="FG6" s="68" t="s">
        <v>2</v>
      </c>
      <c r="FH6" s="68" t="s">
        <v>3</v>
      </c>
      <c r="FI6" s="70" t="s">
        <v>27</v>
      </c>
      <c r="FJ6" s="68" t="s">
        <v>7</v>
      </c>
      <c r="FK6" s="68" t="s">
        <v>29</v>
      </c>
      <c r="FM6" s="68" t="s">
        <v>5</v>
      </c>
      <c r="FN6" s="69" t="s">
        <v>0</v>
      </c>
      <c r="FO6" s="68" t="s">
        <v>2</v>
      </c>
      <c r="FP6" s="68" t="s">
        <v>3</v>
      </c>
      <c r="FQ6" s="70" t="s">
        <v>27</v>
      </c>
      <c r="FR6" s="68" t="s">
        <v>7</v>
      </c>
      <c r="FS6" s="68" t="s">
        <v>29</v>
      </c>
      <c r="FU6" s="68" t="s">
        <v>5</v>
      </c>
      <c r="FV6" s="69" t="s">
        <v>0</v>
      </c>
      <c r="FW6" s="68" t="s">
        <v>2</v>
      </c>
      <c r="FX6" s="68" t="s">
        <v>3</v>
      </c>
      <c r="FY6" s="70" t="s">
        <v>27</v>
      </c>
      <c r="FZ6" s="68" t="s">
        <v>7</v>
      </c>
      <c r="GA6" s="68" t="s">
        <v>29</v>
      </c>
      <c r="GC6" s="68" t="s">
        <v>5</v>
      </c>
      <c r="GD6" s="69" t="s">
        <v>0</v>
      </c>
      <c r="GE6" s="68" t="s">
        <v>2</v>
      </c>
      <c r="GF6" s="68" t="s">
        <v>3</v>
      </c>
      <c r="GG6" s="70" t="s">
        <v>27</v>
      </c>
      <c r="GH6" s="68" t="s">
        <v>7</v>
      </c>
      <c r="GI6" s="68" t="s">
        <v>29</v>
      </c>
      <c r="GK6" s="68" t="s">
        <v>5</v>
      </c>
      <c r="GL6" s="69" t="s">
        <v>0</v>
      </c>
      <c r="GM6" s="68" t="s">
        <v>2</v>
      </c>
      <c r="GN6" s="68" t="s">
        <v>3</v>
      </c>
      <c r="GO6" s="70" t="s">
        <v>27</v>
      </c>
      <c r="GP6" s="68" t="s">
        <v>7</v>
      </c>
      <c r="GQ6" s="68" t="s">
        <v>29</v>
      </c>
      <c r="GS6" s="68" t="s">
        <v>5</v>
      </c>
      <c r="GT6" s="69" t="s">
        <v>0</v>
      </c>
      <c r="GU6" s="68" t="s">
        <v>2</v>
      </c>
      <c r="GV6" s="68" t="s">
        <v>3</v>
      </c>
      <c r="GW6" s="70" t="s">
        <v>27</v>
      </c>
      <c r="GX6" s="68" t="s">
        <v>7</v>
      </c>
      <c r="GY6" s="68" t="s">
        <v>29</v>
      </c>
      <c r="HA6" s="68" t="s">
        <v>5</v>
      </c>
      <c r="HB6" s="69" t="s">
        <v>0</v>
      </c>
      <c r="HC6" s="68" t="s">
        <v>2</v>
      </c>
      <c r="HD6" s="68" t="s">
        <v>3</v>
      </c>
      <c r="HE6" s="70" t="s">
        <v>27</v>
      </c>
      <c r="HF6" s="68" t="s">
        <v>7</v>
      </c>
      <c r="HG6" s="68" t="s">
        <v>29</v>
      </c>
      <c r="HI6" s="68" t="s">
        <v>5</v>
      </c>
      <c r="HJ6" s="69" t="s">
        <v>0</v>
      </c>
      <c r="HK6" s="68" t="s">
        <v>2</v>
      </c>
      <c r="HL6" s="68" t="s">
        <v>3</v>
      </c>
      <c r="HM6" s="70" t="s">
        <v>27</v>
      </c>
      <c r="HN6" s="68" t="s">
        <v>7</v>
      </c>
      <c r="HO6" s="68" t="s">
        <v>29</v>
      </c>
      <c r="HQ6" s="68" t="s">
        <v>5</v>
      </c>
      <c r="HR6" s="69" t="s">
        <v>0</v>
      </c>
      <c r="HS6" s="68" t="s">
        <v>2</v>
      </c>
      <c r="HT6" s="68" t="s">
        <v>3</v>
      </c>
      <c r="HU6" s="70" t="s">
        <v>27</v>
      </c>
      <c r="HV6" s="68" t="s">
        <v>7</v>
      </c>
      <c r="HW6" s="68" t="s">
        <v>29</v>
      </c>
      <c r="HY6" s="68" t="s">
        <v>5</v>
      </c>
      <c r="HZ6" s="69" t="s">
        <v>0</v>
      </c>
      <c r="IA6" s="68" t="s">
        <v>2</v>
      </c>
      <c r="IB6" s="68" t="s">
        <v>3</v>
      </c>
      <c r="IC6" s="70" t="s">
        <v>27</v>
      </c>
      <c r="ID6" s="68" t="s">
        <v>7</v>
      </c>
      <c r="IE6" s="68" t="s">
        <v>29</v>
      </c>
      <c r="IG6" s="68" t="s">
        <v>5</v>
      </c>
      <c r="IH6" s="69" t="s">
        <v>0</v>
      </c>
      <c r="II6" s="68" t="s">
        <v>2</v>
      </c>
      <c r="IJ6" s="68" t="s">
        <v>3</v>
      </c>
      <c r="IK6" s="70" t="s">
        <v>27</v>
      </c>
      <c r="IL6" s="68" t="s">
        <v>7</v>
      </c>
      <c r="IM6" s="68" t="s">
        <v>29</v>
      </c>
      <c r="IO6" s="68" t="s">
        <v>5</v>
      </c>
      <c r="IP6" s="69" t="s">
        <v>0</v>
      </c>
      <c r="IQ6" s="68" t="s">
        <v>2</v>
      </c>
      <c r="IR6" s="68" t="s">
        <v>3</v>
      </c>
      <c r="IS6" s="70" t="s">
        <v>27</v>
      </c>
      <c r="IT6" s="68" t="s">
        <v>7</v>
      </c>
      <c r="IU6" s="68" t="s">
        <v>29</v>
      </c>
      <c r="IW6" s="68" t="s">
        <v>5</v>
      </c>
      <c r="IX6" s="69" t="s">
        <v>0</v>
      </c>
      <c r="IY6" s="68" t="s">
        <v>2</v>
      </c>
      <c r="IZ6" s="68" t="s">
        <v>3</v>
      </c>
      <c r="JA6" s="70" t="s">
        <v>27</v>
      </c>
      <c r="JB6" s="68" t="s">
        <v>7</v>
      </c>
      <c r="JC6" s="68" t="s">
        <v>29</v>
      </c>
      <c r="JE6" s="68" t="s">
        <v>5</v>
      </c>
      <c r="JF6" s="69" t="s">
        <v>0</v>
      </c>
      <c r="JG6" s="68" t="s">
        <v>2</v>
      </c>
      <c r="JH6" s="68" t="s">
        <v>3</v>
      </c>
      <c r="JI6" s="70" t="s">
        <v>27</v>
      </c>
      <c r="JJ6" s="68" t="s">
        <v>7</v>
      </c>
      <c r="JK6" s="68" t="s">
        <v>29</v>
      </c>
      <c r="JM6" s="68" t="s">
        <v>5</v>
      </c>
      <c r="JN6" s="69" t="s">
        <v>0</v>
      </c>
      <c r="JO6" s="68" t="s">
        <v>2</v>
      </c>
      <c r="JP6" s="68" t="s">
        <v>3</v>
      </c>
      <c r="JQ6" s="70" t="s">
        <v>27</v>
      </c>
      <c r="JR6" s="68" t="s">
        <v>7</v>
      </c>
      <c r="JS6" s="68" t="s">
        <v>29</v>
      </c>
      <c r="JU6" s="68" t="s">
        <v>5</v>
      </c>
      <c r="JV6" s="69" t="s">
        <v>0</v>
      </c>
      <c r="JW6" s="68" t="s">
        <v>2</v>
      </c>
      <c r="JX6" s="68" t="s">
        <v>3</v>
      </c>
      <c r="JY6" s="70" t="s">
        <v>27</v>
      </c>
      <c r="JZ6" s="68" t="s">
        <v>7</v>
      </c>
      <c r="KA6" s="68" t="s">
        <v>29</v>
      </c>
      <c r="KC6" s="68" t="s">
        <v>5</v>
      </c>
      <c r="KD6" s="69" t="s">
        <v>0</v>
      </c>
      <c r="KE6" s="68" t="s">
        <v>2</v>
      </c>
      <c r="KF6" s="68" t="s">
        <v>3</v>
      </c>
      <c r="KG6" s="70" t="s">
        <v>27</v>
      </c>
      <c r="KH6" s="68" t="s">
        <v>7</v>
      </c>
      <c r="KI6" s="68" t="s">
        <v>29</v>
      </c>
      <c r="KK6" s="68" t="s">
        <v>5</v>
      </c>
      <c r="KL6" s="69" t="s">
        <v>0</v>
      </c>
      <c r="KM6" s="68" t="s">
        <v>2</v>
      </c>
      <c r="KN6" s="68" t="s">
        <v>3</v>
      </c>
      <c r="KO6" s="70" t="s">
        <v>27</v>
      </c>
      <c r="KP6" s="68" t="s">
        <v>7</v>
      </c>
      <c r="KQ6" s="68" t="s">
        <v>29</v>
      </c>
      <c r="KS6" s="68" t="s">
        <v>5</v>
      </c>
      <c r="KT6" s="69" t="s">
        <v>0</v>
      </c>
      <c r="KU6" s="68" t="s">
        <v>2</v>
      </c>
      <c r="KV6" s="68" t="s">
        <v>3</v>
      </c>
      <c r="KW6" s="70" t="s">
        <v>27</v>
      </c>
      <c r="KX6" s="68" t="s">
        <v>7</v>
      </c>
      <c r="KY6" s="68" t="s">
        <v>29</v>
      </c>
      <c r="LA6" s="68" t="s">
        <v>5</v>
      </c>
      <c r="LB6" s="69" t="s">
        <v>0</v>
      </c>
      <c r="LC6" s="68" t="s">
        <v>2</v>
      </c>
      <c r="LD6" s="68" t="s">
        <v>3</v>
      </c>
      <c r="LE6" s="70" t="s">
        <v>27</v>
      </c>
      <c r="LF6" s="68" t="s">
        <v>7</v>
      </c>
      <c r="LG6" s="68" t="s">
        <v>29</v>
      </c>
      <c r="LI6" s="68" t="s">
        <v>5</v>
      </c>
      <c r="LJ6" s="69" t="s">
        <v>0</v>
      </c>
      <c r="LK6" s="68" t="s">
        <v>2</v>
      </c>
      <c r="LL6" s="68" t="s">
        <v>3</v>
      </c>
      <c r="LM6" s="70" t="s">
        <v>27</v>
      </c>
      <c r="LN6" s="68" t="s">
        <v>7</v>
      </c>
      <c r="LO6" s="68" t="s">
        <v>29</v>
      </c>
      <c r="LQ6" s="68" t="s">
        <v>5</v>
      </c>
      <c r="LR6" s="69" t="s">
        <v>0</v>
      </c>
      <c r="LS6" s="68" t="s">
        <v>2</v>
      </c>
      <c r="LT6" s="68" t="s">
        <v>3</v>
      </c>
      <c r="LU6" s="70" t="s">
        <v>27</v>
      </c>
      <c r="LV6" s="68" t="s">
        <v>7</v>
      </c>
      <c r="LW6" s="68" t="s">
        <v>29</v>
      </c>
      <c r="LY6" s="68" t="s">
        <v>5</v>
      </c>
      <c r="LZ6" s="69" t="s">
        <v>0</v>
      </c>
      <c r="MA6" s="68" t="s">
        <v>2</v>
      </c>
      <c r="MB6" s="68" t="s">
        <v>3</v>
      </c>
      <c r="MC6" s="70" t="s">
        <v>27</v>
      </c>
      <c r="MD6" s="68" t="s">
        <v>7</v>
      </c>
      <c r="ME6" s="68" t="s">
        <v>29</v>
      </c>
      <c r="MG6" s="68" t="s">
        <v>5</v>
      </c>
      <c r="MH6" s="69" t="s">
        <v>0</v>
      </c>
      <c r="MI6" s="68" t="s">
        <v>2</v>
      </c>
      <c r="MJ6" s="68" t="s">
        <v>3</v>
      </c>
      <c r="MK6" s="70" t="s">
        <v>27</v>
      </c>
      <c r="ML6" s="68" t="s">
        <v>7</v>
      </c>
      <c r="MM6" s="68" t="s">
        <v>29</v>
      </c>
      <c r="MO6" s="68" t="s">
        <v>5</v>
      </c>
      <c r="MP6" s="69" t="s">
        <v>0</v>
      </c>
      <c r="MQ6" s="68" t="s">
        <v>2</v>
      </c>
      <c r="MR6" s="68" t="s">
        <v>3</v>
      </c>
      <c r="MS6" s="70" t="s">
        <v>27</v>
      </c>
      <c r="MT6" s="68" t="s">
        <v>7</v>
      </c>
      <c r="MU6" s="68" t="s">
        <v>29</v>
      </c>
      <c r="MW6" s="68" t="s">
        <v>5</v>
      </c>
      <c r="MX6" s="69" t="s">
        <v>0</v>
      </c>
      <c r="MY6" s="68" t="s">
        <v>2</v>
      </c>
      <c r="MZ6" s="68" t="s">
        <v>3</v>
      </c>
      <c r="NA6" s="70" t="s">
        <v>27</v>
      </c>
      <c r="NB6" s="68" t="s">
        <v>7</v>
      </c>
      <c r="NC6" s="68" t="s">
        <v>29</v>
      </c>
      <c r="NE6" s="68" t="s">
        <v>5</v>
      </c>
      <c r="NF6" s="69" t="s">
        <v>0</v>
      </c>
      <c r="NG6" s="68" t="s">
        <v>2</v>
      </c>
      <c r="NH6" s="68" t="s">
        <v>3</v>
      </c>
      <c r="NI6" s="70" t="s">
        <v>27</v>
      </c>
      <c r="NJ6" s="68" t="s">
        <v>7</v>
      </c>
      <c r="NK6" s="68" t="s">
        <v>29</v>
      </c>
      <c r="NM6" s="68" t="s">
        <v>5</v>
      </c>
      <c r="NN6" s="69" t="s">
        <v>0</v>
      </c>
      <c r="NO6" s="68" t="s">
        <v>2</v>
      </c>
      <c r="NP6" s="68" t="s">
        <v>3</v>
      </c>
      <c r="NQ6" s="70" t="s">
        <v>27</v>
      </c>
      <c r="NR6" s="68" t="s">
        <v>7</v>
      </c>
      <c r="NS6" s="68" t="s">
        <v>29</v>
      </c>
      <c r="NU6" s="68" t="s">
        <v>5</v>
      </c>
      <c r="NV6" s="69" t="s">
        <v>0</v>
      </c>
      <c r="NW6" s="68" t="s">
        <v>2</v>
      </c>
      <c r="NX6" s="68" t="s">
        <v>3</v>
      </c>
      <c r="NY6" s="70" t="s">
        <v>27</v>
      </c>
      <c r="NZ6" s="68" t="s">
        <v>7</v>
      </c>
      <c r="OA6" s="68" t="s">
        <v>29</v>
      </c>
      <c r="OC6" s="68" t="s">
        <v>5</v>
      </c>
      <c r="OD6" s="69" t="s">
        <v>0</v>
      </c>
      <c r="OE6" s="68" t="s">
        <v>2</v>
      </c>
      <c r="OF6" s="68" t="s">
        <v>3</v>
      </c>
      <c r="OG6" s="70" t="s">
        <v>27</v>
      </c>
      <c r="OH6" s="68" t="s">
        <v>7</v>
      </c>
      <c r="OI6" s="68" t="s">
        <v>29</v>
      </c>
      <c r="OK6" s="68" t="s">
        <v>5</v>
      </c>
      <c r="OL6" s="69" t="s">
        <v>0</v>
      </c>
      <c r="OM6" s="68" t="s">
        <v>2</v>
      </c>
      <c r="ON6" s="68" t="s">
        <v>3</v>
      </c>
      <c r="OO6" s="70" t="s">
        <v>27</v>
      </c>
      <c r="OP6" s="68" t="s">
        <v>7</v>
      </c>
      <c r="OQ6" s="68" t="s">
        <v>29</v>
      </c>
      <c r="OS6" s="69" t="s">
        <v>5</v>
      </c>
      <c r="OT6" s="69" t="s">
        <v>0</v>
      </c>
      <c r="OU6" s="68" t="s">
        <v>2</v>
      </c>
      <c r="OV6" s="68" t="s">
        <v>3</v>
      </c>
      <c r="OW6" s="70" t="s">
        <v>27</v>
      </c>
      <c r="OX6" s="68" t="s">
        <v>7</v>
      </c>
      <c r="OY6" s="68" t="s">
        <v>29</v>
      </c>
      <c r="PA6" s="68" t="s">
        <v>5</v>
      </c>
      <c r="PB6" s="69" t="s">
        <v>0</v>
      </c>
      <c r="PC6" s="68" t="s">
        <v>2</v>
      </c>
      <c r="PD6" s="68" t="s">
        <v>3</v>
      </c>
      <c r="PE6" s="70" t="s">
        <v>27</v>
      </c>
      <c r="PF6" s="68" t="s">
        <v>7</v>
      </c>
      <c r="PG6" s="68" t="s">
        <v>29</v>
      </c>
      <c r="PI6" s="68" t="s">
        <v>5</v>
      </c>
      <c r="PJ6" s="69" t="s">
        <v>0</v>
      </c>
      <c r="PK6" s="68" t="s">
        <v>2</v>
      </c>
      <c r="PL6" s="68" t="s">
        <v>3</v>
      </c>
      <c r="PM6" s="70" t="s">
        <v>27</v>
      </c>
      <c r="PN6" s="68" t="s">
        <v>7</v>
      </c>
      <c r="PO6" s="68" t="s">
        <v>29</v>
      </c>
      <c r="PQ6" s="68" t="s">
        <v>5</v>
      </c>
      <c r="PR6" s="69" t="s">
        <v>0</v>
      </c>
      <c r="PS6" s="68" t="s">
        <v>2</v>
      </c>
      <c r="PT6" s="68" t="s">
        <v>3</v>
      </c>
      <c r="PU6" s="70" t="s">
        <v>27</v>
      </c>
      <c r="PV6" s="68" t="s">
        <v>7</v>
      </c>
      <c r="PW6" s="68" t="s">
        <v>29</v>
      </c>
      <c r="PY6" s="68" t="s">
        <v>5</v>
      </c>
      <c r="PZ6" s="69" t="s">
        <v>0</v>
      </c>
      <c r="QA6" s="68" t="s">
        <v>2</v>
      </c>
      <c r="QB6" s="68" t="s">
        <v>3</v>
      </c>
      <c r="QC6" s="70" t="s">
        <v>27</v>
      </c>
      <c r="QD6" s="68" t="s">
        <v>7</v>
      </c>
      <c r="QE6" s="68" t="s">
        <v>29</v>
      </c>
      <c r="QG6" s="68" t="s">
        <v>5</v>
      </c>
      <c r="QH6" s="69" t="s">
        <v>0</v>
      </c>
      <c r="QI6" s="68" t="s">
        <v>2</v>
      </c>
      <c r="QJ6" s="68" t="s">
        <v>3</v>
      </c>
      <c r="QK6" s="70" t="s">
        <v>27</v>
      </c>
      <c r="QL6" s="68" t="s">
        <v>7</v>
      </c>
      <c r="QM6" s="68" t="s">
        <v>29</v>
      </c>
      <c r="QO6" s="68" t="s">
        <v>5</v>
      </c>
      <c r="QP6" s="69" t="s">
        <v>0</v>
      </c>
      <c r="QQ6" s="68" t="s">
        <v>2</v>
      </c>
      <c r="QR6" s="68" t="s">
        <v>3</v>
      </c>
      <c r="QS6" s="70" t="s">
        <v>27</v>
      </c>
      <c r="QT6" s="68" t="s">
        <v>7</v>
      </c>
      <c r="QU6" s="68" t="s">
        <v>29</v>
      </c>
      <c r="QW6" s="68" t="s">
        <v>5</v>
      </c>
      <c r="QX6" s="69" t="s">
        <v>0</v>
      </c>
      <c r="QY6" s="68" t="s">
        <v>2</v>
      </c>
      <c r="QZ6" s="68" t="s">
        <v>3</v>
      </c>
      <c r="RA6" s="70" t="s">
        <v>27</v>
      </c>
      <c r="RB6" s="68" t="s">
        <v>7</v>
      </c>
      <c r="RC6" s="68" t="s">
        <v>29</v>
      </c>
      <c r="RE6" s="68" t="s">
        <v>5</v>
      </c>
      <c r="RF6" s="69" t="s">
        <v>0</v>
      </c>
      <c r="RG6" s="68" t="s">
        <v>2</v>
      </c>
      <c r="RH6" s="68" t="s">
        <v>3</v>
      </c>
      <c r="RI6" s="70" t="s">
        <v>27</v>
      </c>
      <c r="RJ6" s="68" t="s">
        <v>7</v>
      </c>
      <c r="RK6" s="68" t="s">
        <v>29</v>
      </c>
      <c r="RM6" s="68" t="s">
        <v>5</v>
      </c>
      <c r="RN6" s="69" t="s">
        <v>0</v>
      </c>
      <c r="RO6" s="68" t="s">
        <v>2</v>
      </c>
      <c r="RP6" s="68" t="s">
        <v>3</v>
      </c>
      <c r="RQ6" s="70" t="s">
        <v>27</v>
      </c>
      <c r="RR6" s="68" t="s">
        <v>7</v>
      </c>
      <c r="RS6" s="68" t="s">
        <v>29</v>
      </c>
      <c r="RU6" s="68" t="s">
        <v>5</v>
      </c>
      <c r="RV6" s="69" t="s">
        <v>0</v>
      </c>
      <c r="RW6" s="68" t="s">
        <v>2</v>
      </c>
      <c r="RX6" s="68" t="s">
        <v>3</v>
      </c>
      <c r="RY6" s="70" t="s">
        <v>27</v>
      </c>
      <c r="RZ6" s="68" t="s">
        <v>7</v>
      </c>
      <c r="SA6" s="68" t="s">
        <v>29</v>
      </c>
      <c r="SC6" s="68" t="s">
        <v>5</v>
      </c>
      <c r="SD6" s="69" t="s">
        <v>0</v>
      </c>
      <c r="SE6" s="68" t="s">
        <v>2</v>
      </c>
      <c r="SF6" s="68" t="s">
        <v>3</v>
      </c>
      <c r="SG6" s="70" t="s">
        <v>27</v>
      </c>
      <c r="SH6" s="68" t="s">
        <v>7</v>
      </c>
      <c r="SI6" s="68" t="s">
        <v>29</v>
      </c>
      <c r="SK6" s="68" t="s">
        <v>5</v>
      </c>
      <c r="SL6" s="69" t="s">
        <v>0</v>
      </c>
      <c r="SM6" s="68" t="s">
        <v>2</v>
      </c>
      <c r="SN6" s="68" t="s">
        <v>3</v>
      </c>
      <c r="SO6" s="70" t="s">
        <v>27</v>
      </c>
      <c r="SP6" s="68" t="s">
        <v>7</v>
      </c>
      <c r="SQ6" s="68" t="s">
        <v>29</v>
      </c>
      <c r="SS6" s="68" t="s">
        <v>5</v>
      </c>
      <c r="ST6" s="69" t="s">
        <v>0</v>
      </c>
      <c r="SU6" s="68" t="s">
        <v>2</v>
      </c>
      <c r="SV6" s="68" t="s">
        <v>3</v>
      </c>
      <c r="SW6" s="70" t="s">
        <v>27</v>
      </c>
      <c r="SX6" s="68" t="s">
        <v>7</v>
      </c>
      <c r="SY6" s="68" t="s">
        <v>29</v>
      </c>
      <c r="TA6" s="68" t="s">
        <v>5</v>
      </c>
      <c r="TB6" s="69" t="s">
        <v>0</v>
      </c>
      <c r="TC6" s="68" t="s">
        <v>2</v>
      </c>
      <c r="TD6" s="68" t="s">
        <v>3</v>
      </c>
      <c r="TE6" s="70" t="s">
        <v>27</v>
      </c>
      <c r="TF6" s="68" t="s">
        <v>7</v>
      </c>
      <c r="TG6" s="68" t="s">
        <v>29</v>
      </c>
      <c r="TI6" s="68" t="s">
        <v>5</v>
      </c>
      <c r="TJ6" s="69" t="s">
        <v>0</v>
      </c>
      <c r="TK6" s="68" t="s">
        <v>2</v>
      </c>
      <c r="TL6" s="68" t="s">
        <v>3</v>
      </c>
      <c r="TM6" s="70" t="s">
        <v>27</v>
      </c>
      <c r="TN6" s="68" t="s">
        <v>7</v>
      </c>
      <c r="TO6" s="68" t="s">
        <v>29</v>
      </c>
      <c r="TQ6" s="68" t="s">
        <v>5</v>
      </c>
      <c r="TR6" s="69" t="s">
        <v>0</v>
      </c>
      <c r="TS6" s="68" t="s">
        <v>2</v>
      </c>
      <c r="TT6" s="68" t="s">
        <v>3</v>
      </c>
      <c r="TU6" s="70" t="s">
        <v>27</v>
      </c>
      <c r="TV6" s="68" t="s">
        <v>7</v>
      </c>
      <c r="TW6" s="68" t="s">
        <v>29</v>
      </c>
      <c r="TY6" s="68" t="s">
        <v>5</v>
      </c>
      <c r="TZ6" s="69" t="s">
        <v>0</v>
      </c>
      <c r="UA6" s="68" t="s">
        <v>2</v>
      </c>
      <c r="UB6" s="68" t="s">
        <v>3</v>
      </c>
      <c r="UC6" s="70" t="s">
        <v>27</v>
      </c>
      <c r="UD6" s="68" t="s">
        <v>7</v>
      </c>
      <c r="UE6" s="68" t="s">
        <v>29</v>
      </c>
      <c r="UG6" s="68" t="s">
        <v>5</v>
      </c>
      <c r="UH6" s="69" t="s">
        <v>0</v>
      </c>
      <c r="UI6" s="68" t="s">
        <v>2</v>
      </c>
      <c r="UJ6" s="68" t="s">
        <v>3</v>
      </c>
      <c r="UK6" s="70" t="s">
        <v>27</v>
      </c>
      <c r="UL6" s="68" t="s">
        <v>7</v>
      </c>
      <c r="UM6" s="68" t="s">
        <v>29</v>
      </c>
      <c r="UO6" s="68" t="s">
        <v>5</v>
      </c>
      <c r="UP6" s="69" t="s">
        <v>0</v>
      </c>
      <c r="UQ6" s="68" t="s">
        <v>2</v>
      </c>
      <c r="UR6" s="68" t="s">
        <v>3</v>
      </c>
      <c r="US6" s="70" t="s">
        <v>27</v>
      </c>
      <c r="UT6" s="68" t="s">
        <v>7</v>
      </c>
      <c r="UU6" s="68" t="s">
        <v>29</v>
      </c>
      <c r="UW6" s="68" t="s">
        <v>5</v>
      </c>
      <c r="UX6" s="69" t="s">
        <v>0</v>
      </c>
      <c r="UY6" s="68" t="s">
        <v>2</v>
      </c>
      <c r="UZ6" s="68" t="s">
        <v>3</v>
      </c>
      <c r="VA6" s="70" t="s">
        <v>27</v>
      </c>
      <c r="VB6" s="68" t="s">
        <v>7</v>
      </c>
      <c r="VC6" s="68" t="s">
        <v>29</v>
      </c>
      <c r="VE6" s="68" t="s">
        <v>5</v>
      </c>
      <c r="VF6" s="69" t="s">
        <v>0</v>
      </c>
      <c r="VG6" s="68" t="s">
        <v>2</v>
      </c>
      <c r="VH6" s="68" t="s">
        <v>3</v>
      </c>
      <c r="VI6" s="70" t="s">
        <v>27</v>
      </c>
      <c r="VJ6" s="68" t="s">
        <v>7</v>
      </c>
      <c r="VK6" s="68" t="s">
        <v>29</v>
      </c>
      <c r="VM6" s="68" t="s">
        <v>5</v>
      </c>
      <c r="VN6" s="69" t="s">
        <v>0</v>
      </c>
      <c r="VO6" s="68" t="s">
        <v>2</v>
      </c>
      <c r="VP6" s="68" t="s">
        <v>3</v>
      </c>
      <c r="VQ6" s="70" t="s">
        <v>27</v>
      </c>
      <c r="VR6" s="68" t="s">
        <v>7</v>
      </c>
      <c r="VS6" s="68" t="s">
        <v>29</v>
      </c>
      <c r="VU6" s="68" t="s">
        <v>5</v>
      </c>
      <c r="VV6" s="69" t="s">
        <v>0</v>
      </c>
      <c r="VW6" s="68" t="s">
        <v>2</v>
      </c>
      <c r="VX6" s="68" t="s">
        <v>3</v>
      </c>
      <c r="VY6" s="70" t="s">
        <v>27</v>
      </c>
      <c r="VZ6" s="68" t="s">
        <v>7</v>
      </c>
      <c r="WA6" s="68" t="s">
        <v>29</v>
      </c>
      <c r="WC6" s="68" t="s">
        <v>5</v>
      </c>
      <c r="WD6" s="69" t="s">
        <v>0</v>
      </c>
      <c r="WE6" s="68" t="s">
        <v>2</v>
      </c>
      <c r="WF6" s="68" t="s">
        <v>3</v>
      </c>
      <c r="WG6" s="70" t="s">
        <v>27</v>
      </c>
      <c r="WH6" s="68" t="s">
        <v>7</v>
      </c>
      <c r="WI6" s="68" t="s">
        <v>29</v>
      </c>
      <c r="WK6" s="68" t="s">
        <v>5</v>
      </c>
      <c r="WL6" s="69" t="s">
        <v>0</v>
      </c>
      <c r="WM6" s="68" t="s">
        <v>2</v>
      </c>
      <c r="WN6" s="68" t="s">
        <v>3</v>
      </c>
      <c r="WO6" s="70" t="s">
        <v>27</v>
      </c>
      <c r="WP6" s="68" t="s">
        <v>7</v>
      </c>
      <c r="WQ6" s="68" t="s">
        <v>29</v>
      </c>
      <c r="WS6" s="68" t="s">
        <v>5</v>
      </c>
      <c r="WT6" s="69" t="s">
        <v>0</v>
      </c>
      <c r="WU6" s="68" t="s">
        <v>2</v>
      </c>
      <c r="WV6" s="68" t="s">
        <v>3</v>
      </c>
      <c r="WW6" s="70" t="s">
        <v>27</v>
      </c>
      <c r="WX6" s="68" t="s">
        <v>7</v>
      </c>
      <c r="WY6" s="68" t="s">
        <v>29</v>
      </c>
      <c r="XA6" s="68" t="s">
        <v>5</v>
      </c>
      <c r="XB6" s="69" t="s">
        <v>0</v>
      </c>
      <c r="XC6" s="68" t="s">
        <v>2</v>
      </c>
      <c r="XD6" s="68" t="s">
        <v>3</v>
      </c>
      <c r="XE6" s="70" t="s">
        <v>27</v>
      </c>
      <c r="XF6" s="68" t="s">
        <v>7</v>
      </c>
      <c r="XG6" s="68" t="s">
        <v>29</v>
      </c>
      <c r="XI6" s="68" t="s">
        <v>5</v>
      </c>
      <c r="XJ6" s="69" t="s">
        <v>0</v>
      </c>
      <c r="XK6" s="68" t="s">
        <v>2</v>
      </c>
      <c r="XL6" s="68" t="s">
        <v>3</v>
      </c>
      <c r="XM6" s="70" t="s">
        <v>27</v>
      </c>
      <c r="XN6" s="68" t="s">
        <v>7</v>
      </c>
      <c r="XO6" s="68" t="s">
        <v>29</v>
      </c>
      <c r="XQ6" s="68" t="s">
        <v>5</v>
      </c>
      <c r="XR6" s="69" t="s">
        <v>0</v>
      </c>
      <c r="XS6" s="68" t="s">
        <v>2</v>
      </c>
      <c r="XT6" s="68" t="s">
        <v>3</v>
      </c>
      <c r="XU6" s="70" t="s">
        <v>27</v>
      </c>
      <c r="XV6" s="68" t="s">
        <v>7</v>
      </c>
      <c r="XW6" s="68" t="s">
        <v>29</v>
      </c>
      <c r="XY6" s="68" t="s">
        <v>5</v>
      </c>
      <c r="XZ6" s="69" t="s">
        <v>0</v>
      </c>
      <c r="YA6" s="68" t="s">
        <v>2</v>
      </c>
      <c r="YB6" s="68" t="s">
        <v>3</v>
      </c>
      <c r="YC6" s="70" t="s">
        <v>27</v>
      </c>
      <c r="YD6" s="68" t="s">
        <v>7</v>
      </c>
      <c r="YE6" s="68" t="s">
        <v>29</v>
      </c>
      <c r="YG6" s="68" t="s">
        <v>5</v>
      </c>
      <c r="YH6" s="69" t="s">
        <v>0</v>
      </c>
      <c r="YI6" s="68" t="s">
        <v>2</v>
      </c>
      <c r="YJ6" s="68" t="s">
        <v>3</v>
      </c>
      <c r="YK6" s="70" t="s">
        <v>27</v>
      </c>
      <c r="YL6" s="68" t="s">
        <v>7</v>
      </c>
      <c r="YM6" s="68" t="s">
        <v>29</v>
      </c>
      <c r="YO6" s="68" t="s">
        <v>5</v>
      </c>
      <c r="YP6" s="69" t="s">
        <v>0</v>
      </c>
      <c r="YQ6" s="68" t="s">
        <v>2</v>
      </c>
      <c r="YR6" s="68" t="s">
        <v>3</v>
      </c>
      <c r="YS6" s="70" t="s">
        <v>27</v>
      </c>
      <c r="YT6" s="68" t="s">
        <v>7</v>
      </c>
      <c r="YU6" s="68" t="s">
        <v>29</v>
      </c>
      <c r="YW6" s="68" t="s">
        <v>5</v>
      </c>
      <c r="YX6" s="69" t="s">
        <v>0</v>
      </c>
      <c r="YY6" s="68" t="s">
        <v>2</v>
      </c>
      <c r="YZ6" s="68" t="s">
        <v>3</v>
      </c>
      <c r="ZA6" s="70" t="s">
        <v>27</v>
      </c>
      <c r="ZB6" s="68" t="s">
        <v>7</v>
      </c>
      <c r="ZC6" s="68" t="s">
        <v>29</v>
      </c>
      <c r="ZE6" s="68" t="s">
        <v>5</v>
      </c>
      <c r="ZF6" s="69" t="s">
        <v>0</v>
      </c>
      <c r="ZG6" s="68" t="s">
        <v>2</v>
      </c>
      <c r="ZH6" s="68" t="s">
        <v>3</v>
      </c>
      <c r="ZI6" s="70" t="s">
        <v>27</v>
      </c>
      <c r="ZJ6" s="68" t="s">
        <v>7</v>
      </c>
      <c r="ZK6" s="68" t="s">
        <v>29</v>
      </c>
      <c r="ZM6" s="68" t="s">
        <v>5</v>
      </c>
      <c r="ZN6" s="69" t="s">
        <v>0</v>
      </c>
      <c r="ZO6" s="68" t="s">
        <v>2</v>
      </c>
      <c r="ZP6" s="68" t="s">
        <v>3</v>
      </c>
      <c r="ZQ6" s="70" t="s">
        <v>27</v>
      </c>
      <c r="ZR6" s="68" t="s">
        <v>7</v>
      </c>
      <c r="ZS6" s="68" t="s">
        <v>29</v>
      </c>
      <c r="ZU6" s="68" t="s">
        <v>5</v>
      </c>
      <c r="ZV6" s="69" t="s">
        <v>0</v>
      </c>
      <c r="ZW6" s="68" t="s">
        <v>2</v>
      </c>
      <c r="ZX6" s="68" t="s">
        <v>3</v>
      </c>
      <c r="ZY6" s="70" t="s">
        <v>27</v>
      </c>
      <c r="ZZ6" s="68" t="s">
        <v>7</v>
      </c>
      <c r="AAA6" s="68" t="s">
        <v>29</v>
      </c>
      <c r="AAC6" s="68" t="s">
        <v>5</v>
      </c>
      <c r="AAD6" s="69" t="s">
        <v>0</v>
      </c>
      <c r="AAE6" s="68" t="s">
        <v>2</v>
      </c>
      <c r="AAF6" s="68" t="s">
        <v>3</v>
      </c>
      <c r="AAG6" s="70" t="s">
        <v>27</v>
      </c>
      <c r="AAH6" s="68" t="s">
        <v>7</v>
      </c>
      <c r="AAI6" s="68" t="s">
        <v>29</v>
      </c>
      <c r="AAK6" s="68" t="s">
        <v>5</v>
      </c>
      <c r="AAL6" s="69" t="s">
        <v>0</v>
      </c>
      <c r="AAM6" s="68" t="s">
        <v>2</v>
      </c>
      <c r="AAN6" s="68" t="s">
        <v>3</v>
      </c>
      <c r="AAO6" s="70" t="s">
        <v>27</v>
      </c>
      <c r="AAP6" s="68" t="s">
        <v>7</v>
      </c>
      <c r="AAQ6" s="68" t="s">
        <v>29</v>
      </c>
      <c r="AAS6" s="68" t="s">
        <v>5</v>
      </c>
      <c r="AAT6" s="69" t="s">
        <v>0</v>
      </c>
      <c r="AAU6" s="68" t="s">
        <v>2</v>
      </c>
      <c r="AAV6" s="68" t="s">
        <v>3</v>
      </c>
      <c r="AAW6" s="70" t="s">
        <v>27</v>
      </c>
      <c r="AAX6" s="68" t="s">
        <v>7</v>
      </c>
      <c r="AAY6" s="68" t="s">
        <v>29</v>
      </c>
      <c r="ABA6" s="68" t="s">
        <v>5</v>
      </c>
      <c r="ABB6" s="69" t="s">
        <v>0</v>
      </c>
      <c r="ABC6" s="68" t="s">
        <v>2</v>
      </c>
      <c r="ABD6" s="68" t="s">
        <v>3</v>
      </c>
      <c r="ABE6" s="70" t="s">
        <v>27</v>
      </c>
      <c r="ABF6" s="68" t="s">
        <v>7</v>
      </c>
      <c r="ABG6" s="68" t="s">
        <v>29</v>
      </c>
      <c r="ABI6" s="68" t="s">
        <v>5</v>
      </c>
      <c r="ABJ6" s="69" t="s">
        <v>0</v>
      </c>
      <c r="ABK6" s="68" t="s">
        <v>2</v>
      </c>
      <c r="ABL6" s="68" t="s">
        <v>3</v>
      </c>
      <c r="ABM6" s="70" t="s">
        <v>27</v>
      </c>
      <c r="ABN6" s="68" t="s">
        <v>7</v>
      </c>
      <c r="ABO6" s="68" t="s">
        <v>29</v>
      </c>
      <c r="ABQ6" s="68" t="s">
        <v>5</v>
      </c>
      <c r="ABR6" s="69" t="s">
        <v>0</v>
      </c>
      <c r="ABS6" s="68" t="s">
        <v>2</v>
      </c>
      <c r="ABT6" s="68" t="s">
        <v>3</v>
      </c>
      <c r="ABU6" s="70" t="s">
        <v>27</v>
      </c>
      <c r="ABV6" s="68" t="s">
        <v>7</v>
      </c>
      <c r="ABW6" s="68" t="s">
        <v>29</v>
      </c>
      <c r="ABY6" s="68" t="s">
        <v>5</v>
      </c>
      <c r="ABZ6" s="69" t="s">
        <v>0</v>
      </c>
      <c r="ACA6" s="68" t="s">
        <v>2</v>
      </c>
      <c r="ACB6" s="68" t="s">
        <v>3</v>
      </c>
      <c r="ACC6" s="70" t="s">
        <v>27</v>
      </c>
      <c r="ACD6" s="68" t="s">
        <v>7</v>
      </c>
      <c r="ACE6" s="68" t="s">
        <v>29</v>
      </c>
    </row>
    <row r="7" spans="1:759" ht="15.75" thickBot="1" x14ac:dyDescent="0.3">
      <c r="A7" s="73"/>
      <c r="B7" s="73" t="s">
        <v>1</v>
      </c>
      <c r="C7" s="73"/>
      <c r="D7" s="74" t="s">
        <v>4</v>
      </c>
      <c r="E7" s="74" t="s">
        <v>28</v>
      </c>
      <c r="F7" s="75" t="s">
        <v>6</v>
      </c>
      <c r="G7" s="76" t="s">
        <v>30</v>
      </c>
      <c r="H7" s="71"/>
      <c r="I7" s="73"/>
      <c r="J7" s="73" t="s">
        <v>1</v>
      </c>
      <c r="K7" s="73"/>
      <c r="L7" s="75" t="s">
        <v>4</v>
      </c>
      <c r="M7" s="74" t="s">
        <v>28</v>
      </c>
      <c r="N7" s="75" t="s">
        <v>6</v>
      </c>
      <c r="O7" s="76" t="s">
        <v>30</v>
      </c>
      <c r="P7" s="110"/>
      <c r="Q7" s="73"/>
      <c r="R7" s="73" t="s">
        <v>1</v>
      </c>
      <c r="S7" s="73"/>
      <c r="T7" s="75" t="s">
        <v>4</v>
      </c>
      <c r="U7" s="74" t="s">
        <v>28</v>
      </c>
      <c r="V7" s="75" t="s">
        <v>6</v>
      </c>
      <c r="W7" s="76" t="s">
        <v>30</v>
      </c>
      <c r="X7" s="72"/>
      <c r="Y7" s="73"/>
      <c r="Z7" s="73" t="s">
        <v>1</v>
      </c>
      <c r="AA7" s="73"/>
      <c r="AB7" s="75" t="s">
        <v>4</v>
      </c>
      <c r="AC7" s="74" t="s">
        <v>28</v>
      </c>
      <c r="AD7" s="75"/>
      <c r="AE7" s="76" t="s">
        <v>30</v>
      </c>
      <c r="AF7" s="72"/>
      <c r="AG7" s="73"/>
      <c r="AH7" s="75" t="s">
        <v>1</v>
      </c>
      <c r="AI7" s="73"/>
      <c r="AJ7" s="75" t="s">
        <v>4</v>
      </c>
      <c r="AK7" s="74" t="s">
        <v>28</v>
      </c>
      <c r="AL7" s="75" t="s">
        <v>6</v>
      </c>
      <c r="AM7" s="76" t="s">
        <v>30</v>
      </c>
      <c r="AN7" s="72"/>
      <c r="AO7" s="73"/>
      <c r="AP7" s="73" t="s">
        <v>1</v>
      </c>
      <c r="AQ7" s="73"/>
      <c r="AR7" s="75" t="s">
        <v>4</v>
      </c>
      <c r="AS7" s="74" t="s">
        <v>28</v>
      </c>
      <c r="AT7" s="75" t="s">
        <v>6</v>
      </c>
      <c r="AU7" s="76" t="s">
        <v>30</v>
      </c>
      <c r="AV7" s="72"/>
      <c r="AW7" s="73"/>
      <c r="AX7" s="73" t="s">
        <v>1</v>
      </c>
      <c r="AY7" s="73"/>
      <c r="AZ7" s="75" t="s">
        <v>4</v>
      </c>
      <c r="BA7" s="74" t="s">
        <v>28</v>
      </c>
      <c r="BB7" s="75" t="s">
        <v>6</v>
      </c>
      <c r="BC7" s="76" t="s">
        <v>30</v>
      </c>
      <c r="BD7" s="72"/>
      <c r="BE7" s="73"/>
      <c r="BF7" s="73" t="s">
        <v>1</v>
      </c>
      <c r="BG7" s="73"/>
      <c r="BH7" s="75" t="s">
        <v>4</v>
      </c>
      <c r="BI7" s="74" t="s">
        <v>28</v>
      </c>
      <c r="BJ7" s="75" t="s">
        <v>6</v>
      </c>
      <c r="BK7" s="76" t="s">
        <v>30</v>
      </c>
      <c r="BL7" s="72"/>
      <c r="BM7" s="73"/>
      <c r="BN7" s="73" t="s">
        <v>1</v>
      </c>
      <c r="BO7" s="73"/>
      <c r="BP7" s="75" t="s">
        <v>4</v>
      </c>
      <c r="BQ7" s="74" t="s">
        <v>28</v>
      </c>
      <c r="BR7" s="75" t="s">
        <v>6</v>
      </c>
      <c r="BS7" s="76" t="s">
        <v>30</v>
      </c>
      <c r="BT7" s="198"/>
      <c r="BU7" s="73"/>
      <c r="BV7" s="73" t="s">
        <v>1</v>
      </c>
      <c r="BW7" s="73"/>
      <c r="BX7" s="75" t="s">
        <v>4</v>
      </c>
      <c r="BY7" s="74" t="s">
        <v>28</v>
      </c>
      <c r="BZ7" s="75" t="s">
        <v>6</v>
      </c>
      <c r="CA7" s="76" t="s">
        <v>30</v>
      </c>
      <c r="CB7" s="72"/>
      <c r="CC7" s="73"/>
      <c r="CD7" s="73" t="s">
        <v>1</v>
      </c>
      <c r="CE7" s="73"/>
      <c r="CF7" s="75" t="s">
        <v>4</v>
      </c>
      <c r="CG7" s="74" t="s">
        <v>28</v>
      </c>
      <c r="CH7" s="75" t="s">
        <v>6</v>
      </c>
      <c r="CI7" s="76" t="s">
        <v>30</v>
      </c>
      <c r="CJ7" s="72"/>
      <c r="CK7" s="73"/>
      <c r="CL7" s="73" t="s">
        <v>1</v>
      </c>
      <c r="CM7" s="73"/>
      <c r="CN7" s="75" t="s">
        <v>4</v>
      </c>
      <c r="CO7" s="74" t="s">
        <v>28</v>
      </c>
      <c r="CP7" s="75" t="s">
        <v>6</v>
      </c>
      <c r="CQ7" s="76" t="s">
        <v>30</v>
      </c>
      <c r="CR7" s="72"/>
      <c r="CS7" s="73"/>
      <c r="CT7" s="73" t="s">
        <v>1</v>
      </c>
      <c r="CU7" s="73"/>
      <c r="CV7" s="75" t="s">
        <v>4</v>
      </c>
      <c r="CW7" s="74" t="s">
        <v>28</v>
      </c>
      <c r="CX7" s="75" t="s">
        <v>6</v>
      </c>
      <c r="CY7" s="76" t="s">
        <v>30</v>
      </c>
      <c r="CZ7" s="72"/>
      <c r="DA7" s="73"/>
      <c r="DB7" s="73" t="s">
        <v>1</v>
      </c>
      <c r="DC7" s="177"/>
      <c r="DD7" s="75" t="s">
        <v>4</v>
      </c>
      <c r="DE7" s="74" t="s">
        <v>28</v>
      </c>
      <c r="DF7" s="75" t="s">
        <v>6</v>
      </c>
      <c r="DG7" s="76" t="s">
        <v>30</v>
      </c>
      <c r="DH7" s="72"/>
      <c r="DI7" s="73"/>
      <c r="DJ7" s="73" t="s">
        <v>1</v>
      </c>
      <c r="DK7" s="73"/>
      <c r="DL7" s="75" t="s">
        <v>4</v>
      </c>
      <c r="DM7" s="74" t="s">
        <v>28</v>
      </c>
      <c r="DN7" s="75" t="s">
        <v>6</v>
      </c>
      <c r="DO7" s="76" t="s">
        <v>30</v>
      </c>
      <c r="DP7" s="72"/>
      <c r="DQ7" s="73"/>
      <c r="DR7" s="73" t="s">
        <v>1</v>
      </c>
      <c r="DS7" s="73"/>
      <c r="DT7" s="75" t="s">
        <v>4</v>
      </c>
      <c r="DU7" s="74" t="s">
        <v>28</v>
      </c>
      <c r="DV7" s="75" t="s">
        <v>6</v>
      </c>
      <c r="DW7" s="76" t="s">
        <v>30</v>
      </c>
      <c r="DX7" s="72"/>
      <c r="DY7" s="73"/>
      <c r="DZ7" s="73" t="s">
        <v>1</v>
      </c>
      <c r="EA7" s="73"/>
      <c r="EB7" s="75" t="s">
        <v>4</v>
      </c>
      <c r="EC7" s="74" t="s">
        <v>28</v>
      </c>
      <c r="ED7" s="75" t="s">
        <v>6</v>
      </c>
      <c r="EE7" s="76" t="s">
        <v>30</v>
      </c>
      <c r="EF7" s="72"/>
      <c r="EG7" s="73"/>
      <c r="EH7" s="73" t="s">
        <v>1</v>
      </c>
      <c r="EI7" s="73"/>
      <c r="EJ7" s="75" t="s">
        <v>4</v>
      </c>
      <c r="EK7" s="74" t="s">
        <v>28</v>
      </c>
      <c r="EL7" s="75" t="s">
        <v>6</v>
      </c>
      <c r="EM7" s="76" t="s">
        <v>30</v>
      </c>
      <c r="EO7" s="73"/>
      <c r="EP7" s="73" t="s">
        <v>1</v>
      </c>
      <c r="EQ7" s="73"/>
      <c r="ER7" s="75" t="s">
        <v>4</v>
      </c>
      <c r="ES7" s="74" t="s">
        <v>28</v>
      </c>
      <c r="ET7" s="75" t="s">
        <v>6</v>
      </c>
      <c r="EU7" s="76" t="s">
        <v>30</v>
      </c>
      <c r="EW7" s="73"/>
      <c r="EX7" s="73" t="s">
        <v>1</v>
      </c>
      <c r="EY7" s="73"/>
      <c r="EZ7" s="75" t="s">
        <v>4</v>
      </c>
      <c r="FA7" s="74" t="s">
        <v>28</v>
      </c>
      <c r="FB7" s="75" t="s">
        <v>6</v>
      </c>
      <c r="FC7" s="76" t="s">
        <v>30</v>
      </c>
      <c r="FE7" s="73"/>
      <c r="FF7" s="73" t="s">
        <v>1</v>
      </c>
      <c r="FG7" s="73"/>
      <c r="FH7" s="75" t="s">
        <v>4</v>
      </c>
      <c r="FI7" s="74" t="s">
        <v>28</v>
      </c>
      <c r="FJ7" s="75" t="s">
        <v>6</v>
      </c>
      <c r="FK7" s="76" t="s">
        <v>30</v>
      </c>
      <c r="FM7" s="73"/>
      <c r="FN7" s="73" t="s">
        <v>1</v>
      </c>
      <c r="FO7" s="73"/>
      <c r="FP7" s="75" t="s">
        <v>4</v>
      </c>
      <c r="FQ7" s="74" t="s">
        <v>28</v>
      </c>
      <c r="FR7" s="75" t="s">
        <v>6</v>
      </c>
      <c r="FS7" s="76" t="s">
        <v>30</v>
      </c>
      <c r="FU7" s="73"/>
      <c r="FV7" s="73" t="s">
        <v>1</v>
      </c>
      <c r="FW7" s="73"/>
      <c r="FX7" s="75" t="s">
        <v>4</v>
      </c>
      <c r="FY7" s="74" t="s">
        <v>28</v>
      </c>
      <c r="FZ7" s="75" t="s">
        <v>6</v>
      </c>
      <c r="GA7" s="76" t="s">
        <v>30</v>
      </c>
      <c r="GB7" s="61"/>
      <c r="GC7" s="73"/>
      <c r="GD7" s="73" t="s">
        <v>1</v>
      </c>
      <c r="GE7" s="73"/>
      <c r="GF7" s="75" t="s">
        <v>4</v>
      </c>
      <c r="GG7" s="74" t="s">
        <v>28</v>
      </c>
      <c r="GH7" s="75" t="s">
        <v>6</v>
      </c>
      <c r="GI7" s="76" t="s">
        <v>30</v>
      </c>
      <c r="GK7" s="73"/>
      <c r="GL7" s="73" t="s">
        <v>1</v>
      </c>
      <c r="GM7" s="73"/>
      <c r="GN7" s="75" t="s">
        <v>4</v>
      </c>
      <c r="GO7" s="74" t="s">
        <v>28</v>
      </c>
      <c r="GP7" s="75" t="s">
        <v>6</v>
      </c>
      <c r="GQ7" s="76" t="s">
        <v>30</v>
      </c>
      <c r="GS7" s="73"/>
      <c r="GT7" s="73" t="s">
        <v>1</v>
      </c>
      <c r="GU7" s="73"/>
      <c r="GV7" s="75" t="s">
        <v>4</v>
      </c>
      <c r="GW7" s="74" t="s">
        <v>28</v>
      </c>
      <c r="GX7" s="75" t="s">
        <v>6</v>
      </c>
      <c r="GY7" s="76"/>
      <c r="HA7" s="73"/>
      <c r="HB7" s="73" t="s">
        <v>1</v>
      </c>
      <c r="HC7" s="73"/>
      <c r="HD7" s="75" t="s">
        <v>4</v>
      </c>
      <c r="HE7" s="74" t="s">
        <v>28</v>
      </c>
      <c r="HF7" s="75" t="s">
        <v>6</v>
      </c>
      <c r="HG7" s="76" t="s">
        <v>30</v>
      </c>
      <c r="HI7" s="73"/>
      <c r="HJ7" s="73" t="s">
        <v>1</v>
      </c>
      <c r="HK7" s="73"/>
      <c r="HL7" s="75" t="s">
        <v>4</v>
      </c>
      <c r="HM7" s="74" t="s">
        <v>28</v>
      </c>
      <c r="HN7" s="75" t="s">
        <v>6</v>
      </c>
      <c r="HO7" s="76" t="s">
        <v>30</v>
      </c>
      <c r="HQ7" s="73"/>
      <c r="HR7" s="73" t="s">
        <v>1</v>
      </c>
      <c r="HS7" s="73"/>
      <c r="HT7" s="75" t="s">
        <v>4</v>
      </c>
      <c r="HU7" s="74" t="s">
        <v>28</v>
      </c>
      <c r="HV7" s="75" t="s">
        <v>6</v>
      </c>
      <c r="HW7" s="76" t="s">
        <v>30</v>
      </c>
      <c r="HY7" s="73"/>
      <c r="HZ7" s="73" t="s">
        <v>1</v>
      </c>
      <c r="IA7" s="73"/>
      <c r="IB7" s="75" t="s">
        <v>4</v>
      </c>
      <c r="IC7" s="74" t="s">
        <v>28</v>
      </c>
      <c r="ID7" s="75" t="s">
        <v>6</v>
      </c>
      <c r="IE7" s="76" t="s">
        <v>30</v>
      </c>
      <c r="IF7" s="268"/>
      <c r="IG7" s="73"/>
      <c r="IH7" s="73" t="s">
        <v>1</v>
      </c>
      <c r="II7" s="73"/>
      <c r="IJ7" s="75" t="s">
        <v>4</v>
      </c>
      <c r="IK7" s="74" t="s">
        <v>28</v>
      </c>
      <c r="IL7" s="75"/>
      <c r="IM7" s="76"/>
      <c r="IO7" s="73"/>
      <c r="IP7" s="73" t="s">
        <v>1</v>
      </c>
      <c r="IQ7" s="73"/>
      <c r="IR7" s="75" t="s">
        <v>4</v>
      </c>
      <c r="IS7" s="74" t="s">
        <v>28</v>
      </c>
      <c r="IT7" s="75" t="s">
        <v>6</v>
      </c>
      <c r="IU7" s="76" t="s">
        <v>30</v>
      </c>
      <c r="IW7" s="73"/>
      <c r="IX7" s="73" t="s">
        <v>1</v>
      </c>
      <c r="IY7" s="73"/>
      <c r="IZ7" s="75" t="s">
        <v>4</v>
      </c>
      <c r="JA7" s="74" t="s">
        <v>28</v>
      </c>
      <c r="JB7" s="75" t="s">
        <v>6</v>
      </c>
      <c r="JC7" s="76" t="s">
        <v>30</v>
      </c>
      <c r="JE7" s="73"/>
      <c r="JF7" s="73" t="s">
        <v>1</v>
      </c>
      <c r="JG7" s="73"/>
      <c r="JH7" s="75" t="s">
        <v>4</v>
      </c>
      <c r="JI7" s="74" t="s">
        <v>28</v>
      </c>
      <c r="JJ7" s="75" t="s">
        <v>6</v>
      </c>
      <c r="JK7" s="76" t="s">
        <v>30</v>
      </c>
      <c r="JM7" s="73"/>
      <c r="JN7" s="73" t="s">
        <v>1</v>
      </c>
      <c r="JO7" s="73"/>
      <c r="JP7" s="75" t="s">
        <v>4</v>
      </c>
      <c r="JQ7" s="74" t="s">
        <v>28</v>
      </c>
      <c r="JR7" s="75" t="s">
        <v>6</v>
      </c>
      <c r="JS7" s="76" t="s">
        <v>30</v>
      </c>
      <c r="JU7" s="73"/>
      <c r="JV7" s="73" t="s">
        <v>1</v>
      </c>
      <c r="JW7" s="73"/>
      <c r="JX7" s="75" t="s">
        <v>4</v>
      </c>
      <c r="JY7" s="74" t="s">
        <v>28</v>
      </c>
      <c r="JZ7" s="75" t="s">
        <v>6</v>
      </c>
      <c r="KA7" s="76" t="s">
        <v>30</v>
      </c>
      <c r="KC7" s="73"/>
      <c r="KD7" s="73" t="s">
        <v>1</v>
      </c>
      <c r="KE7" s="73"/>
      <c r="KF7" s="75" t="s">
        <v>4</v>
      </c>
      <c r="KG7" s="74" t="s">
        <v>28</v>
      </c>
      <c r="KH7" s="76" t="s">
        <v>6</v>
      </c>
      <c r="KI7" s="76" t="s">
        <v>30</v>
      </c>
      <c r="KK7" s="73"/>
      <c r="KL7" s="73" t="s">
        <v>1</v>
      </c>
      <c r="KM7" s="73"/>
      <c r="KN7" s="75" t="s">
        <v>4</v>
      </c>
      <c r="KO7" s="74" t="s">
        <v>28</v>
      </c>
      <c r="KP7" s="75" t="s">
        <v>6</v>
      </c>
      <c r="KQ7" s="76" t="s">
        <v>30</v>
      </c>
      <c r="KR7" s="162"/>
      <c r="KS7" s="73"/>
      <c r="KT7" s="73" t="s">
        <v>1</v>
      </c>
      <c r="KU7" s="73"/>
      <c r="KV7" s="75" t="s">
        <v>4</v>
      </c>
      <c r="KW7" s="74" t="s">
        <v>28</v>
      </c>
      <c r="KX7" s="75" t="s">
        <v>6</v>
      </c>
      <c r="KY7" s="76" t="s">
        <v>30</v>
      </c>
      <c r="KZ7" s="162"/>
      <c r="LA7" s="73"/>
      <c r="LB7" s="73" t="s">
        <v>1</v>
      </c>
      <c r="LC7" s="73"/>
      <c r="LD7" s="75" t="s">
        <v>4</v>
      </c>
      <c r="LE7" s="74" t="s">
        <v>28</v>
      </c>
      <c r="LF7" s="75" t="s">
        <v>6</v>
      </c>
      <c r="LG7" s="76" t="s">
        <v>30</v>
      </c>
      <c r="LH7" s="162"/>
      <c r="LI7" s="73"/>
      <c r="LJ7" s="73"/>
      <c r="LK7" s="73"/>
      <c r="LL7" s="75" t="s">
        <v>4</v>
      </c>
      <c r="LM7" s="74" t="s">
        <v>28</v>
      </c>
      <c r="LN7" s="75" t="s">
        <v>6</v>
      </c>
      <c r="LO7" s="76" t="s">
        <v>30</v>
      </c>
      <c r="LQ7" s="73"/>
      <c r="LR7" s="73" t="s">
        <v>1</v>
      </c>
      <c r="LS7" s="73"/>
      <c r="LT7" s="75" t="s">
        <v>4</v>
      </c>
      <c r="LU7" s="74" t="s">
        <v>28</v>
      </c>
      <c r="LV7" s="75" t="s">
        <v>6</v>
      </c>
      <c r="LW7" s="76" t="s">
        <v>30</v>
      </c>
      <c r="LY7" s="73"/>
      <c r="LZ7" s="73" t="s">
        <v>1</v>
      </c>
      <c r="MA7" s="73"/>
      <c r="MB7" s="75" t="s">
        <v>4</v>
      </c>
      <c r="MC7" s="74" t="s">
        <v>28</v>
      </c>
      <c r="MD7" s="75" t="s">
        <v>6</v>
      </c>
      <c r="ME7" s="76" t="s">
        <v>30</v>
      </c>
      <c r="MG7" s="73"/>
      <c r="MH7" s="73" t="s">
        <v>1</v>
      </c>
      <c r="MI7" s="73"/>
      <c r="MJ7" s="75" t="s">
        <v>4</v>
      </c>
      <c r="MK7" s="74" t="s">
        <v>28</v>
      </c>
      <c r="ML7" s="75" t="s">
        <v>6</v>
      </c>
      <c r="MM7" s="76" t="s">
        <v>30</v>
      </c>
      <c r="MO7" s="73"/>
      <c r="MP7" s="73" t="s">
        <v>1</v>
      </c>
      <c r="MQ7" s="73"/>
      <c r="MR7" s="75" t="s">
        <v>4</v>
      </c>
      <c r="MS7" s="74" t="s">
        <v>28</v>
      </c>
      <c r="MT7" s="75" t="s">
        <v>6</v>
      </c>
      <c r="MU7" s="76" t="s">
        <v>30</v>
      </c>
      <c r="MW7" s="73"/>
      <c r="MX7" s="73" t="s">
        <v>1</v>
      </c>
      <c r="MY7" s="73"/>
      <c r="MZ7" s="75" t="s">
        <v>4</v>
      </c>
      <c r="NA7" s="74" t="s">
        <v>28</v>
      </c>
      <c r="NB7" s="75" t="s">
        <v>6</v>
      </c>
      <c r="NC7" s="76" t="s">
        <v>30</v>
      </c>
      <c r="NE7" s="73"/>
      <c r="NF7" s="73" t="s">
        <v>1</v>
      </c>
      <c r="NG7" s="73"/>
      <c r="NH7" s="75" t="s">
        <v>4</v>
      </c>
      <c r="NI7" s="74" t="s">
        <v>28</v>
      </c>
      <c r="NJ7" s="75" t="s">
        <v>6</v>
      </c>
      <c r="NK7" s="76" t="s">
        <v>30</v>
      </c>
      <c r="NM7" s="73"/>
      <c r="NN7" s="73" t="s">
        <v>1</v>
      </c>
      <c r="NO7" s="73"/>
      <c r="NP7" s="75" t="s">
        <v>4</v>
      </c>
      <c r="NQ7" s="74" t="s">
        <v>28</v>
      </c>
      <c r="NR7" s="75" t="s">
        <v>6</v>
      </c>
      <c r="NS7" s="76" t="s">
        <v>30</v>
      </c>
      <c r="NU7" s="73"/>
      <c r="NV7" s="73" t="s">
        <v>1</v>
      </c>
      <c r="NW7" s="73"/>
      <c r="NX7" s="75" t="s">
        <v>4</v>
      </c>
      <c r="NY7" s="74" t="s">
        <v>28</v>
      </c>
      <c r="NZ7" s="75" t="s">
        <v>6</v>
      </c>
      <c r="OA7" s="76" t="s">
        <v>30</v>
      </c>
      <c r="OC7" s="73"/>
      <c r="OD7" s="73" t="s">
        <v>1</v>
      </c>
      <c r="OE7" s="73"/>
      <c r="OF7" s="75" t="s">
        <v>4</v>
      </c>
      <c r="OG7" s="74" t="s">
        <v>28</v>
      </c>
      <c r="OH7" s="75" t="s">
        <v>6</v>
      </c>
      <c r="OI7" s="76" t="s">
        <v>30</v>
      </c>
      <c r="OK7" s="73"/>
      <c r="OL7" s="73" t="s">
        <v>1</v>
      </c>
      <c r="OM7" s="73"/>
      <c r="ON7" s="75" t="s">
        <v>4</v>
      </c>
      <c r="OO7" s="74" t="s">
        <v>28</v>
      </c>
      <c r="OP7" s="75" t="s">
        <v>6</v>
      </c>
      <c r="OQ7" s="76" t="s">
        <v>30</v>
      </c>
      <c r="OS7" s="169"/>
      <c r="OT7" s="73" t="s">
        <v>1</v>
      </c>
      <c r="OU7" s="73"/>
      <c r="OV7" s="75" t="s">
        <v>4</v>
      </c>
      <c r="OW7" s="74" t="s">
        <v>28</v>
      </c>
      <c r="OX7" s="75" t="s">
        <v>6</v>
      </c>
      <c r="OY7" s="76" t="s">
        <v>30</v>
      </c>
      <c r="PA7" s="73"/>
      <c r="PB7" s="73" t="s">
        <v>1</v>
      </c>
      <c r="PC7" s="73"/>
      <c r="PD7" s="75" t="s">
        <v>4</v>
      </c>
      <c r="PE7" s="74" t="s">
        <v>28</v>
      </c>
      <c r="PF7" s="75" t="s">
        <v>6</v>
      </c>
      <c r="PG7" s="76" t="s">
        <v>30</v>
      </c>
      <c r="PH7" s="162"/>
      <c r="PI7" s="73"/>
      <c r="PJ7" s="73" t="s">
        <v>1</v>
      </c>
      <c r="PK7" s="73"/>
      <c r="PL7" s="75" t="s">
        <v>4</v>
      </c>
      <c r="PM7" s="74" t="s">
        <v>28</v>
      </c>
      <c r="PN7" s="75" t="s">
        <v>6</v>
      </c>
      <c r="PO7" s="75" t="s">
        <v>30</v>
      </c>
      <c r="PQ7" s="73"/>
      <c r="PR7" s="73" t="s">
        <v>1</v>
      </c>
      <c r="PS7" s="73"/>
      <c r="PT7" s="75" t="s">
        <v>4</v>
      </c>
      <c r="PU7" s="74" t="s">
        <v>28</v>
      </c>
      <c r="PV7" s="4" t="s">
        <v>6</v>
      </c>
      <c r="PW7" s="76" t="s">
        <v>30</v>
      </c>
      <c r="PY7" s="73"/>
      <c r="PZ7" s="73" t="s">
        <v>1</v>
      </c>
      <c r="QA7" s="73"/>
      <c r="QB7" s="75" t="s">
        <v>4</v>
      </c>
      <c r="QC7" s="74" t="s">
        <v>28</v>
      </c>
      <c r="QD7" s="75" t="s">
        <v>6</v>
      </c>
      <c r="QE7" s="76" t="s">
        <v>30</v>
      </c>
      <c r="QG7" s="73"/>
      <c r="QH7" s="73" t="s">
        <v>1</v>
      </c>
      <c r="QI7" s="73"/>
      <c r="QJ7" s="75" t="s">
        <v>4</v>
      </c>
      <c r="QK7" s="74" t="s">
        <v>28</v>
      </c>
      <c r="QL7" s="75" t="s">
        <v>6</v>
      </c>
      <c r="QM7" s="76" t="s">
        <v>30</v>
      </c>
      <c r="QO7" s="73"/>
      <c r="QP7" s="73" t="s">
        <v>1</v>
      </c>
      <c r="QQ7" s="73"/>
      <c r="QR7" s="75" t="s">
        <v>4</v>
      </c>
      <c r="QS7" s="74" t="s">
        <v>28</v>
      </c>
      <c r="QT7" s="75" t="s">
        <v>6</v>
      </c>
      <c r="QU7" s="75" t="s">
        <v>30</v>
      </c>
      <c r="QW7" s="73"/>
      <c r="QX7" s="73" t="s">
        <v>1</v>
      </c>
      <c r="QY7" s="73"/>
      <c r="QZ7" s="75" t="s">
        <v>4</v>
      </c>
      <c r="RA7" s="74" t="s">
        <v>28</v>
      </c>
      <c r="RB7" s="75" t="s">
        <v>6</v>
      </c>
      <c r="RC7" s="76" t="s">
        <v>30</v>
      </c>
      <c r="RE7" s="73"/>
      <c r="RF7" s="73" t="s">
        <v>1</v>
      </c>
      <c r="RG7" s="73"/>
      <c r="RH7" s="75" t="s">
        <v>4</v>
      </c>
      <c r="RI7" s="74" t="s">
        <v>28</v>
      </c>
      <c r="RJ7" s="75" t="s">
        <v>6</v>
      </c>
      <c r="RK7" s="76" t="s">
        <v>30</v>
      </c>
      <c r="RM7" s="73"/>
      <c r="RN7" s="73" t="s">
        <v>1</v>
      </c>
      <c r="RO7" s="73"/>
      <c r="RP7" s="75" t="s">
        <v>4</v>
      </c>
      <c r="RQ7" s="74" t="s">
        <v>28</v>
      </c>
      <c r="RR7" s="75" t="s">
        <v>6</v>
      </c>
      <c r="RS7" s="76" t="s">
        <v>30</v>
      </c>
      <c r="RU7" s="73"/>
      <c r="RV7" s="73" t="s">
        <v>1</v>
      </c>
      <c r="RW7" s="73"/>
      <c r="RX7" s="75" t="s">
        <v>4</v>
      </c>
      <c r="RY7" s="74" t="s">
        <v>28</v>
      </c>
      <c r="RZ7" s="75" t="s">
        <v>6</v>
      </c>
      <c r="SA7" s="76" t="s">
        <v>30</v>
      </c>
      <c r="SC7" s="73"/>
      <c r="SD7" s="73" t="s">
        <v>1</v>
      </c>
      <c r="SE7" s="73"/>
      <c r="SF7" s="75" t="s">
        <v>4</v>
      </c>
      <c r="SG7" s="74" t="s">
        <v>28</v>
      </c>
      <c r="SH7" s="75" t="s">
        <v>6</v>
      </c>
      <c r="SI7" s="76" t="s">
        <v>30</v>
      </c>
      <c r="SK7" s="73"/>
      <c r="SL7" s="73" t="s">
        <v>1</v>
      </c>
      <c r="SM7" s="73"/>
      <c r="SN7" s="75" t="s">
        <v>4</v>
      </c>
      <c r="SO7" s="74" t="s">
        <v>28</v>
      </c>
      <c r="SP7" s="75" t="s">
        <v>6</v>
      </c>
      <c r="SQ7" s="76" t="s">
        <v>30</v>
      </c>
      <c r="SS7" s="73"/>
      <c r="ST7" s="73" t="s">
        <v>1</v>
      </c>
      <c r="SU7" s="73"/>
      <c r="SV7" s="75" t="s">
        <v>4</v>
      </c>
      <c r="SW7" s="74" t="s">
        <v>28</v>
      </c>
      <c r="SX7" s="75" t="s">
        <v>6</v>
      </c>
      <c r="SY7" s="76" t="s">
        <v>30</v>
      </c>
      <c r="TA7" s="73"/>
      <c r="TB7" s="73" t="s">
        <v>1</v>
      </c>
      <c r="TC7" s="73"/>
      <c r="TD7" s="75" t="s">
        <v>4</v>
      </c>
      <c r="TE7" s="74" t="s">
        <v>28</v>
      </c>
      <c r="TF7" s="75" t="s">
        <v>6</v>
      </c>
      <c r="TG7" s="76" t="s">
        <v>30</v>
      </c>
      <c r="TI7" s="73"/>
      <c r="TJ7" s="73" t="s">
        <v>1</v>
      </c>
      <c r="TK7" s="73"/>
      <c r="TL7" s="75" t="s">
        <v>4</v>
      </c>
      <c r="TM7" s="74" t="s">
        <v>28</v>
      </c>
      <c r="TN7" s="75" t="s">
        <v>6</v>
      </c>
      <c r="TO7" s="76" t="s">
        <v>30</v>
      </c>
      <c r="TQ7" s="73"/>
      <c r="TR7" s="73" t="s">
        <v>1</v>
      </c>
      <c r="TS7" s="73"/>
      <c r="TT7" s="75" t="s">
        <v>4</v>
      </c>
      <c r="TU7" s="74" t="s">
        <v>28</v>
      </c>
      <c r="TV7" s="183" t="s">
        <v>6</v>
      </c>
      <c r="TW7" s="76" t="s">
        <v>30</v>
      </c>
      <c r="TY7" s="73"/>
      <c r="TZ7" s="73" t="s">
        <v>1</v>
      </c>
      <c r="UA7" s="73"/>
      <c r="UB7" s="75" t="s">
        <v>4</v>
      </c>
      <c r="UC7" s="74" t="s">
        <v>28</v>
      </c>
      <c r="UD7" s="75" t="s">
        <v>6</v>
      </c>
      <c r="UE7" s="76" t="s">
        <v>30</v>
      </c>
      <c r="UG7" s="73"/>
      <c r="UH7" s="73" t="s">
        <v>1</v>
      </c>
      <c r="UI7" s="73"/>
      <c r="UJ7" s="75" t="s">
        <v>4</v>
      </c>
      <c r="UK7" s="74" t="s">
        <v>28</v>
      </c>
      <c r="UL7" s="75" t="s">
        <v>6</v>
      </c>
      <c r="UM7" s="76" t="s">
        <v>30</v>
      </c>
      <c r="UO7" s="73"/>
      <c r="UP7" s="73" t="s">
        <v>1</v>
      </c>
      <c r="UQ7" s="73"/>
      <c r="UR7" s="75" t="s">
        <v>4</v>
      </c>
      <c r="US7" s="74" t="s">
        <v>28</v>
      </c>
      <c r="UT7" s="75" t="s">
        <v>6</v>
      </c>
      <c r="UU7" s="76" t="s">
        <v>30</v>
      </c>
      <c r="UW7" s="73"/>
      <c r="UX7" s="73" t="s">
        <v>1</v>
      </c>
      <c r="UY7" s="73"/>
      <c r="UZ7" s="75" t="s">
        <v>4</v>
      </c>
      <c r="VA7" s="74" t="s">
        <v>28</v>
      </c>
      <c r="VB7" s="75" t="s">
        <v>6</v>
      </c>
      <c r="VC7" s="76" t="s">
        <v>30</v>
      </c>
      <c r="VE7" s="73"/>
      <c r="VF7" s="73" t="s">
        <v>1</v>
      </c>
      <c r="VG7" s="73"/>
      <c r="VH7" s="75" t="s">
        <v>4</v>
      </c>
      <c r="VI7" s="74" t="s">
        <v>28</v>
      </c>
      <c r="VJ7" s="75" t="s">
        <v>6</v>
      </c>
      <c r="VK7" s="76" t="s">
        <v>30</v>
      </c>
      <c r="VM7" s="73"/>
      <c r="VN7" s="73" t="s">
        <v>1</v>
      </c>
      <c r="VO7" s="73"/>
      <c r="VP7" s="75" t="s">
        <v>4</v>
      </c>
      <c r="VQ7" s="74" t="s">
        <v>28</v>
      </c>
      <c r="VR7" s="75" t="s">
        <v>6</v>
      </c>
      <c r="VS7" s="76" t="s">
        <v>30</v>
      </c>
      <c r="VU7" s="73"/>
      <c r="VV7" s="73" t="s">
        <v>1</v>
      </c>
      <c r="VW7" s="73"/>
      <c r="VX7" s="75" t="s">
        <v>4</v>
      </c>
      <c r="VY7" s="74" t="s">
        <v>28</v>
      </c>
      <c r="VZ7" s="75" t="s">
        <v>6</v>
      </c>
      <c r="WA7" s="76" t="s">
        <v>30</v>
      </c>
      <c r="WC7" s="73"/>
      <c r="WD7" s="73" t="s">
        <v>1</v>
      </c>
      <c r="WE7" s="73"/>
      <c r="WF7" s="75" t="s">
        <v>4</v>
      </c>
      <c r="WG7" s="74" t="s">
        <v>28</v>
      </c>
      <c r="WH7" s="75" t="s">
        <v>6</v>
      </c>
      <c r="WI7" s="76" t="s">
        <v>30</v>
      </c>
      <c r="WK7" s="73"/>
      <c r="WL7" s="73" t="s">
        <v>1</v>
      </c>
      <c r="WM7" s="73"/>
      <c r="WN7" s="4" t="s">
        <v>49</v>
      </c>
      <c r="WO7" s="74" t="s">
        <v>28</v>
      </c>
      <c r="WP7" s="75" t="s">
        <v>6</v>
      </c>
      <c r="WQ7" s="76" t="s">
        <v>30</v>
      </c>
      <c r="WS7" s="73"/>
      <c r="WT7" s="73" t="s">
        <v>1</v>
      </c>
      <c r="WU7" s="73"/>
      <c r="WV7" s="75" t="s">
        <v>4</v>
      </c>
      <c r="WW7" s="74" t="s">
        <v>28</v>
      </c>
      <c r="WX7" s="75" t="s">
        <v>6</v>
      </c>
      <c r="WY7" s="76" t="s">
        <v>30</v>
      </c>
      <c r="XA7" s="73"/>
      <c r="XB7" s="73" t="s">
        <v>1</v>
      </c>
      <c r="XC7" s="73"/>
      <c r="XD7" s="75" t="s">
        <v>4</v>
      </c>
      <c r="XE7" s="74" t="s">
        <v>28</v>
      </c>
      <c r="XF7" s="75" t="s">
        <v>6</v>
      </c>
      <c r="XG7" s="76" t="s">
        <v>30</v>
      </c>
      <c r="XI7" s="73"/>
      <c r="XJ7" s="73" t="s">
        <v>1</v>
      </c>
      <c r="XK7" s="73"/>
      <c r="XL7" s="75" t="s">
        <v>4</v>
      </c>
      <c r="XM7" s="74" t="s">
        <v>28</v>
      </c>
      <c r="XN7" s="75" t="s">
        <v>6</v>
      </c>
      <c r="XO7" s="76" t="s">
        <v>30</v>
      </c>
      <c r="XQ7" s="73"/>
      <c r="XR7" s="73" t="s">
        <v>1</v>
      </c>
      <c r="XS7" s="73"/>
      <c r="XT7" s="75" t="s">
        <v>4</v>
      </c>
      <c r="XU7" s="74" t="s">
        <v>28</v>
      </c>
      <c r="XV7" s="75" t="s">
        <v>6</v>
      </c>
      <c r="XW7" s="76" t="s">
        <v>30</v>
      </c>
      <c r="XY7" s="73"/>
      <c r="XZ7" s="73" t="s">
        <v>1</v>
      </c>
      <c r="YA7" s="73"/>
      <c r="YB7" s="75" t="s">
        <v>4</v>
      </c>
      <c r="YC7" s="74" t="s">
        <v>28</v>
      </c>
      <c r="YD7" s="75" t="s">
        <v>6</v>
      </c>
      <c r="YE7" s="76" t="s">
        <v>30</v>
      </c>
      <c r="YG7" s="73"/>
      <c r="YH7" s="73" t="s">
        <v>1</v>
      </c>
      <c r="YI7" s="73"/>
      <c r="YJ7" s="75" t="s">
        <v>4</v>
      </c>
      <c r="YK7" s="74" t="s">
        <v>28</v>
      </c>
      <c r="YL7" s="75" t="s">
        <v>6</v>
      </c>
      <c r="YM7" s="76" t="s">
        <v>30</v>
      </c>
      <c r="YO7" s="73"/>
      <c r="YP7" s="73" t="s">
        <v>1</v>
      </c>
      <c r="YQ7" s="73"/>
      <c r="YR7" s="75" t="s">
        <v>4</v>
      </c>
      <c r="YS7" s="74" t="s">
        <v>28</v>
      </c>
      <c r="YT7" s="75" t="s">
        <v>6</v>
      </c>
      <c r="YU7" s="76" t="s">
        <v>30</v>
      </c>
      <c r="YW7" s="73"/>
      <c r="YX7" s="73" t="s">
        <v>1</v>
      </c>
      <c r="YY7" s="73"/>
      <c r="YZ7" s="75" t="s">
        <v>4</v>
      </c>
      <c r="ZA7" s="74" t="s">
        <v>28</v>
      </c>
      <c r="ZB7" s="75" t="s">
        <v>6</v>
      </c>
      <c r="ZC7" s="76" t="s">
        <v>30</v>
      </c>
      <c r="ZE7" s="73"/>
      <c r="ZF7" s="73" t="s">
        <v>1</v>
      </c>
      <c r="ZG7" s="73"/>
      <c r="ZH7" s="75" t="s">
        <v>4</v>
      </c>
      <c r="ZI7" s="74" t="s">
        <v>28</v>
      </c>
      <c r="ZJ7" s="75" t="s">
        <v>6</v>
      </c>
      <c r="ZK7" s="76" t="s">
        <v>30</v>
      </c>
      <c r="ZM7" s="73"/>
      <c r="ZN7" s="73" t="s">
        <v>1</v>
      </c>
      <c r="ZO7" s="73"/>
      <c r="ZP7" s="75" t="s">
        <v>4</v>
      </c>
      <c r="ZQ7" s="74" t="s">
        <v>28</v>
      </c>
      <c r="ZR7" s="75" t="s">
        <v>6</v>
      </c>
      <c r="ZS7" s="76" t="s">
        <v>30</v>
      </c>
      <c r="ZU7" s="73"/>
      <c r="ZV7" s="73" t="s">
        <v>1</v>
      </c>
      <c r="ZW7" s="73"/>
      <c r="ZX7" s="75" t="s">
        <v>4</v>
      </c>
      <c r="ZY7" s="74" t="s">
        <v>28</v>
      </c>
      <c r="ZZ7" s="75" t="s">
        <v>6</v>
      </c>
      <c r="AAA7" s="76" t="s">
        <v>30</v>
      </c>
      <c r="AAC7" s="73"/>
      <c r="AAD7" s="73" t="s">
        <v>1</v>
      </c>
      <c r="AAE7" s="73"/>
      <c r="AAF7" s="75" t="s">
        <v>4</v>
      </c>
      <c r="AAG7" s="74" t="s">
        <v>28</v>
      </c>
      <c r="AAH7" s="75" t="s">
        <v>6</v>
      </c>
      <c r="AAI7" s="76" t="s">
        <v>30</v>
      </c>
      <c r="AAK7" s="73"/>
      <c r="AAL7" s="73" t="s">
        <v>1</v>
      </c>
      <c r="AAM7" s="73"/>
      <c r="AAN7" s="75" t="s">
        <v>4</v>
      </c>
      <c r="AAO7" s="74" t="s">
        <v>28</v>
      </c>
      <c r="AAP7" s="75" t="s">
        <v>6</v>
      </c>
      <c r="AAQ7" s="76" t="s">
        <v>30</v>
      </c>
      <c r="AAS7" s="73"/>
      <c r="AAT7" s="73" t="s">
        <v>1</v>
      </c>
      <c r="AAU7" s="73"/>
      <c r="AAV7" s="75" t="s">
        <v>4</v>
      </c>
      <c r="AAW7" s="74" t="s">
        <v>28</v>
      </c>
      <c r="AAX7" s="75" t="s">
        <v>6</v>
      </c>
      <c r="AAY7" s="76" t="s">
        <v>30</v>
      </c>
      <c r="ABA7" s="73"/>
      <c r="ABB7" s="73" t="s">
        <v>1</v>
      </c>
      <c r="ABC7" s="73"/>
      <c r="ABD7" s="75" t="s">
        <v>4</v>
      </c>
      <c r="ABE7" s="74" t="s">
        <v>28</v>
      </c>
      <c r="ABF7" s="75" t="s">
        <v>6</v>
      </c>
      <c r="ABG7" s="76" t="s">
        <v>30</v>
      </c>
      <c r="ABI7" s="73"/>
      <c r="ABJ7" s="73" t="s">
        <v>1</v>
      </c>
      <c r="ABK7" s="73"/>
      <c r="ABL7" s="75" t="s">
        <v>4</v>
      </c>
      <c r="ABM7" s="74" t="s">
        <v>28</v>
      </c>
      <c r="ABN7" s="75" t="s">
        <v>6</v>
      </c>
      <c r="ABO7" s="76" t="s">
        <v>30</v>
      </c>
      <c r="ABQ7" s="73"/>
      <c r="ABR7" s="73" t="s">
        <v>1</v>
      </c>
      <c r="ABS7" s="73"/>
      <c r="ABT7" s="75" t="s">
        <v>4</v>
      </c>
      <c r="ABU7" s="74" t="s">
        <v>28</v>
      </c>
      <c r="ABV7" s="75" t="s">
        <v>6</v>
      </c>
      <c r="ABW7" s="76" t="s">
        <v>30</v>
      </c>
      <c r="ABY7" s="73"/>
      <c r="ABZ7" s="73" t="s">
        <v>1</v>
      </c>
      <c r="ACA7" s="73"/>
      <c r="ACB7" s="75" t="s">
        <v>4</v>
      </c>
      <c r="ACC7" s="74" t="s">
        <v>28</v>
      </c>
      <c r="ACD7" s="75" t="s">
        <v>6</v>
      </c>
      <c r="ACE7" s="76" t="s">
        <v>30</v>
      </c>
    </row>
    <row r="8" spans="1:759" ht="12" customHeight="1" thickBot="1" x14ac:dyDescent="0.3">
      <c r="A8" s="77">
        <v>46023</v>
      </c>
      <c r="B8" s="349">
        <v>2000</v>
      </c>
      <c r="C8" s="251"/>
      <c r="D8" s="79">
        <f>B8</f>
        <v>2000</v>
      </c>
      <c r="E8" s="80">
        <v>46021</v>
      </c>
      <c r="F8" s="373"/>
      <c r="G8" s="199"/>
      <c r="H8" s="72"/>
      <c r="I8" s="77">
        <v>46023</v>
      </c>
      <c r="J8" s="79">
        <v>800</v>
      </c>
      <c r="K8" s="79"/>
      <c r="L8" s="79">
        <f>J8</f>
        <v>800</v>
      </c>
      <c r="M8" s="163">
        <v>46021</v>
      </c>
      <c r="N8" s="283"/>
      <c r="O8" s="82"/>
      <c r="P8" s="110"/>
      <c r="Q8" s="77">
        <v>46023</v>
      </c>
      <c r="R8" s="251">
        <v>4200</v>
      </c>
      <c r="S8" s="251"/>
      <c r="T8" s="79">
        <f>R8</f>
        <v>4200</v>
      </c>
      <c r="U8" s="80">
        <v>46021</v>
      </c>
      <c r="V8" s="283"/>
      <c r="W8" s="199"/>
      <c r="X8" s="394"/>
      <c r="Y8" s="77">
        <v>46023</v>
      </c>
      <c r="Z8" s="251">
        <v>1000</v>
      </c>
      <c r="AA8" s="251"/>
      <c r="AB8" s="251">
        <f>Z8</f>
        <v>1000</v>
      </c>
      <c r="AC8" s="80">
        <v>46021</v>
      </c>
      <c r="AD8" s="283"/>
      <c r="AE8" s="82"/>
      <c r="AG8" s="77">
        <v>46023</v>
      </c>
      <c r="AH8" s="251">
        <v>1000</v>
      </c>
      <c r="AI8" s="251"/>
      <c r="AJ8" s="79">
        <f>AH8</f>
        <v>1000</v>
      </c>
      <c r="AK8" s="80">
        <v>46021</v>
      </c>
      <c r="AL8" s="283"/>
      <c r="AM8" s="82"/>
      <c r="AN8" s="172"/>
      <c r="AO8" s="77">
        <v>46023</v>
      </c>
      <c r="AP8" s="251">
        <v>1000</v>
      </c>
      <c r="AQ8" s="251"/>
      <c r="AR8" s="79">
        <f>AP8</f>
        <v>1000</v>
      </c>
      <c r="AS8" s="80">
        <v>46021</v>
      </c>
      <c r="AT8" s="283"/>
      <c r="AU8" s="82"/>
      <c r="AV8" s="72"/>
      <c r="AW8" s="77">
        <v>46023</v>
      </c>
      <c r="AX8" s="251">
        <v>1200</v>
      </c>
      <c r="AY8" s="251"/>
      <c r="AZ8" s="79">
        <f>AX8</f>
        <v>1200</v>
      </c>
      <c r="BA8" s="80">
        <v>46021</v>
      </c>
      <c r="BB8" s="357"/>
      <c r="BC8" s="199"/>
      <c r="BD8" s="172"/>
      <c r="BE8" s="77">
        <v>46023</v>
      </c>
      <c r="BF8" s="251">
        <v>5000</v>
      </c>
      <c r="BG8" s="251"/>
      <c r="BH8" s="79">
        <f>BF8</f>
        <v>5000</v>
      </c>
      <c r="BI8" s="80">
        <v>46021</v>
      </c>
      <c r="BJ8" s="283"/>
      <c r="BK8" s="82"/>
      <c r="BL8"/>
      <c r="BM8" s="77">
        <v>46023</v>
      </c>
      <c r="BN8" s="251">
        <v>1000</v>
      </c>
      <c r="BO8" s="251"/>
      <c r="BP8" s="79">
        <f>BN8</f>
        <v>1000</v>
      </c>
      <c r="BQ8" s="80">
        <v>46021</v>
      </c>
      <c r="BR8" s="283"/>
      <c r="BS8" s="199"/>
      <c r="BU8" s="77">
        <v>46023</v>
      </c>
      <c r="BV8" s="79">
        <v>1500</v>
      </c>
      <c r="BW8" s="79"/>
      <c r="BX8" s="79">
        <f>BV8</f>
        <v>1500</v>
      </c>
      <c r="BY8" s="80">
        <v>46021</v>
      </c>
      <c r="BZ8" s="283"/>
      <c r="CA8" s="82"/>
      <c r="CB8" s="72"/>
      <c r="CC8" s="77"/>
      <c r="CD8" s="251"/>
      <c r="CE8" s="251"/>
      <c r="CF8" s="79">
        <f>CD8</f>
        <v>0</v>
      </c>
      <c r="CG8" s="80">
        <v>46037</v>
      </c>
      <c r="CH8" s="83"/>
      <c r="CI8" s="82"/>
      <c r="CJ8" s="72"/>
      <c r="CK8" s="9"/>
      <c r="CL8" s="251"/>
      <c r="CM8" s="251"/>
      <c r="CN8" s="79">
        <f>CL8</f>
        <v>0</v>
      </c>
      <c r="CO8" s="80">
        <v>46037</v>
      </c>
      <c r="CP8" s="283"/>
      <c r="CQ8" s="199"/>
      <c r="CR8" s="72"/>
      <c r="CS8" s="77"/>
      <c r="CT8" s="251"/>
      <c r="CU8" s="251"/>
      <c r="CV8" s="79">
        <f>CT8</f>
        <v>0</v>
      </c>
      <c r="CW8" s="80">
        <v>46037</v>
      </c>
      <c r="CX8" s="283"/>
      <c r="CY8" s="82"/>
      <c r="DA8" s="77"/>
      <c r="DB8" s="357"/>
      <c r="DC8" s="300"/>
      <c r="DD8" s="78">
        <f>DB8</f>
        <v>0</v>
      </c>
      <c r="DE8" s="80">
        <v>46037</v>
      </c>
      <c r="DF8" s="283"/>
      <c r="DG8" s="82"/>
      <c r="DH8" s="72"/>
      <c r="DI8" s="9"/>
      <c r="DJ8" s="251"/>
      <c r="DK8" s="251"/>
      <c r="DL8" s="79">
        <f>DJ8</f>
        <v>0</v>
      </c>
      <c r="DM8" s="80">
        <v>46021</v>
      </c>
      <c r="DN8" s="283"/>
      <c r="DO8" s="82"/>
      <c r="DP8" s="72"/>
      <c r="DQ8" s="77"/>
      <c r="DR8" s="251"/>
      <c r="DS8" s="251"/>
      <c r="DT8" s="79">
        <f>DR8</f>
        <v>0</v>
      </c>
      <c r="DU8" s="80">
        <v>46021</v>
      </c>
      <c r="DV8" s="81"/>
      <c r="DW8" s="82"/>
      <c r="DX8"/>
      <c r="DY8" s="9"/>
      <c r="DZ8" s="251"/>
      <c r="EA8" s="251"/>
      <c r="EB8" s="79">
        <f>DZ8</f>
        <v>0</v>
      </c>
      <c r="EC8" s="80">
        <v>46021</v>
      </c>
      <c r="ED8" s="81"/>
      <c r="EE8" s="82"/>
      <c r="EF8" s="72"/>
      <c r="EG8" s="9"/>
      <c r="EH8" s="251"/>
      <c r="EI8" s="251"/>
      <c r="EJ8" s="79">
        <f>EH8</f>
        <v>0</v>
      </c>
      <c r="EK8" s="80">
        <v>46021</v>
      </c>
      <c r="EL8" s="283"/>
      <c r="EM8" s="82"/>
      <c r="EN8"/>
      <c r="EO8" s="77"/>
      <c r="EP8" s="251"/>
      <c r="EQ8" s="251"/>
      <c r="ER8" s="79">
        <f>EP8</f>
        <v>0</v>
      </c>
      <c r="ES8" s="80">
        <v>46021</v>
      </c>
      <c r="ET8" s="283">
        <v>0</v>
      </c>
      <c r="EU8" s="82"/>
      <c r="EW8" s="77"/>
      <c r="EX8" s="251"/>
      <c r="EY8" s="251"/>
      <c r="EZ8" s="79">
        <f>EX8</f>
        <v>0</v>
      </c>
      <c r="FA8" s="80">
        <v>46021</v>
      </c>
      <c r="FB8" s="283">
        <v>0</v>
      </c>
      <c r="FC8" s="82"/>
      <c r="FD8"/>
      <c r="FE8" s="77"/>
      <c r="FF8" s="251"/>
      <c r="FG8" s="251"/>
      <c r="FH8" s="79">
        <f>FF8</f>
        <v>0</v>
      </c>
      <c r="FI8" s="80">
        <v>46021</v>
      </c>
      <c r="FJ8" s="81">
        <v>0</v>
      </c>
      <c r="FK8" s="199">
        <v>0</v>
      </c>
      <c r="FM8" s="9"/>
      <c r="FN8" s="251"/>
      <c r="FO8" s="251"/>
      <c r="FP8" s="79">
        <f>FN8</f>
        <v>0</v>
      </c>
      <c r="FQ8" s="80">
        <v>46021</v>
      </c>
      <c r="FR8" s="81">
        <v>0</v>
      </c>
      <c r="FS8" s="82"/>
      <c r="FT8" s="72"/>
      <c r="FU8" s="77"/>
      <c r="FV8" s="251"/>
      <c r="FW8" s="251"/>
      <c r="FX8" s="79">
        <f>FV8</f>
        <v>0</v>
      </c>
      <c r="FY8" s="163">
        <v>46021</v>
      </c>
      <c r="FZ8" s="283">
        <v>0</v>
      </c>
      <c r="GA8" s="82">
        <v>0</v>
      </c>
      <c r="GB8" s="197"/>
      <c r="GC8" s="77"/>
      <c r="GD8" s="251"/>
      <c r="GE8" s="251"/>
      <c r="GF8" s="251">
        <f>GD8</f>
        <v>0</v>
      </c>
      <c r="GG8" s="80">
        <v>46021</v>
      </c>
      <c r="GH8" s="81"/>
      <c r="GI8" s="82"/>
      <c r="GJ8" s="346"/>
      <c r="GK8" s="9"/>
      <c r="GL8" s="251"/>
      <c r="GM8" s="251"/>
      <c r="GN8" s="79">
        <f>GL8</f>
        <v>0</v>
      </c>
      <c r="GO8" s="80">
        <v>46037</v>
      </c>
      <c r="GP8" s="83"/>
      <c r="GQ8" s="82"/>
      <c r="GS8" s="77"/>
      <c r="GT8" s="251"/>
      <c r="GU8" s="251"/>
      <c r="GV8" s="79">
        <f>GT8</f>
        <v>0</v>
      </c>
      <c r="GW8" s="80">
        <v>46037</v>
      </c>
      <c r="GX8" s="283"/>
      <c r="GY8" s="82"/>
      <c r="HA8" s="77"/>
      <c r="HB8" s="79"/>
      <c r="HC8" s="79"/>
      <c r="HD8" s="79">
        <f>HB8</f>
        <v>0</v>
      </c>
      <c r="HE8" s="80">
        <v>46037</v>
      </c>
      <c r="HF8" s="81"/>
      <c r="HG8" s="82"/>
      <c r="HH8" s="227"/>
      <c r="HI8" s="77"/>
      <c r="HJ8" s="79"/>
      <c r="HK8" s="79"/>
      <c r="HL8" s="79">
        <f>HJ8</f>
        <v>0</v>
      </c>
      <c r="HM8" s="80">
        <v>46037</v>
      </c>
      <c r="HN8" s="81"/>
      <c r="HO8" s="82"/>
      <c r="HQ8" s="77"/>
      <c r="HR8" s="79"/>
      <c r="HS8" s="79"/>
      <c r="HT8" s="79">
        <f>HR8</f>
        <v>0</v>
      </c>
      <c r="HU8" s="80">
        <v>46037</v>
      </c>
      <c r="HV8" s="283"/>
      <c r="HW8" s="82"/>
      <c r="HY8" s="9"/>
      <c r="HZ8" s="251"/>
      <c r="IA8" s="251"/>
      <c r="IB8" s="79">
        <f>HZ8</f>
        <v>0</v>
      </c>
      <c r="IC8" s="80">
        <v>46037</v>
      </c>
      <c r="ID8" s="81"/>
      <c r="IE8" s="82"/>
      <c r="IF8"/>
      <c r="IG8" s="205"/>
      <c r="IH8" s="206"/>
      <c r="II8" s="206"/>
      <c r="IJ8" s="79">
        <f>IH8</f>
        <v>0</v>
      </c>
      <c r="IK8" s="80">
        <v>46037</v>
      </c>
      <c r="IL8" s="83"/>
      <c r="IM8" s="82"/>
      <c r="IO8" s="205"/>
      <c r="IP8" s="206"/>
      <c r="IQ8" s="206"/>
      <c r="IR8" s="79">
        <f>IP8</f>
        <v>0</v>
      </c>
      <c r="IS8" s="80">
        <v>46037</v>
      </c>
      <c r="IT8" s="83"/>
      <c r="IU8" s="82"/>
      <c r="IW8" s="77"/>
      <c r="IX8" s="79"/>
      <c r="IY8" s="79"/>
      <c r="IZ8" s="79">
        <f>IX8</f>
        <v>0</v>
      </c>
      <c r="JA8" s="80">
        <v>46037</v>
      </c>
      <c r="JB8" s="81"/>
      <c r="JC8" s="82"/>
      <c r="JE8" s="77"/>
      <c r="JF8" s="251"/>
      <c r="JG8" s="251"/>
      <c r="JH8" s="79">
        <f>JF8</f>
        <v>0</v>
      </c>
      <c r="JI8" s="80">
        <v>46037</v>
      </c>
      <c r="JJ8" s="283"/>
      <c r="JK8" s="82"/>
      <c r="JM8" s="77"/>
      <c r="JN8" s="79"/>
      <c r="JO8" s="79"/>
      <c r="JP8" s="79">
        <f>JN8</f>
        <v>0</v>
      </c>
      <c r="JQ8" s="80">
        <v>46037</v>
      </c>
      <c r="JR8" s="83"/>
      <c r="JS8" s="82"/>
      <c r="JU8" s="77"/>
      <c r="JV8" s="79"/>
      <c r="JW8" s="79"/>
      <c r="JX8" s="79">
        <f>JV8</f>
        <v>0</v>
      </c>
      <c r="JY8" s="80">
        <v>46037</v>
      </c>
      <c r="JZ8" s="81"/>
      <c r="KA8" s="82"/>
      <c r="KC8" s="9"/>
      <c r="KD8" s="251"/>
      <c r="KE8" s="251"/>
      <c r="KF8" s="79">
        <f>KD8</f>
        <v>0</v>
      </c>
      <c r="KG8" s="80">
        <v>46037</v>
      </c>
      <c r="KH8" s="168"/>
      <c r="KI8" s="109"/>
      <c r="KK8" s="77"/>
      <c r="KL8" s="79"/>
      <c r="KM8" s="79"/>
      <c r="KN8" s="79">
        <f>KL8</f>
        <v>0</v>
      </c>
      <c r="KO8" s="80">
        <v>46037</v>
      </c>
      <c r="KP8" s="81"/>
      <c r="KQ8" s="82"/>
      <c r="KS8" s="77"/>
      <c r="KT8" s="79"/>
      <c r="KU8" s="79"/>
      <c r="KV8" s="79">
        <f>KT8</f>
        <v>0</v>
      </c>
      <c r="KW8" s="80">
        <v>46037</v>
      </c>
      <c r="KX8" s="81"/>
      <c r="KY8" s="82"/>
      <c r="LA8" s="77"/>
      <c r="LB8" s="79"/>
      <c r="LC8" s="79"/>
      <c r="LD8" s="79">
        <f>LB8</f>
        <v>0</v>
      </c>
      <c r="LE8" s="80">
        <v>46037</v>
      </c>
      <c r="LF8" s="81"/>
      <c r="LG8" s="190"/>
      <c r="LI8" s="77"/>
      <c r="LJ8" s="79"/>
      <c r="LK8" s="79"/>
      <c r="LL8" s="79">
        <f>LJ8</f>
        <v>0</v>
      </c>
      <c r="LM8" s="80">
        <v>46037</v>
      </c>
      <c r="LN8" s="81"/>
      <c r="LO8" s="82"/>
      <c r="LQ8" s="77"/>
      <c r="LR8" s="79"/>
      <c r="LS8" s="79"/>
      <c r="LT8" s="79">
        <f>LR8</f>
        <v>0</v>
      </c>
      <c r="LU8" s="80">
        <v>46037</v>
      </c>
      <c r="LV8" s="81"/>
      <c r="LW8" s="82"/>
      <c r="LY8" s="9"/>
      <c r="LZ8" s="79"/>
      <c r="MA8" s="79"/>
      <c r="MB8" s="79">
        <f>LZ8</f>
        <v>0</v>
      </c>
      <c r="MC8" s="80">
        <v>46037</v>
      </c>
      <c r="MD8" s="81"/>
      <c r="ME8" s="82"/>
      <c r="MG8" s="77"/>
      <c r="MH8" s="79"/>
      <c r="MI8" s="79"/>
      <c r="MJ8" s="79">
        <f>MH8</f>
        <v>0</v>
      </c>
      <c r="MK8" s="80">
        <v>46037</v>
      </c>
      <c r="ML8" s="81"/>
      <c r="MM8" s="82"/>
      <c r="MO8" s="77"/>
      <c r="MP8" s="79"/>
      <c r="MQ8" s="79"/>
      <c r="MR8" s="79">
        <f>MP8</f>
        <v>0</v>
      </c>
      <c r="MS8" s="80">
        <v>46037</v>
      </c>
      <c r="MT8" s="180"/>
      <c r="MU8" s="82"/>
      <c r="MW8" s="9"/>
      <c r="MX8" s="79"/>
      <c r="MY8" s="79"/>
      <c r="MZ8" s="79">
        <f>MX8</f>
        <v>0</v>
      </c>
      <c r="NA8" s="80">
        <v>46037</v>
      </c>
      <c r="NB8" s="81"/>
      <c r="NC8" s="82"/>
      <c r="NE8" s="77"/>
      <c r="NF8" s="79"/>
      <c r="NG8" s="79"/>
      <c r="NH8" s="79">
        <f>NF8</f>
        <v>0</v>
      </c>
      <c r="NI8" s="80">
        <v>46037</v>
      </c>
      <c r="NJ8" s="81"/>
      <c r="NK8" s="82"/>
      <c r="NM8" s="9"/>
      <c r="NN8" s="79"/>
      <c r="NO8" s="79"/>
      <c r="NP8" s="79">
        <f>NN8</f>
        <v>0</v>
      </c>
      <c r="NQ8" s="80">
        <v>46037</v>
      </c>
      <c r="NR8" s="83"/>
      <c r="NS8" s="82"/>
      <c r="NU8" s="77"/>
      <c r="NV8" s="79"/>
      <c r="NW8" s="79"/>
      <c r="NX8" s="79">
        <f>NV8</f>
        <v>0</v>
      </c>
      <c r="NY8" s="80">
        <v>46037</v>
      </c>
      <c r="NZ8" s="81"/>
      <c r="OA8" s="82"/>
      <c r="OC8" s="77"/>
      <c r="OD8" s="79"/>
      <c r="OE8" s="79"/>
      <c r="OF8" s="79">
        <f>OD8</f>
        <v>0</v>
      </c>
      <c r="OG8" s="80">
        <v>46037</v>
      </c>
      <c r="OH8" s="81"/>
      <c r="OI8" s="82"/>
      <c r="OK8" s="77"/>
      <c r="OL8" s="79"/>
      <c r="OM8" s="79"/>
      <c r="ON8" s="79">
        <f>OL8</f>
        <v>0</v>
      </c>
      <c r="OO8" s="80">
        <v>46037</v>
      </c>
      <c r="OP8" s="83"/>
      <c r="OQ8" s="82"/>
      <c r="OS8" s="77"/>
      <c r="OT8" s="79"/>
      <c r="OU8" s="79"/>
      <c r="OV8" s="79">
        <f>OT8</f>
        <v>0</v>
      </c>
      <c r="OW8" s="80">
        <v>46037</v>
      </c>
      <c r="OX8" s="81"/>
      <c r="OY8" s="82"/>
      <c r="PA8" s="77"/>
      <c r="PB8" s="79"/>
      <c r="PC8" s="79"/>
      <c r="PD8" s="79">
        <f>PB8</f>
        <v>0</v>
      </c>
      <c r="PE8" s="80">
        <v>46037</v>
      </c>
      <c r="PF8" s="81"/>
      <c r="PG8" s="82"/>
      <c r="PI8" s="77"/>
      <c r="PJ8" s="79"/>
      <c r="PK8" s="79"/>
      <c r="PL8" s="79">
        <f>PJ8</f>
        <v>0</v>
      </c>
      <c r="PM8" s="80">
        <v>46037</v>
      </c>
      <c r="PN8" s="175"/>
      <c r="PO8" s="215"/>
      <c r="PQ8" s="77"/>
      <c r="PR8" s="79"/>
      <c r="PS8" s="79"/>
      <c r="PT8" s="79">
        <f>PR8</f>
        <v>0</v>
      </c>
      <c r="PU8" s="80">
        <v>46037</v>
      </c>
      <c r="PV8" s="81"/>
      <c r="PW8" s="82"/>
      <c r="PY8" s="77"/>
      <c r="PZ8" s="79"/>
      <c r="QA8" s="79"/>
      <c r="QB8" s="79">
        <f>PZ8</f>
        <v>0</v>
      </c>
      <c r="QC8" s="80">
        <v>46037</v>
      </c>
      <c r="QD8" s="83"/>
      <c r="QE8" s="82"/>
      <c r="QG8" s="77"/>
      <c r="QH8" s="79"/>
      <c r="QI8" s="79"/>
      <c r="QJ8" s="79">
        <f>QH8</f>
        <v>0</v>
      </c>
      <c r="QK8" s="80">
        <v>46037</v>
      </c>
      <c r="QL8" s="81"/>
      <c r="QM8" s="82"/>
      <c r="QO8" s="77"/>
      <c r="QP8" s="79"/>
      <c r="QQ8" s="79"/>
      <c r="QR8" s="79">
        <f>QP8</f>
        <v>0</v>
      </c>
      <c r="QS8" s="80">
        <v>46037</v>
      </c>
      <c r="QT8" s="175"/>
      <c r="QU8" s="215"/>
      <c r="QW8" s="77"/>
      <c r="QX8" s="79"/>
      <c r="QY8" s="79"/>
      <c r="QZ8" s="79">
        <f>QX8</f>
        <v>0</v>
      </c>
      <c r="RA8" s="80">
        <v>46037</v>
      </c>
      <c r="RB8" s="81"/>
      <c r="RC8" s="82"/>
      <c r="RE8" s="77"/>
      <c r="RF8" s="79"/>
      <c r="RG8" s="79"/>
      <c r="RH8" s="79">
        <f>RF8</f>
        <v>0</v>
      </c>
      <c r="RI8" s="80">
        <v>46037</v>
      </c>
      <c r="RJ8" s="81"/>
      <c r="RK8" s="170"/>
      <c r="RM8" s="9"/>
      <c r="RN8" s="79"/>
      <c r="RO8" s="79"/>
      <c r="RP8" s="79">
        <f>RN8</f>
        <v>0</v>
      </c>
      <c r="RQ8" s="80">
        <v>46037</v>
      </c>
      <c r="RR8" s="81"/>
      <c r="RS8" s="199"/>
      <c r="RU8" s="77"/>
      <c r="RV8" s="79"/>
      <c r="RW8" s="79"/>
      <c r="RX8" s="79">
        <f>RV8</f>
        <v>0</v>
      </c>
      <c r="RY8" s="80">
        <v>46037</v>
      </c>
      <c r="RZ8" s="81"/>
      <c r="SA8" s="82"/>
      <c r="SC8" s="77"/>
      <c r="SD8" s="79"/>
      <c r="SE8" s="79"/>
      <c r="SF8" s="79">
        <f>SD8</f>
        <v>0</v>
      </c>
      <c r="SG8" s="80">
        <v>46037</v>
      </c>
      <c r="SH8" s="81"/>
      <c r="SI8" s="82"/>
      <c r="SK8" s="205"/>
      <c r="SL8" s="206"/>
      <c r="SM8" s="206"/>
      <c r="SN8" s="79">
        <f>SL8</f>
        <v>0</v>
      </c>
      <c r="SO8" s="80">
        <v>46037</v>
      </c>
      <c r="SP8" s="83"/>
      <c r="SQ8" s="82"/>
      <c r="SS8" s="9"/>
      <c r="ST8" s="79"/>
      <c r="SU8" s="79"/>
      <c r="SV8" s="79">
        <f>ST8</f>
        <v>0</v>
      </c>
      <c r="SW8" s="80">
        <v>46037</v>
      </c>
      <c r="SX8" s="81"/>
      <c r="SY8" s="82"/>
      <c r="TA8" s="77"/>
      <c r="TB8" s="79"/>
      <c r="TC8" s="79"/>
      <c r="TD8" s="79">
        <f>TB8</f>
        <v>0</v>
      </c>
      <c r="TE8" s="80">
        <v>46037</v>
      </c>
      <c r="TF8" s="81"/>
      <c r="TG8" s="82"/>
      <c r="TI8" s="77"/>
      <c r="TJ8" s="79"/>
      <c r="TK8" s="79"/>
      <c r="TL8" s="79">
        <f>TJ8</f>
        <v>0</v>
      </c>
      <c r="TM8" s="80">
        <v>46037</v>
      </c>
      <c r="TN8" s="81"/>
      <c r="TO8" s="82"/>
      <c r="TQ8" s="77"/>
      <c r="TR8" s="79"/>
      <c r="TS8" s="79"/>
      <c r="TT8" s="79">
        <f>TR8</f>
        <v>0</v>
      </c>
      <c r="TU8" s="80">
        <v>46037</v>
      </c>
      <c r="TV8" s="83"/>
      <c r="TW8" s="82"/>
      <c r="TY8" s="77"/>
      <c r="TZ8" s="79"/>
      <c r="UA8" s="79"/>
      <c r="UB8" s="79">
        <f>TZ8</f>
        <v>0</v>
      </c>
      <c r="UC8" s="80">
        <v>46037</v>
      </c>
      <c r="UD8" s="81"/>
      <c r="UE8" s="82"/>
      <c r="UG8" s="77"/>
      <c r="UH8" s="79"/>
      <c r="UI8" s="79"/>
      <c r="UJ8" s="79">
        <f>UH8</f>
        <v>0</v>
      </c>
      <c r="UK8" s="80">
        <v>46037</v>
      </c>
      <c r="UL8" s="81"/>
      <c r="UM8" s="82"/>
      <c r="UO8" s="77"/>
      <c r="UP8" s="79"/>
      <c r="UQ8" s="79"/>
      <c r="UR8" s="79">
        <f>UP8</f>
        <v>0</v>
      </c>
      <c r="US8" s="80">
        <v>46037</v>
      </c>
      <c r="UT8" s="81"/>
      <c r="UU8" s="82"/>
      <c r="UW8" s="77"/>
      <c r="UX8" s="79"/>
      <c r="UY8" s="79"/>
      <c r="UZ8" s="79">
        <f>UX8</f>
        <v>0</v>
      </c>
      <c r="VA8" s="80">
        <v>46037</v>
      </c>
      <c r="VB8" s="81"/>
      <c r="VC8" s="82"/>
      <c r="VE8" s="77"/>
      <c r="VF8" s="79"/>
      <c r="VG8" s="79"/>
      <c r="VH8" s="79">
        <f>VF8</f>
        <v>0</v>
      </c>
      <c r="VI8" s="80">
        <v>46037</v>
      </c>
      <c r="VJ8" s="81"/>
      <c r="VK8" s="82"/>
      <c r="VM8" s="77"/>
      <c r="VN8" s="79"/>
      <c r="VO8" s="79"/>
      <c r="VP8" s="79">
        <f>VN8</f>
        <v>0</v>
      </c>
      <c r="VQ8" s="80">
        <v>46037</v>
      </c>
      <c r="VR8" s="81"/>
      <c r="VS8" s="82"/>
      <c r="VU8" s="77"/>
      <c r="VV8" s="79"/>
      <c r="VW8" s="79"/>
      <c r="VX8" s="79">
        <f>VV8</f>
        <v>0</v>
      </c>
      <c r="VY8" s="80">
        <v>46037</v>
      </c>
      <c r="VZ8" s="81"/>
      <c r="WA8" s="82"/>
      <c r="WC8" s="77"/>
      <c r="WD8" s="79"/>
      <c r="WE8" s="79"/>
      <c r="WF8" s="79">
        <f>WD8</f>
        <v>0</v>
      </c>
      <c r="WG8" s="80">
        <v>46037</v>
      </c>
      <c r="WH8" s="81"/>
      <c r="WI8" s="82"/>
      <c r="WK8" s="77"/>
      <c r="WL8" s="79"/>
      <c r="WM8" s="79"/>
      <c r="WN8" s="79">
        <f>WL8</f>
        <v>0</v>
      </c>
      <c r="WO8" s="80">
        <v>46037</v>
      </c>
      <c r="WP8" s="81"/>
      <c r="WQ8" s="82"/>
      <c r="WS8" s="77"/>
      <c r="WT8" s="79"/>
      <c r="WU8" s="79"/>
      <c r="WV8" s="79">
        <f>WT8</f>
        <v>0</v>
      </c>
      <c r="WW8" s="80">
        <v>46037</v>
      </c>
      <c r="WX8" s="81"/>
      <c r="WY8" s="82"/>
      <c r="XA8" s="77"/>
      <c r="XB8" s="79"/>
      <c r="XC8" s="79"/>
      <c r="XD8" s="79">
        <f>XB8</f>
        <v>0</v>
      </c>
      <c r="XE8" s="80">
        <v>46037</v>
      </c>
      <c r="XF8" s="81"/>
      <c r="XG8" s="82"/>
      <c r="XI8" s="77"/>
      <c r="XJ8" s="79"/>
      <c r="XK8" s="79"/>
      <c r="XL8" s="79">
        <f>XJ8</f>
        <v>0</v>
      </c>
      <c r="XM8" s="80">
        <v>46037</v>
      </c>
      <c r="XN8" s="81"/>
      <c r="XO8" s="82"/>
      <c r="XP8" s="63" t="s">
        <v>44</v>
      </c>
      <c r="XQ8" s="77"/>
      <c r="XR8" s="79"/>
      <c r="XS8" s="79"/>
      <c r="XT8" s="79">
        <f>XR8</f>
        <v>0</v>
      </c>
      <c r="XU8" s="80">
        <v>46037</v>
      </c>
      <c r="XV8" s="81"/>
      <c r="XW8" s="82"/>
      <c r="XY8" s="77"/>
      <c r="XZ8" s="79"/>
      <c r="YA8" s="79"/>
      <c r="YB8" s="79">
        <f>XZ8</f>
        <v>0</v>
      </c>
      <c r="YC8" s="80">
        <v>46037</v>
      </c>
      <c r="YD8" s="81"/>
      <c r="YE8" s="82"/>
      <c r="YG8" s="77"/>
      <c r="YH8" s="79"/>
      <c r="YI8" s="79"/>
      <c r="YJ8" s="79">
        <f>YH8</f>
        <v>0</v>
      </c>
      <c r="YK8" s="80">
        <v>46037</v>
      </c>
      <c r="YL8" s="81"/>
      <c r="YM8" s="82"/>
      <c r="YO8" s="77"/>
      <c r="YP8" s="79"/>
      <c r="YQ8" s="79"/>
      <c r="YR8" s="79">
        <f>YP8</f>
        <v>0</v>
      </c>
      <c r="YS8" s="80">
        <v>46037</v>
      </c>
      <c r="YT8" s="81"/>
      <c r="YU8" s="82"/>
      <c r="YW8" s="77"/>
      <c r="YX8" s="79"/>
      <c r="YY8" s="79"/>
      <c r="YZ8" s="79">
        <f>YX8</f>
        <v>0</v>
      </c>
      <c r="ZA8" s="80">
        <v>46037</v>
      </c>
      <c r="ZB8" s="81"/>
      <c r="ZC8" s="82"/>
      <c r="ZE8" s="77"/>
      <c r="ZF8" s="79"/>
      <c r="ZG8" s="79"/>
      <c r="ZH8" s="79">
        <f>ZF8</f>
        <v>0</v>
      </c>
      <c r="ZI8" s="80">
        <v>46037</v>
      </c>
      <c r="ZJ8" s="81"/>
      <c r="ZK8" s="82"/>
      <c r="ZM8" s="77"/>
      <c r="ZN8" s="79"/>
      <c r="ZO8" s="79"/>
      <c r="ZP8" s="79">
        <f>ZN8</f>
        <v>0</v>
      </c>
      <c r="ZQ8" s="80">
        <v>46037</v>
      </c>
      <c r="ZR8" s="81"/>
      <c r="ZS8" s="82"/>
      <c r="ZU8" s="9"/>
      <c r="ZV8" s="79"/>
      <c r="ZW8" s="79"/>
      <c r="ZX8" s="79">
        <f>ZV8</f>
        <v>0</v>
      </c>
      <c r="ZY8" s="80">
        <v>46037</v>
      </c>
      <c r="ZZ8" s="81"/>
      <c r="AAA8" s="82"/>
      <c r="AAC8" s="9"/>
      <c r="AAD8" s="79"/>
      <c r="AAE8" s="79"/>
      <c r="AAF8" s="79">
        <f>AAD8</f>
        <v>0</v>
      </c>
      <c r="AAG8" s="80">
        <v>46037</v>
      </c>
      <c r="AAH8" s="81"/>
      <c r="AAI8" s="82"/>
      <c r="AAK8" s="9"/>
      <c r="AAL8" s="79"/>
      <c r="AAM8" s="79"/>
      <c r="AAN8" s="79">
        <f>AAL8</f>
        <v>0</v>
      </c>
      <c r="AAO8" s="80">
        <v>46037</v>
      </c>
      <c r="AAP8" s="81"/>
      <c r="AAQ8" s="82"/>
      <c r="AAS8" s="9"/>
      <c r="AAT8" s="79"/>
      <c r="AAU8" s="79"/>
      <c r="AAV8" s="79">
        <f>AAT8</f>
        <v>0</v>
      </c>
      <c r="AAW8" s="80">
        <v>46037</v>
      </c>
      <c r="AAX8" s="81"/>
      <c r="AAY8" s="82"/>
      <c r="ABA8" s="9"/>
      <c r="ABB8" s="79"/>
      <c r="ABC8" s="79"/>
      <c r="ABD8" s="79">
        <f>ABB8</f>
        <v>0</v>
      </c>
      <c r="ABE8" s="80">
        <v>46037</v>
      </c>
      <c r="ABF8" s="81"/>
      <c r="ABG8" s="82"/>
      <c r="ABI8" s="9"/>
      <c r="ABJ8" s="79"/>
      <c r="ABK8" s="79"/>
      <c r="ABL8" s="79">
        <f>ABJ8</f>
        <v>0</v>
      </c>
      <c r="ABM8" s="80">
        <v>46037</v>
      </c>
      <c r="ABN8" s="81"/>
      <c r="ABO8" s="82"/>
      <c r="ABQ8" s="9"/>
      <c r="ABR8" s="79"/>
      <c r="ABS8" s="79"/>
      <c r="ABT8" s="79">
        <f>ABR8</f>
        <v>0</v>
      </c>
      <c r="ABU8" s="80">
        <v>46037</v>
      </c>
      <c r="ABV8" s="81"/>
      <c r="ABW8" s="82"/>
      <c r="ABY8" s="9"/>
      <c r="ABZ8" s="79"/>
      <c r="ACA8" s="79"/>
      <c r="ACB8" s="79">
        <f>ABZ8</f>
        <v>0</v>
      </c>
      <c r="ACC8" s="80">
        <v>46037</v>
      </c>
      <c r="ACD8" s="81"/>
      <c r="ACE8" s="82"/>
    </row>
    <row r="9" spans="1:759" ht="12" customHeight="1" thickBot="1" x14ac:dyDescent="0.3">
      <c r="A9" s="84">
        <v>46037</v>
      </c>
      <c r="B9" s="350"/>
      <c r="C9" s="222">
        <v>300</v>
      </c>
      <c r="D9" s="87">
        <f>SUM(D8,B9,-C9)</f>
        <v>1700</v>
      </c>
      <c r="E9" s="80">
        <v>46037</v>
      </c>
      <c r="F9" s="374">
        <v>100</v>
      </c>
      <c r="G9" s="82"/>
      <c r="H9" s="72"/>
      <c r="I9" s="84">
        <v>46037</v>
      </c>
      <c r="J9" s="87">
        <v>200</v>
      </c>
      <c r="K9" s="87"/>
      <c r="L9" s="87">
        <f t="shared" ref="L9:L55" si="0">SUM(L8,J9,-K9)</f>
        <v>1000</v>
      </c>
      <c r="M9" s="163">
        <v>46037</v>
      </c>
      <c r="N9" s="220">
        <v>24</v>
      </c>
      <c r="O9" s="82"/>
      <c r="P9" s="110"/>
      <c r="Q9" s="84">
        <v>46037</v>
      </c>
      <c r="R9" s="222"/>
      <c r="S9" s="222">
        <v>200</v>
      </c>
      <c r="T9" s="87">
        <f t="shared" ref="T9:T55" si="1">SUM(T8,R9,-S9)</f>
        <v>4000</v>
      </c>
      <c r="U9" s="80">
        <v>46037</v>
      </c>
      <c r="V9" s="220">
        <v>84</v>
      </c>
      <c r="W9" s="82"/>
      <c r="X9" s="394"/>
      <c r="Y9" s="84">
        <v>46037</v>
      </c>
      <c r="Z9" s="222"/>
      <c r="AA9" s="222"/>
      <c r="AB9" s="222">
        <f>SUM(AB8,Z9,-AA9)</f>
        <v>1000</v>
      </c>
      <c r="AC9" s="80">
        <v>46037</v>
      </c>
      <c r="AD9" s="220"/>
      <c r="AE9" s="82">
        <v>40</v>
      </c>
      <c r="AF9"/>
      <c r="AG9" s="84">
        <v>46037</v>
      </c>
      <c r="AH9" s="222">
        <v>1000</v>
      </c>
      <c r="AI9" s="222"/>
      <c r="AJ9" s="87">
        <f>SUM(AJ8,AH9,-AI9)</f>
        <v>2000</v>
      </c>
      <c r="AK9" s="80">
        <v>46037</v>
      </c>
      <c r="AL9" s="220">
        <v>40</v>
      </c>
      <c r="AM9" s="82"/>
      <c r="AN9" s="416"/>
      <c r="AO9" s="84">
        <v>46037</v>
      </c>
      <c r="AP9" s="222">
        <v>0</v>
      </c>
      <c r="AQ9" s="222">
        <v>0</v>
      </c>
      <c r="AR9" s="87">
        <f>SUM(AR8,AP9,-AQ9)</f>
        <v>1000</v>
      </c>
      <c r="AS9" s="80">
        <v>46037</v>
      </c>
      <c r="AT9" s="220"/>
      <c r="AU9" s="82">
        <v>35</v>
      </c>
      <c r="AV9" s="72"/>
      <c r="AW9" s="84">
        <v>46037</v>
      </c>
      <c r="AX9" s="222"/>
      <c r="AY9" s="222">
        <v>50</v>
      </c>
      <c r="AZ9" s="87">
        <f>SUM(AZ8,AX9,-AY9)</f>
        <v>1150</v>
      </c>
      <c r="BA9" s="80">
        <v>46037</v>
      </c>
      <c r="BB9" s="374">
        <v>42</v>
      </c>
      <c r="BC9" s="82"/>
      <c r="BD9" s="72"/>
      <c r="BE9" s="84">
        <v>46037</v>
      </c>
      <c r="BF9" s="222">
        <v>2000</v>
      </c>
      <c r="BG9" s="222"/>
      <c r="BH9" s="87">
        <f>SUM(BH8,BF9,-BG9)</f>
        <v>7000</v>
      </c>
      <c r="BI9" s="80">
        <v>46037</v>
      </c>
      <c r="BJ9" s="220">
        <v>225</v>
      </c>
      <c r="BK9" s="82"/>
      <c r="BL9" s="397"/>
      <c r="BM9" s="84">
        <v>46037</v>
      </c>
      <c r="BN9" s="222">
        <v>0</v>
      </c>
      <c r="BO9" s="222">
        <v>0</v>
      </c>
      <c r="BP9" s="87">
        <f>SUM(BP8,BN9,-BO9)</f>
        <v>1000</v>
      </c>
      <c r="BQ9" s="80">
        <v>46037</v>
      </c>
      <c r="BR9" s="220"/>
      <c r="BS9" s="82">
        <v>45</v>
      </c>
      <c r="BT9" s="72"/>
      <c r="BU9" s="84">
        <v>46037</v>
      </c>
      <c r="BV9" s="87"/>
      <c r="BW9" s="87">
        <v>1500</v>
      </c>
      <c r="BX9" s="87">
        <f>SUM(BX8,BV9,-BW9)</f>
        <v>0</v>
      </c>
      <c r="BY9" s="80">
        <v>46037</v>
      </c>
      <c r="BZ9" s="220">
        <v>75</v>
      </c>
      <c r="CA9" s="82"/>
      <c r="CB9" s="72"/>
      <c r="CC9" s="84"/>
      <c r="CD9" s="222"/>
      <c r="CE9" s="222"/>
      <c r="CF9" s="87">
        <f>SUM(CF8,CD9,-CE9)</f>
        <v>0</v>
      </c>
      <c r="CG9" s="88">
        <v>46052</v>
      </c>
      <c r="CH9" s="220"/>
      <c r="CI9" s="82"/>
      <c r="CJ9" s="72"/>
      <c r="CK9" s="10"/>
      <c r="CL9" s="222"/>
      <c r="CM9" s="222"/>
      <c r="CN9" s="87">
        <f>SUM(CN8,CL9,-CM9)</f>
        <v>0</v>
      </c>
      <c r="CO9" s="88">
        <v>46052</v>
      </c>
      <c r="CP9" s="220"/>
      <c r="CQ9" s="82"/>
      <c r="CR9" s="72"/>
      <c r="CS9" s="10"/>
      <c r="CT9" s="222"/>
      <c r="CU9" s="222"/>
      <c r="CV9" s="87">
        <f>SUM(CV8,CT9,-CU9)</f>
        <v>0</v>
      </c>
      <c r="CW9" s="88">
        <v>46052</v>
      </c>
      <c r="CX9" s="220"/>
      <c r="CY9" s="82"/>
      <c r="DA9" s="84"/>
      <c r="DB9" s="222"/>
      <c r="DC9" s="300"/>
      <c r="DD9" s="87">
        <f>SUM(DD8,DB9,-DC9)</f>
        <v>0</v>
      </c>
      <c r="DE9" s="88">
        <v>46052</v>
      </c>
      <c r="DF9" s="220"/>
      <c r="DG9" s="82"/>
      <c r="DI9" s="10"/>
      <c r="DJ9" s="222"/>
      <c r="DK9" s="222"/>
      <c r="DL9" s="87">
        <f>SUM(DL8,DJ9,-DK9)</f>
        <v>0</v>
      </c>
      <c r="DM9" s="80">
        <v>46037</v>
      </c>
      <c r="DN9" s="220"/>
      <c r="DO9" s="82"/>
      <c r="DP9" s="198"/>
      <c r="DQ9" s="84"/>
      <c r="DR9" s="222"/>
      <c r="DS9" s="222"/>
      <c r="DT9" s="87">
        <f>SUM(DT8,DR9,-DS9)</f>
        <v>0</v>
      </c>
      <c r="DU9" s="80">
        <v>46037</v>
      </c>
      <c r="DV9" s="220"/>
      <c r="DW9" s="82"/>
      <c r="DX9" s="72"/>
      <c r="DY9" s="10"/>
      <c r="DZ9" s="222"/>
      <c r="EA9" s="222"/>
      <c r="EB9" s="87">
        <f>SUM(EB8,DZ9,-EA9)</f>
        <v>0</v>
      </c>
      <c r="EC9" s="80">
        <v>46037</v>
      </c>
      <c r="ED9" s="89"/>
      <c r="EE9" s="82"/>
      <c r="EF9" s="72"/>
      <c r="EG9" s="10"/>
      <c r="EH9" s="222"/>
      <c r="EI9" s="222"/>
      <c r="EJ9" s="87">
        <f>SUM(EJ8,EH9,-EI9)</f>
        <v>0</v>
      </c>
      <c r="EK9" s="80">
        <v>46037</v>
      </c>
      <c r="EL9" s="220"/>
      <c r="EM9" s="82"/>
      <c r="EN9"/>
      <c r="EO9" s="84"/>
      <c r="EP9" s="222"/>
      <c r="EQ9" s="222"/>
      <c r="ER9" s="87">
        <f>SUM(ER8,EP9,-EQ9)</f>
        <v>0</v>
      </c>
      <c r="ES9" s="80">
        <v>46037</v>
      </c>
      <c r="ET9" s="220"/>
      <c r="EU9" s="82"/>
      <c r="EW9" s="84"/>
      <c r="EX9" s="222"/>
      <c r="EY9" s="222"/>
      <c r="EZ9" s="87">
        <f>SUM(EZ8,EX9,-EY9)</f>
        <v>0</v>
      </c>
      <c r="FA9" s="80">
        <v>46037</v>
      </c>
      <c r="FB9" s="220"/>
      <c r="FC9" s="82"/>
      <c r="FE9" s="84"/>
      <c r="FF9" s="222"/>
      <c r="FG9" s="222"/>
      <c r="FH9" s="87">
        <f>SUM(FH8,FF9,-FG9)</f>
        <v>0</v>
      </c>
      <c r="FI9" s="80">
        <v>46037</v>
      </c>
      <c r="FJ9" s="220"/>
      <c r="FK9" s="82"/>
      <c r="FL9" s="198"/>
      <c r="FM9" s="10"/>
      <c r="FN9" s="222"/>
      <c r="FO9" s="222"/>
      <c r="FP9" s="87">
        <f>SUM(FP8,FN9,-FO9)</f>
        <v>0</v>
      </c>
      <c r="FQ9" s="80">
        <v>46037</v>
      </c>
      <c r="FR9" s="89"/>
      <c r="FS9" s="82"/>
      <c r="FT9" s="72"/>
      <c r="FU9" s="84"/>
      <c r="FV9" s="222"/>
      <c r="FW9" s="222"/>
      <c r="FX9" s="87">
        <f>SUM(FX8,FV9,-FW9)</f>
        <v>0</v>
      </c>
      <c r="FY9" s="163">
        <v>46037</v>
      </c>
      <c r="FZ9" s="220"/>
      <c r="GA9" s="82"/>
      <c r="GB9" s="197"/>
      <c r="GC9" s="84"/>
      <c r="GD9" s="222"/>
      <c r="GE9" s="222"/>
      <c r="GF9" s="87">
        <f>SUM(GF8,GD9,-GE9)</f>
        <v>0</v>
      </c>
      <c r="GG9" s="80">
        <v>46037</v>
      </c>
      <c r="GH9" s="89">
        <v>0</v>
      </c>
      <c r="GI9" s="82"/>
      <c r="GJ9" s="162"/>
      <c r="GK9" s="84"/>
      <c r="GL9" s="222"/>
      <c r="GM9" s="222"/>
      <c r="GN9" s="87">
        <f>SUM(GN8,GL9,-GM9)</f>
        <v>0</v>
      </c>
      <c r="GO9" s="88">
        <v>46052</v>
      </c>
      <c r="GP9" s="91"/>
      <c r="GQ9" s="82"/>
      <c r="GS9" s="84"/>
      <c r="GT9" s="222"/>
      <c r="GU9" s="222"/>
      <c r="GV9" s="87">
        <f>SUM(GV8,GT9,-GU9)</f>
        <v>0</v>
      </c>
      <c r="GW9" s="88">
        <v>46052</v>
      </c>
      <c r="GX9" s="220"/>
      <c r="GY9" s="82"/>
      <c r="HA9" s="10"/>
      <c r="HB9" s="87"/>
      <c r="HC9" s="87"/>
      <c r="HD9" s="87">
        <f>SUM(HD8,HB9,-HC9)</f>
        <v>0</v>
      </c>
      <c r="HE9" s="88">
        <v>46052</v>
      </c>
      <c r="HF9" s="89"/>
      <c r="HG9" s="82"/>
      <c r="HH9" s="267"/>
      <c r="HI9" s="84"/>
      <c r="HJ9" s="87"/>
      <c r="HK9" s="87"/>
      <c r="HL9" s="87">
        <f>SUM(HL8,HJ9,-HK9)</f>
        <v>0</v>
      </c>
      <c r="HM9" s="88">
        <v>46052</v>
      </c>
      <c r="HN9" s="89"/>
      <c r="HO9" s="82"/>
      <c r="HQ9" s="84"/>
      <c r="HR9" s="87"/>
      <c r="HS9" s="87"/>
      <c r="HT9" s="87">
        <f>SUM(HT8,HR9,-HS9)</f>
        <v>0</v>
      </c>
      <c r="HU9" s="88">
        <v>46052</v>
      </c>
      <c r="HV9" s="220"/>
      <c r="HW9" s="82"/>
      <c r="HY9" s="84"/>
      <c r="HZ9" s="222"/>
      <c r="IA9" s="222"/>
      <c r="IB9" s="87">
        <f>SUM(IB8,HZ9,-IA9)</f>
        <v>0</v>
      </c>
      <c r="IC9" s="88">
        <v>46052</v>
      </c>
      <c r="ID9" s="89"/>
      <c r="IE9" s="82"/>
      <c r="IG9" s="103"/>
      <c r="IH9" s="86"/>
      <c r="II9" s="86"/>
      <c r="IJ9" s="87">
        <f>SUM(IJ8,IH9,-II9)</f>
        <v>0</v>
      </c>
      <c r="IK9" s="88">
        <v>46052</v>
      </c>
      <c r="IL9" s="91"/>
      <c r="IM9" s="82"/>
      <c r="IO9" s="103"/>
      <c r="IP9" s="229"/>
      <c r="IQ9" s="86"/>
      <c r="IR9" s="87">
        <f>SUM(IR8,IP9,-IQ9)</f>
        <v>0</v>
      </c>
      <c r="IS9" s="88">
        <v>46052</v>
      </c>
      <c r="IT9" s="91"/>
      <c r="IU9" s="82"/>
      <c r="IW9" s="84"/>
      <c r="IX9" s="87"/>
      <c r="IY9" s="87"/>
      <c r="IZ9" s="87">
        <f>SUM(IZ8,IX9,-IY9)</f>
        <v>0</v>
      </c>
      <c r="JA9" s="88">
        <v>46052</v>
      </c>
      <c r="JB9" s="89"/>
      <c r="JC9" s="82"/>
      <c r="JE9" s="84"/>
      <c r="JF9" s="222"/>
      <c r="JG9" s="222"/>
      <c r="JH9" s="87">
        <f>SUM(JH8,JF9,-JG9)</f>
        <v>0</v>
      </c>
      <c r="JI9" s="88">
        <v>46052</v>
      </c>
      <c r="JJ9" s="220"/>
      <c r="JK9" s="82"/>
      <c r="JM9" s="84"/>
      <c r="JN9" s="87"/>
      <c r="JO9" s="87"/>
      <c r="JP9" s="87">
        <f>SUM(JP8,JN9,-JO9)</f>
        <v>0</v>
      </c>
      <c r="JQ9" s="163">
        <v>46052</v>
      </c>
      <c r="JR9" s="91"/>
      <c r="JS9" s="82"/>
      <c r="JU9" s="10"/>
      <c r="JV9" s="87"/>
      <c r="JW9" s="86"/>
      <c r="JX9" s="87">
        <f>SUM(JX8,JV9,-JW9)</f>
        <v>0</v>
      </c>
      <c r="JY9" s="163">
        <v>46052</v>
      </c>
      <c r="JZ9" s="89"/>
      <c r="KA9" s="82"/>
      <c r="KC9" s="84"/>
      <c r="KD9" s="222"/>
      <c r="KE9" s="222"/>
      <c r="KF9" s="87">
        <f>SUM(KF8,KD9,-KE9)</f>
        <v>0</v>
      </c>
      <c r="KG9" s="163">
        <v>46052</v>
      </c>
      <c r="KH9" s="222"/>
      <c r="KI9" s="109"/>
      <c r="KK9" s="84"/>
      <c r="KL9" s="87"/>
      <c r="KM9" s="87"/>
      <c r="KN9" s="87">
        <f>SUM(KN8,KL9,-KM9)</f>
        <v>0</v>
      </c>
      <c r="KO9" s="163">
        <v>46052</v>
      </c>
      <c r="KP9" s="89"/>
      <c r="KQ9" s="82"/>
      <c r="KS9" s="84"/>
      <c r="KT9" s="87"/>
      <c r="KU9" s="87"/>
      <c r="KV9" s="87">
        <f>SUM(KV8,KT9,-KU9)</f>
        <v>0</v>
      </c>
      <c r="KW9" s="88">
        <v>46052</v>
      </c>
      <c r="KX9" s="89"/>
      <c r="KY9" s="82"/>
      <c r="LA9" s="84"/>
      <c r="LB9" s="87"/>
      <c r="LC9" s="87"/>
      <c r="LD9" s="87">
        <f>SUM(LD8,LB9,-LC9)</f>
        <v>0</v>
      </c>
      <c r="LE9" s="163">
        <v>46052</v>
      </c>
      <c r="LF9" s="89"/>
      <c r="LG9" s="191"/>
      <c r="LI9" s="84"/>
      <c r="LJ9" s="87"/>
      <c r="LK9" s="87"/>
      <c r="LL9" s="87">
        <f>SUM(LL8,LJ9,-LK9)</f>
        <v>0</v>
      </c>
      <c r="LM9" s="88">
        <v>46052</v>
      </c>
      <c r="LN9" s="89"/>
      <c r="LO9" s="82"/>
      <c r="LQ9" s="84"/>
      <c r="LR9" s="87"/>
      <c r="LS9" s="87"/>
      <c r="LT9" s="87">
        <f>SUM(LT8,LR9,-LS9)</f>
        <v>0</v>
      </c>
      <c r="LU9" s="88">
        <v>46052</v>
      </c>
      <c r="LV9" s="89"/>
      <c r="LW9" s="82"/>
      <c r="LY9" s="84"/>
      <c r="LZ9" s="87"/>
      <c r="MA9" s="87"/>
      <c r="MB9" s="87">
        <f>SUM(MB8,LZ9,-MA9)</f>
        <v>0</v>
      </c>
      <c r="MC9" s="88">
        <v>46052</v>
      </c>
      <c r="MD9" s="89"/>
      <c r="ME9" s="82"/>
      <c r="MG9" s="84"/>
      <c r="MH9" s="87"/>
      <c r="MI9" s="87"/>
      <c r="MJ9" s="87">
        <f>SUM(MJ8,MH9,-MI9)</f>
        <v>0</v>
      </c>
      <c r="MK9" s="88">
        <v>46052</v>
      </c>
      <c r="ML9" s="89"/>
      <c r="MM9" s="82"/>
      <c r="MO9" s="84"/>
      <c r="MP9" s="87"/>
      <c r="MQ9" s="87"/>
      <c r="MR9" s="87">
        <f>SUM(MR8,MP9,-MQ9)</f>
        <v>0</v>
      </c>
      <c r="MS9" s="88">
        <v>46052</v>
      </c>
      <c r="MT9" s="92"/>
      <c r="MU9" s="82"/>
      <c r="MW9" s="84"/>
      <c r="MX9" s="87"/>
      <c r="MY9" s="87"/>
      <c r="MZ9" s="87">
        <f>SUM(MZ8,MX9,-MY9)</f>
        <v>0</v>
      </c>
      <c r="NA9" s="88">
        <v>46052</v>
      </c>
      <c r="NB9" s="89"/>
      <c r="NC9" s="82"/>
      <c r="NE9" s="84"/>
      <c r="NF9" s="87"/>
      <c r="NG9" s="87"/>
      <c r="NH9" s="87">
        <f>SUM(NH8,NF9,-NG9)</f>
        <v>0</v>
      </c>
      <c r="NI9" s="88">
        <v>46052</v>
      </c>
      <c r="NJ9" s="89"/>
      <c r="NK9" s="82"/>
      <c r="NM9" s="84"/>
      <c r="NN9" s="87"/>
      <c r="NO9" s="87"/>
      <c r="NP9" s="87">
        <f>SUM(NP8,NN9,-NO9)</f>
        <v>0</v>
      </c>
      <c r="NQ9" s="88">
        <v>46052</v>
      </c>
      <c r="NR9" s="91"/>
      <c r="NS9" s="82"/>
      <c r="NU9" s="84"/>
      <c r="NV9" s="87"/>
      <c r="NW9" s="87"/>
      <c r="NX9" s="87">
        <f>SUM(NX8,NV9,-NW9)</f>
        <v>0</v>
      </c>
      <c r="NY9" s="88">
        <v>46052</v>
      </c>
      <c r="NZ9" s="89"/>
      <c r="OA9" s="82"/>
      <c r="OC9" s="84"/>
      <c r="OD9" s="87"/>
      <c r="OE9" s="87"/>
      <c r="OF9" s="87">
        <f>SUM(OF8,OD9,-OE9)</f>
        <v>0</v>
      </c>
      <c r="OG9" s="88">
        <v>46052</v>
      </c>
      <c r="OH9" s="89"/>
      <c r="OI9" s="82"/>
      <c r="OK9" s="103"/>
      <c r="OL9" s="87"/>
      <c r="OM9" s="86"/>
      <c r="ON9" s="87">
        <f>SUM(ON8,OL9,-OM9)</f>
        <v>0</v>
      </c>
      <c r="OO9" s="88">
        <v>46052</v>
      </c>
      <c r="OP9" s="91"/>
      <c r="OQ9" s="82"/>
      <c r="OS9" s="84"/>
      <c r="OT9" s="87"/>
      <c r="OU9" s="87"/>
      <c r="OV9" s="87">
        <f>SUM(OV8,OT9,-OU9)</f>
        <v>0</v>
      </c>
      <c r="OW9" s="88">
        <v>46052</v>
      </c>
      <c r="OX9" s="89"/>
      <c r="OY9" s="82"/>
      <c r="PA9" s="84"/>
      <c r="PB9" s="87"/>
      <c r="PC9" s="87"/>
      <c r="PD9" s="87">
        <f>SUM(PD8,PB9,-PC9)</f>
        <v>0</v>
      </c>
      <c r="PE9" s="88">
        <v>46052</v>
      </c>
      <c r="PF9" s="89"/>
      <c r="PG9" s="82"/>
      <c r="PI9" s="84"/>
      <c r="PJ9" s="87"/>
      <c r="PK9" s="87"/>
      <c r="PL9" s="87">
        <f>SUM(PL8,PJ9,-PK9)</f>
        <v>0</v>
      </c>
      <c r="PM9" s="88">
        <v>46052</v>
      </c>
      <c r="PN9" s="211"/>
      <c r="PO9" s="216"/>
      <c r="PQ9" s="84"/>
      <c r="PR9" s="87"/>
      <c r="PS9" s="87"/>
      <c r="PT9" s="87">
        <f>SUM(PT8,PR9,-PS9)</f>
        <v>0</v>
      </c>
      <c r="PU9" s="88">
        <v>46052</v>
      </c>
      <c r="PV9" s="89"/>
      <c r="PW9" s="82"/>
      <c r="PY9" s="10"/>
      <c r="PZ9" s="87"/>
      <c r="QA9" s="87"/>
      <c r="QB9" s="87">
        <f>SUM(QB8,PZ9,-QA9)</f>
        <v>0</v>
      </c>
      <c r="QC9" s="88">
        <v>46052</v>
      </c>
      <c r="QD9" s="91"/>
      <c r="QE9" s="82"/>
      <c r="QG9" s="84"/>
      <c r="QH9" s="87"/>
      <c r="QI9" s="87"/>
      <c r="QJ9" s="87">
        <f>SUM(QJ8,QH9,-QI9)</f>
        <v>0</v>
      </c>
      <c r="QK9" s="88">
        <v>46052</v>
      </c>
      <c r="QL9" s="89"/>
      <c r="QM9" s="82"/>
      <c r="QO9" s="84"/>
      <c r="QP9" s="87"/>
      <c r="QQ9" s="87"/>
      <c r="QR9" s="87">
        <f>SUM(QR8,QP9,-QQ9)</f>
        <v>0</v>
      </c>
      <c r="QS9" s="88">
        <v>46052</v>
      </c>
      <c r="QT9" s="212"/>
      <c r="QU9" s="216"/>
      <c r="QW9" s="84"/>
      <c r="QX9" s="87"/>
      <c r="QY9" s="87"/>
      <c r="QZ9" s="87">
        <f>SUM(QZ8,QX9,-QY9)</f>
        <v>0</v>
      </c>
      <c r="RA9" s="88">
        <v>46052</v>
      </c>
      <c r="RB9" s="89"/>
      <c r="RC9" s="82"/>
      <c r="RE9" s="84"/>
      <c r="RF9" s="87"/>
      <c r="RG9" s="87"/>
      <c r="RH9" s="87">
        <f>SUM(RH8,RF9,-RG9)</f>
        <v>0</v>
      </c>
      <c r="RI9" s="88">
        <v>46052</v>
      </c>
      <c r="RJ9" s="89"/>
      <c r="RK9" s="170"/>
      <c r="RM9" s="84"/>
      <c r="RN9" s="87"/>
      <c r="RO9" s="87"/>
      <c r="RP9" s="87">
        <f>SUM(RP8,RN9,-RO9)</f>
        <v>0</v>
      </c>
      <c r="RQ9" s="88">
        <v>46052</v>
      </c>
      <c r="RR9" s="89"/>
      <c r="RS9" s="82"/>
      <c r="RT9" s="105"/>
      <c r="RU9" s="84"/>
      <c r="RV9" s="87"/>
      <c r="RW9" s="87"/>
      <c r="RX9" s="87">
        <f>SUM(RX8,RV9,-RW9)</f>
        <v>0</v>
      </c>
      <c r="RY9" s="88">
        <v>46052</v>
      </c>
      <c r="RZ9" s="89"/>
      <c r="SA9" s="82"/>
      <c r="SC9" s="84"/>
      <c r="SD9" s="87"/>
      <c r="SE9" s="87"/>
      <c r="SF9" s="87">
        <f>SUM(SF8,SD9,-SE9)</f>
        <v>0</v>
      </c>
      <c r="SG9" s="88">
        <v>46052</v>
      </c>
      <c r="SH9" s="89"/>
      <c r="SI9" s="82"/>
      <c r="SK9" s="103"/>
      <c r="SL9" s="86"/>
      <c r="SM9" s="86"/>
      <c r="SN9" s="87">
        <f>SUM(SN8,SL9,-SM9)</f>
        <v>0</v>
      </c>
      <c r="SO9" s="88">
        <v>46052</v>
      </c>
      <c r="SP9" s="91"/>
      <c r="SQ9" s="82"/>
      <c r="SS9" s="84"/>
      <c r="ST9" s="87"/>
      <c r="SU9" s="87"/>
      <c r="SV9" s="87">
        <f>SUM(SV8,ST9,-SU9)</f>
        <v>0</v>
      </c>
      <c r="SW9" s="88">
        <v>46052</v>
      </c>
      <c r="SX9" s="89"/>
      <c r="SY9" s="82"/>
      <c r="TA9" s="10"/>
      <c r="TB9" s="87"/>
      <c r="TC9" s="87"/>
      <c r="TD9" s="87">
        <f>SUM(TD8,TB9,-TC9)</f>
        <v>0</v>
      </c>
      <c r="TE9" s="88">
        <v>46052</v>
      </c>
      <c r="TF9" s="91"/>
      <c r="TG9" s="82"/>
      <c r="TI9" s="84"/>
      <c r="TJ9" s="87"/>
      <c r="TK9" s="87"/>
      <c r="TL9" s="87">
        <f>SUM(TL8,TJ9,-TK9)</f>
        <v>0</v>
      </c>
      <c r="TM9" s="88">
        <v>46052</v>
      </c>
      <c r="TN9" s="89"/>
      <c r="TO9" s="82"/>
      <c r="TQ9" s="84"/>
      <c r="TR9" s="87"/>
      <c r="TS9" s="87"/>
      <c r="TT9" s="87">
        <f>SUM(TT8,TR9,-TS9)</f>
        <v>0</v>
      </c>
      <c r="TU9" s="88">
        <v>46052</v>
      </c>
      <c r="TV9" s="91"/>
      <c r="TW9" s="82"/>
      <c r="TY9" s="84"/>
      <c r="TZ9" s="87"/>
      <c r="UA9" s="87"/>
      <c r="UB9" s="87">
        <f>SUM(UB8,TZ9,-UA9)</f>
        <v>0</v>
      </c>
      <c r="UC9" s="88">
        <v>46052</v>
      </c>
      <c r="UD9" s="89"/>
      <c r="UE9" s="82"/>
      <c r="UG9" s="84"/>
      <c r="UH9" s="87"/>
      <c r="UI9" s="87"/>
      <c r="UJ9" s="87">
        <f>SUM(UJ8,UH9,-UI9)</f>
        <v>0</v>
      </c>
      <c r="UK9" s="88">
        <v>46052</v>
      </c>
      <c r="UL9" s="89"/>
      <c r="UM9" s="82"/>
      <c r="UO9" s="84"/>
      <c r="UP9" s="87"/>
      <c r="UQ9" s="87"/>
      <c r="UR9" s="87">
        <f>SUM(UR8,UP9,-UQ9)</f>
        <v>0</v>
      </c>
      <c r="US9" s="88">
        <v>46052</v>
      </c>
      <c r="UT9" s="89"/>
      <c r="UU9" s="82"/>
      <c r="UW9" s="84"/>
      <c r="UX9" s="87"/>
      <c r="UY9" s="87"/>
      <c r="UZ9" s="87">
        <f>SUM(UZ8,UX9,-UY9)</f>
        <v>0</v>
      </c>
      <c r="VA9" s="88">
        <v>46052</v>
      </c>
      <c r="VB9" s="89"/>
      <c r="VC9" s="82"/>
      <c r="VE9" s="84"/>
      <c r="VF9" s="87"/>
      <c r="VG9" s="87"/>
      <c r="VH9" s="87">
        <f>SUM(VH8,VF9,-VG9)</f>
        <v>0</v>
      </c>
      <c r="VI9" s="88">
        <v>46052</v>
      </c>
      <c r="VJ9" s="89"/>
      <c r="VK9" s="82"/>
      <c r="VM9" s="84"/>
      <c r="VN9" s="87"/>
      <c r="VO9" s="87"/>
      <c r="VP9" s="87">
        <f>SUM(VP8,VN9,-VO9)</f>
        <v>0</v>
      </c>
      <c r="VQ9" s="88">
        <v>46052</v>
      </c>
      <c r="VR9" s="89"/>
      <c r="VS9" s="82"/>
      <c r="VU9" s="84"/>
      <c r="VV9" s="87"/>
      <c r="VW9" s="87"/>
      <c r="VX9" s="87">
        <f>SUM(VX8,VV9,-VW9)</f>
        <v>0</v>
      </c>
      <c r="VY9" s="88">
        <v>46052</v>
      </c>
      <c r="VZ9" s="89"/>
      <c r="WA9" s="82"/>
      <c r="WC9" s="84"/>
      <c r="WD9" s="87"/>
      <c r="WE9" s="87"/>
      <c r="WF9" s="87">
        <f>SUM(WF8,WD9,-WE9)</f>
        <v>0</v>
      </c>
      <c r="WG9" s="88">
        <v>46052</v>
      </c>
      <c r="WH9" s="89"/>
      <c r="WI9" s="82"/>
      <c r="WK9" s="84"/>
      <c r="WL9" s="87"/>
      <c r="WM9" s="87"/>
      <c r="WN9" s="87">
        <f>SUM(WN8,WL9,-WM9)</f>
        <v>0</v>
      </c>
      <c r="WO9" s="88">
        <v>46052</v>
      </c>
      <c r="WP9" s="89"/>
      <c r="WQ9" s="82"/>
      <c r="WS9" s="84"/>
      <c r="WT9" s="87"/>
      <c r="WU9" s="87"/>
      <c r="WV9" s="87">
        <f>SUM(WV8,WT9,-WU9)</f>
        <v>0</v>
      </c>
      <c r="WW9" s="88">
        <v>46052</v>
      </c>
      <c r="WX9" s="89"/>
      <c r="WY9" s="82"/>
      <c r="XA9" s="84"/>
      <c r="XB9" s="87"/>
      <c r="XC9" s="87"/>
      <c r="XD9" s="87">
        <f>SUM(XD8,XB9,-XC9)</f>
        <v>0</v>
      </c>
      <c r="XE9" s="88">
        <v>46052</v>
      </c>
      <c r="XF9" s="89"/>
      <c r="XG9" s="82"/>
      <c r="XI9" s="84"/>
      <c r="XJ9" s="87"/>
      <c r="XK9" s="87"/>
      <c r="XL9" s="87">
        <f>SUM(XL8,XJ9,-XK9)</f>
        <v>0</v>
      </c>
      <c r="XM9" s="88">
        <v>46052</v>
      </c>
      <c r="XN9" s="89"/>
      <c r="XO9" s="82"/>
      <c r="XQ9" s="84"/>
      <c r="XR9" s="87"/>
      <c r="XS9" s="207"/>
      <c r="XT9" s="87">
        <f>SUM(XT8,XR9,-XS9)</f>
        <v>0</v>
      </c>
      <c r="XU9" s="88">
        <v>46052</v>
      </c>
      <c r="XV9" s="91"/>
      <c r="XW9" s="82"/>
      <c r="XY9" s="84"/>
      <c r="XZ9" s="87"/>
      <c r="YA9" s="87"/>
      <c r="YB9" s="87">
        <f>SUM(YB8,XZ9,-YA9)</f>
        <v>0</v>
      </c>
      <c r="YC9" s="88">
        <v>46052</v>
      </c>
      <c r="YD9" s="89"/>
      <c r="YE9" s="82"/>
      <c r="YG9" s="84"/>
      <c r="YH9" s="87"/>
      <c r="YI9" s="87"/>
      <c r="YJ9" s="87">
        <f>SUM(YJ8,YH9,-YI9)</f>
        <v>0</v>
      </c>
      <c r="YK9" s="88">
        <v>46052</v>
      </c>
      <c r="YL9" s="89"/>
      <c r="YM9" s="82"/>
      <c r="YO9" s="84"/>
      <c r="YP9" s="87"/>
      <c r="YQ9" s="87"/>
      <c r="YR9" s="87">
        <f>SUM(YR8,YP9,-YQ9)</f>
        <v>0</v>
      </c>
      <c r="YS9" s="88">
        <v>46052</v>
      </c>
      <c r="YT9" s="89"/>
      <c r="YU9" s="82"/>
      <c r="YW9" s="84"/>
      <c r="YX9" s="87"/>
      <c r="YY9" s="87"/>
      <c r="YZ9" s="87">
        <f>SUM(YZ8,YX9,-YY9)</f>
        <v>0</v>
      </c>
      <c r="ZA9" s="88">
        <v>46052</v>
      </c>
      <c r="ZB9" s="89"/>
      <c r="ZC9" s="82"/>
      <c r="ZE9" s="84"/>
      <c r="ZF9" s="87"/>
      <c r="ZG9" s="87"/>
      <c r="ZH9" s="87">
        <f>SUM(ZH8,ZF9,-ZG9)</f>
        <v>0</v>
      </c>
      <c r="ZI9" s="88">
        <v>46052</v>
      </c>
      <c r="ZJ9" s="89"/>
      <c r="ZK9" s="82"/>
      <c r="ZM9" s="84"/>
      <c r="ZN9" s="87"/>
      <c r="ZO9" s="87"/>
      <c r="ZP9" s="87">
        <f>SUM(ZP8,ZN9,-ZO9)</f>
        <v>0</v>
      </c>
      <c r="ZQ9" s="88">
        <v>46052</v>
      </c>
      <c r="ZR9" s="89"/>
      <c r="ZS9" s="82"/>
      <c r="ZU9" s="84"/>
      <c r="ZV9" s="87"/>
      <c r="ZW9" s="87"/>
      <c r="ZX9" s="87">
        <f>SUM(ZX8,ZV9,-ZW9)</f>
        <v>0</v>
      </c>
      <c r="ZY9" s="88">
        <v>46052</v>
      </c>
      <c r="ZZ9" s="89"/>
      <c r="AAA9" s="82"/>
      <c r="AAC9" s="84"/>
      <c r="AAD9" s="87"/>
      <c r="AAE9" s="87"/>
      <c r="AAF9" s="87">
        <f>SUM(AAF8,AAD9,-AAE9)</f>
        <v>0</v>
      </c>
      <c r="AAG9" s="88">
        <v>46052</v>
      </c>
      <c r="AAH9" s="89"/>
      <c r="AAI9" s="82"/>
      <c r="AAK9" s="84"/>
      <c r="AAL9" s="87"/>
      <c r="AAM9" s="87"/>
      <c r="AAN9" s="87">
        <f>SUM(AAN8,AAL9,-AAM9)</f>
        <v>0</v>
      </c>
      <c r="AAO9" s="88">
        <v>46052</v>
      </c>
      <c r="AAP9" s="89"/>
      <c r="AAQ9" s="82"/>
      <c r="AAS9" s="84"/>
      <c r="AAT9" s="87"/>
      <c r="AAU9" s="87"/>
      <c r="AAV9" s="87">
        <f>SUM(AAV8,AAT9,-AAU9)</f>
        <v>0</v>
      </c>
      <c r="AAW9" s="88">
        <v>46052</v>
      </c>
      <c r="AAX9" s="89"/>
      <c r="AAY9" s="82"/>
      <c r="ABA9" s="84"/>
      <c r="ABB9" s="87"/>
      <c r="ABC9" s="87"/>
      <c r="ABD9" s="87">
        <f>SUM(ABD8,ABB9,-ABC9)</f>
        <v>0</v>
      </c>
      <c r="ABE9" s="88">
        <v>46052</v>
      </c>
      <c r="ABF9" s="89"/>
      <c r="ABG9" s="82"/>
      <c r="ABI9" s="84"/>
      <c r="ABJ9" s="87"/>
      <c r="ABK9" s="87"/>
      <c r="ABL9" s="87">
        <f>SUM(ABL8,ABJ9,-ABK9)</f>
        <v>0</v>
      </c>
      <c r="ABM9" s="88">
        <v>46052</v>
      </c>
      <c r="ABN9" s="89"/>
      <c r="ABO9" s="82"/>
      <c r="ABQ9" s="84"/>
      <c r="ABR9" s="87"/>
      <c r="ABS9" s="87"/>
      <c r="ABT9" s="87">
        <f>SUM(ABT8,ABR9,-ABS9)</f>
        <v>0</v>
      </c>
      <c r="ABU9" s="88">
        <v>46052</v>
      </c>
      <c r="ABV9" s="89"/>
      <c r="ABW9" s="82"/>
      <c r="ABY9" s="84"/>
      <c r="ABZ9" s="87"/>
      <c r="ACA9" s="87"/>
      <c r="ACB9" s="87">
        <f>SUM(ACB8,ABZ9,-ACA9)</f>
        <v>0</v>
      </c>
      <c r="ACC9" s="88">
        <v>46052</v>
      </c>
      <c r="ACD9" s="89"/>
      <c r="ACE9" s="82"/>
    </row>
    <row r="10" spans="1:759" ht="12" customHeight="1" thickBot="1" x14ac:dyDescent="0.3">
      <c r="A10" s="84"/>
      <c r="B10" s="350"/>
      <c r="C10" s="222"/>
      <c r="D10" s="87">
        <f t="shared" ref="D10:D55" si="2">SUM(D9,B10,-C10)</f>
        <v>1700</v>
      </c>
      <c r="E10" s="88">
        <v>46052</v>
      </c>
      <c r="F10" s="374"/>
      <c r="G10" s="82"/>
      <c r="H10" s="343"/>
      <c r="I10" s="84"/>
      <c r="J10" s="87"/>
      <c r="K10" s="222"/>
      <c r="L10" s="87">
        <f t="shared" si="0"/>
        <v>1000</v>
      </c>
      <c r="M10" s="163">
        <v>46052</v>
      </c>
      <c r="N10" s="220"/>
      <c r="O10" s="82"/>
      <c r="P10" s="110"/>
      <c r="Q10" s="84"/>
      <c r="R10" s="222"/>
      <c r="S10" s="222"/>
      <c r="T10" s="87">
        <f t="shared" si="1"/>
        <v>4000</v>
      </c>
      <c r="U10" s="88">
        <v>46052</v>
      </c>
      <c r="V10" s="408" t="s">
        <v>44</v>
      </c>
      <c r="W10" s="82"/>
      <c r="X10" s="394"/>
      <c r="Y10" s="10"/>
      <c r="Z10" s="222"/>
      <c r="AA10" s="222"/>
      <c r="AB10" s="222">
        <f t="shared" ref="AB10:AB55" si="3">SUM(AB9,Z10,-AA10)</f>
        <v>1000</v>
      </c>
      <c r="AC10" s="88">
        <v>46052</v>
      </c>
      <c r="AD10" s="220"/>
      <c r="AE10" s="82"/>
      <c r="AF10" s="198"/>
      <c r="AG10" s="84"/>
      <c r="AH10" s="222"/>
      <c r="AI10" s="222"/>
      <c r="AJ10" s="87">
        <f t="shared" ref="AJ10:AJ55" si="4">SUM(AJ9,AH10,-AI10)</f>
        <v>2000</v>
      </c>
      <c r="AK10" s="88">
        <v>46052</v>
      </c>
      <c r="AL10" s="220"/>
      <c r="AM10" s="82"/>
      <c r="AN10" s="416"/>
      <c r="AO10" s="84"/>
      <c r="AP10" s="222"/>
      <c r="AQ10" s="222"/>
      <c r="AR10" s="87">
        <f t="shared" ref="AR10:AR55" si="5">SUM(AR9,AP10,-AQ10)</f>
        <v>1000</v>
      </c>
      <c r="AS10" s="88">
        <v>46052</v>
      </c>
      <c r="AT10" s="220"/>
      <c r="AU10" s="82"/>
      <c r="AV10" s="94"/>
      <c r="AW10" s="84"/>
      <c r="AX10" s="87"/>
      <c r="AY10" s="222"/>
      <c r="AZ10" s="87">
        <f t="shared" ref="AZ10:AZ55" si="6">SUM(AZ9,AX10,-AY10)</f>
        <v>1150</v>
      </c>
      <c r="BA10" s="88">
        <v>46052</v>
      </c>
      <c r="BB10" s="374"/>
      <c r="BC10" s="82"/>
      <c r="BD10"/>
      <c r="BE10" s="84"/>
      <c r="BF10" s="222"/>
      <c r="BG10" s="222"/>
      <c r="BH10" s="87">
        <f t="shared" ref="BH10:BH55" si="7">SUM(BH9,BF10,-BG10)</f>
        <v>7000</v>
      </c>
      <c r="BI10" s="88">
        <v>46052</v>
      </c>
      <c r="BJ10" s="220"/>
      <c r="BK10" s="82"/>
      <c r="BL10"/>
      <c r="BM10" s="84"/>
      <c r="BN10" s="222"/>
      <c r="BO10" s="222"/>
      <c r="BP10" s="87">
        <f t="shared" ref="BP10:BP55" si="8">SUM(BP9,BN10,-BO10)</f>
        <v>1000</v>
      </c>
      <c r="BQ10" s="88">
        <v>46052</v>
      </c>
      <c r="BR10" s="220"/>
      <c r="BS10" s="82"/>
      <c r="BT10" s="72"/>
      <c r="BU10" s="84"/>
      <c r="BV10" s="87"/>
      <c r="BW10" s="87"/>
      <c r="BX10" s="87">
        <f t="shared" ref="BX10:BX55" si="9">SUM(BX9,BV10,-BW10)</f>
        <v>0</v>
      </c>
      <c r="BY10" s="88">
        <v>46052</v>
      </c>
      <c r="BZ10" s="220"/>
      <c r="CA10" s="82"/>
      <c r="CB10" s="72"/>
      <c r="CC10" s="84"/>
      <c r="CD10" s="222"/>
      <c r="CE10" s="222"/>
      <c r="CF10" s="87">
        <f t="shared" ref="CF10:CF55" si="10">SUM(CF9,CD10,-CE10)</f>
        <v>0</v>
      </c>
      <c r="CG10" s="93">
        <v>46068</v>
      </c>
      <c r="CH10" s="220"/>
      <c r="CI10" s="82"/>
      <c r="CJ10" s="72"/>
      <c r="CK10" s="84"/>
      <c r="CL10" s="222"/>
      <c r="CM10" s="222"/>
      <c r="CN10" s="87">
        <f t="shared" ref="CN10:CN55" si="11">SUM(CN9,CL10,-CM10)</f>
        <v>0</v>
      </c>
      <c r="CO10" s="93">
        <v>46068</v>
      </c>
      <c r="CP10" s="220"/>
      <c r="CQ10" s="82"/>
      <c r="CR10" s="72"/>
      <c r="CS10" s="84"/>
      <c r="CT10" s="222"/>
      <c r="CU10" s="222"/>
      <c r="CV10" s="87">
        <f t="shared" ref="CV10:CV52" si="12">SUM(CV9,CT10,-CU10)</f>
        <v>0</v>
      </c>
      <c r="CW10" s="93">
        <v>46068</v>
      </c>
      <c r="CX10" s="220"/>
      <c r="CY10" s="82"/>
      <c r="DA10" s="10"/>
      <c r="DB10" s="222"/>
      <c r="DC10" s="222"/>
      <c r="DD10" s="87">
        <f t="shared" ref="DD10:DD52" si="13">SUM(DD9,DB10,-DC10)</f>
        <v>0</v>
      </c>
      <c r="DE10" s="93">
        <v>46068</v>
      </c>
      <c r="DF10" s="220"/>
      <c r="DG10" s="82"/>
      <c r="DI10" s="84"/>
      <c r="DJ10" s="301"/>
      <c r="DK10" s="222"/>
      <c r="DL10" s="87">
        <f t="shared" ref="DL10:DL52" si="14">SUM(DL9,DJ10,-DK10)</f>
        <v>0</v>
      </c>
      <c r="DM10" s="88">
        <v>46052</v>
      </c>
      <c r="DN10" s="220"/>
      <c r="DO10" s="82"/>
      <c r="DP10" s="72"/>
      <c r="DQ10" s="84"/>
      <c r="DR10" s="222"/>
      <c r="DS10" s="222"/>
      <c r="DT10" s="87">
        <f t="shared" ref="DT10:DT52" si="15">SUM(DT9,DR10,-DS10)</f>
        <v>0</v>
      </c>
      <c r="DU10" s="88">
        <v>46052</v>
      </c>
      <c r="DV10" s="220"/>
      <c r="DW10" s="82"/>
      <c r="DX10" s="72"/>
      <c r="DY10" s="84"/>
      <c r="DZ10" s="222"/>
      <c r="EA10" s="222"/>
      <c r="EB10" s="87">
        <f t="shared" ref="EB10:EB52" si="16">SUM(EB9,DZ10,-EA10)</f>
        <v>0</v>
      </c>
      <c r="EC10" s="88">
        <v>46052</v>
      </c>
      <c r="ED10" s="220"/>
      <c r="EE10" s="82"/>
      <c r="EF10" s="72"/>
      <c r="EG10" s="10"/>
      <c r="EH10" s="222"/>
      <c r="EI10" s="222"/>
      <c r="EJ10" s="87">
        <f t="shared" ref="EJ10:EJ52" si="17">SUM(EJ9,EH10,-EI10)</f>
        <v>0</v>
      </c>
      <c r="EK10" s="88">
        <v>46052</v>
      </c>
      <c r="EL10" s="220"/>
      <c r="EM10" s="82"/>
      <c r="EO10" s="10"/>
      <c r="EP10" s="222"/>
      <c r="EQ10" s="222"/>
      <c r="ER10" s="87">
        <f t="shared" ref="ER10:ER52" si="18">SUM(ER9,EP10,-EQ10)</f>
        <v>0</v>
      </c>
      <c r="ES10" s="88">
        <v>46052</v>
      </c>
      <c r="ET10" s="220"/>
      <c r="EU10" s="82"/>
      <c r="EW10" s="84"/>
      <c r="EX10" s="222"/>
      <c r="EY10" s="222"/>
      <c r="EZ10" s="87">
        <f t="shared" ref="EZ10:EZ52" si="19">SUM(EZ9,EX10,-EY10)</f>
        <v>0</v>
      </c>
      <c r="FA10" s="88">
        <v>46052</v>
      </c>
      <c r="FB10" s="220"/>
      <c r="FC10" s="82"/>
      <c r="FE10" s="103"/>
      <c r="FF10" s="86"/>
      <c r="FG10" s="86"/>
      <c r="FH10" s="87">
        <f>SUM(FH9,FF10,-FG10)</f>
        <v>0</v>
      </c>
      <c r="FI10" s="88">
        <v>46052</v>
      </c>
      <c r="FJ10" s="220"/>
      <c r="FK10" s="82"/>
      <c r="FM10" s="84"/>
      <c r="FN10" s="222"/>
      <c r="FO10" s="222"/>
      <c r="FP10" s="87">
        <f t="shared" ref="FP10:FP52" si="20">SUM(FP9,FN10,-FO10)</f>
        <v>0</v>
      </c>
      <c r="FQ10" s="88">
        <v>46052</v>
      </c>
      <c r="FR10" s="220"/>
      <c r="FS10" s="82"/>
      <c r="FT10" s="72"/>
      <c r="FU10" s="10"/>
      <c r="FV10" s="222"/>
      <c r="FW10" s="222"/>
      <c r="FX10" s="87">
        <f t="shared" ref="FX10:FX52" si="21">SUM(FX9,FV10,-FW10)</f>
        <v>0</v>
      </c>
      <c r="FY10" s="163">
        <v>46052</v>
      </c>
      <c r="FZ10" s="220"/>
      <c r="GA10" s="82"/>
      <c r="GB10" s="197"/>
      <c r="GC10" s="84"/>
      <c r="GD10" s="222"/>
      <c r="GE10" s="222"/>
      <c r="GF10" s="87">
        <f t="shared" ref="GF10:GF52" si="22">SUM(GF9,GD10,-GE10)</f>
        <v>0</v>
      </c>
      <c r="GG10" s="88">
        <v>46052</v>
      </c>
      <c r="GH10" s="220"/>
      <c r="GI10" s="82"/>
      <c r="GK10" s="84"/>
      <c r="GL10" s="222"/>
      <c r="GM10" s="222"/>
      <c r="GN10" s="87">
        <f t="shared" ref="GN10:GN52" si="23">SUM(GN9,GL10,-GM10)</f>
        <v>0</v>
      </c>
      <c r="GO10" s="93">
        <v>46068</v>
      </c>
      <c r="GP10" s="91"/>
      <c r="GQ10" s="82"/>
      <c r="GS10" s="84"/>
      <c r="GT10" s="302"/>
      <c r="GU10" s="222"/>
      <c r="GV10" s="87">
        <f t="shared" ref="GV10:GV52" si="24">SUM(GV9,GT10,-GU10)</f>
        <v>0</v>
      </c>
      <c r="GW10" s="93">
        <v>46068</v>
      </c>
      <c r="GX10" s="220"/>
      <c r="GY10" s="82"/>
      <c r="GZ10"/>
      <c r="HA10" s="84"/>
      <c r="HB10" s="87"/>
      <c r="HC10" s="87"/>
      <c r="HD10" s="87">
        <f t="shared" ref="HD10:HD52" si="25">SUM(HD9,HB10,-HC10)</f>
        <v>0</v>
      </c>
      <c r="HE10" s="93">
        <v>46068</v>
      </c>
      <c r="HF10" s="89"/>
      <c r="HG10" s="82"/>
      <c r="HH10" s="267"/>
      <c r="HI10" s="84"/>
      <c r="HJ10" s="222"/>
      <c r="HK10" s="222"/>
      <c r="HL10" s="87">
        <f t="shared" ref="HL10:HL52" si="26">SUM(HL9,HJ10,-HK10)</f>
        <v>0</v>
      </c>
      <c r="HM10" s="93">
        <v>46068</v>
      </c>
      <c r="HN10" s="89"/>
      <c r="HO10" s="82"/>
      <c r="HQ10" s="84"/>
      <c r="HR10" s="87"/>
      <c r="HS10" s="222"/>
      <c r="HT10" s="87">
        <f t="shared" ref="HT10:HT52" si="27">SUM(HT9,HR10,-HS10)</f>
        <v>0</v>
      </c>
      <c r="HU10" s="93">
        <v>46068</v>
      </c>
      <c r="HV10" s="220"/>
      <c r="HW10" s="82"/>
      <c r="HY10" s="84"/>
      <c r="HZ10" s="222"/>
      <c r="IA10" s="222"/>
      <c r="IB10" s="87">
        <f t="shared" ref="IB10:IB52" si="28">SUM(IB9,HZ10,-IA10)</f>
        <v>0</v>
      </c>
      <c r="IC10" s="93">
        <v>46068</v>
      </c>
      <c r="ID10" s="89"/>
      <c r="IE10" s="82"/>
      <c r="IG10" s="103"/>
      <c r="IH10" s="86"/>
      <c r="II10" s="86"/>
      <c r="IJ10" s="87">
        <f t="shared" ref="IJ10:IJ52" si="29">SUM(IJ9,IH10,-II10)</f>
        <v>0</v>
      </c>
      <c r="IK10" s="93">
        <v>46068</v>
      </c>
      <c r="IL10" s="91"/>
      <c r="IM10" s="82"/>
      <c r="IO10" s="103"/>
      <c r="IP10" s="86"/>
      <c r="IQ10" s="86"/>
      <c r="IR10" s="87">
        <f t="shared" ref="IR10:IR52" si="30">SUM(IR9,IP10,-IQ10)</f>
        <v>0</v>
      </c>
      <c r="IS10" s="93">
        <v>46068</v>
      </c>
      <c r="IT10" s="91"/>
      <c r="IU10" s="82"/>
      <c r="IW10" s="84"/>
      <c r="IX10" s="87"/>
      <c r="IY10" s="87"/>
      <c r="IZ10" s="87">
        <f t="shared" ref="IZ10:IZ52" si="31">SUM(IZ9,IX10,-IY10)</f>
        <v>0</v>
      </c>
      <c r="JA10" s="93">
        <v>46068</v>
      </c>
      <c r="JB10" s="89"/>
      <c r="JC10" s="82"/>
      <c r="JE10" s="84"/>
      <c r="JF10" s="222"/>
      <c r="JG10" s="222"/>
      <c r="JH10" s="87">
        <f t="shared" ref="JH10:JH52" si="32">SUM(JH9,JF10,-JG10)</f>
        <v>0</v>
      </c>
      <c r="JI10" s="93">
        <v>46068</v>
      </c>
      <c r="JJ10" s="220"/>
      <c r="JK10" s="82"/>
      <c r="JM10" s="84"/>
      <c r="JN10" s="87"/>
      <c r="JO10" s="87"/>
      <c r="JP10" s="87">
        <f t="shared" ref="JP10:JP52" si="33">SUM(JP9,JN10,-JO10)</f>
        <v>0</v>
      </c>
      <c r="JQ10" s="164">
        <v>46068</v>
      </c>
      <c r="JR10" s="91"/>
      <c r="JS10" s="82"/>
      <c r="JT10"/>
      <c r="JU10" s="84"/>
      <c r="JV10" s="87"/>
      <c r="JW10" s="87"/>
      <c r="JX10" s="87">
        <f>SUM(JX9,JV10,-JW10)</f>
        <v>0</v>
      </c>
      <c r="JY10" s="164">
        <v>46068</v>
      </c>
      <c r="JZ10" s="89"/>
      <c r="KA10" s="82"/>
      <c r="KC10" s="84"/>
      <c r="KD10" s="222"/>
      <c r="KE10" s="222"/>
      <c r="KF10" s="87">
        <f t="shared" ref="KF10:KF52" si="34">SUM(KF9,KD10,-KE10)</f>
        <v>0</v>
      </c>
      <c r="KG10" s="164">
        <v>46068</v>
      </c>
      <c r="KH10" s="222"/>
      <c r="KI10" s="109"/>
      <c r="KK10" s="84"/>
      <c r="KL10" s="87"/>
      <c r="KM10" s="87"/>
      <c r="KN10" s="87">
        <f t="shared" ref="KN10:KN52" si="35">SUM(KN9,KL10,-KM10)</f>
        <v>0</v>
      </c>
      <c r="KO10" s="164">
        <v>46068</v>
      </c>
      <c r="KP10" s="89"/>
      <c r="KQ10" s="82"/>
      <c r="KS10" s="84"/>
      <c r="KT10" s="87"/>
      <c r="KU10" s="87"/>
      <c r="KV10" s="87">
        <f t="shared" ref="KV10:KV52" si="36">SUM(KV9,KT10,-KU10)</f>
        <v>0</v>
      </c>
      <c r="KW10" s="93">
        <v>46068</v>
      </c>
      <c r="KX10" s="89"/>
      <c r="KY10" s="82"/>
      <c r="LA10" s="84"/>
      <c r="LB10" s="87"/>
      <c r="LC10" s="87"/>
      <c r="LD10" s="87">
        <f t="shared" ref="LD10:LD52" si="37">SUM(LD9,LB10,-LC10)</f>
        <v>0</v>
      </c>
      <c r="LE10" s="164">
        <v>46068</v>
      </c>
      <c r="LF10" s="89"/>
      <c r="LG10" s="191"/>
      <c r="LI10" s="84"/>
      <c r="LJ10" s="87"/>
      <c r="LK10" s="87"/>
      <c r="LL10" s="87">
        <f t="shared" ref="LL10:LL52" si="38">SUM(LL9,LJ10,-LK10)</f>
        <v>0</v>
      </c>
      <c r="LM10" s="93">
        <v>46068</v>
      </c>
      <c r="LN10" s="89"/>
      <c r="LO10" s="82"/>
      <c r="LQ10" s="84"/>
      <c r="LR10" s="87"/>
      <c r="LS10" s="87"/>
      <c r="LT10" s="87">
        <f t="shared" ref="LT10:LT52" si="39">SUM(LT9,LR10,-LS10)</f>
        <v>0</v>
      </c>
      <c r="LU10" s="93">
        <v>46068</v>
      </c>
      <c r="LV10" s="89"/>
      <c r="LW10" s="82"/>
      <c r="LY10" s="84"/>
      <c r="LZ10" s="87"/>
      <c r="MA10" s="87"/>
      <c r="MB10" s="87">
        <f t="shared" ref="MB10:MB52" si="40">SUM(MB9,LZ10,-MA10)</f>
        <v>0</v>
      </c>
      <c r="MC10" s="93">
        <v>46068</v>
      </c>
      <c r="MD10" s="89"/>
      <c r="ME10" s="82"/>
      <c r="MG10" s="84"/>
      <c r="MH10" s="87"/>
      <c r="MI10" s="87"/>
      <c r="MJ10" s="87">
        <f t="shared" ref="MJ10:MJ52" si="41">SUM(MJ9,MH10,-MI10)</f>
        <v>0</v>
      </c>
      <c r="MK10" s="93">
        <v>46068</v>
      </c>
      <c r="ML10" s="89"/>
      <c r="MM10" s="82"/>
      <c r="MO10" s="84"/>
      <c r="MP10" s="87"/>
      <c r="MQ10" s="95"/>
      <c r="MR10" s="87">
        <f t="shared" ref="MR10:MR52" si="42">SUM(MR9,MP10,-MQ10)</f>
        <v>0</v>
      </c>
      <c r="MS10" s="93">
        <v>46068</v>
      </c>
      <c r="MT10" s="92"/>
      <c r="MU10" s="82"/>
      <c r="MW10" s="84"/>
      <c r="MX10" s="87"/>
      <c r="MY10" s="87"/>
      <c r="MZ10" s="87">
        <f t="shared" ref="MZ10:MZ52" si="43">SUM(MZ9,MX10,-MY10)</f>
        <v>0</v>
      </c>
      <c r="NA10" s="93">
        <v>46068</v>
      </c>
      <c r="NB10" s="89"/>
      <c r="NC10" s="82"/>
      <c r="NE10" s="84"/>
      <c r="NF10" s="87"/>
      <c r="NG10" s="87"/>
      <c r="NH10" s="87">
        <f t="shared" ref="NH10:NH52" si="44">SUM(NH9,NF10,-NG10)</f>
        <v>0</v>
      </c>
      <c r="NI10" s="93">
        <v>46068</v>
      </c>
      <c r="NJ10" s="89"/>
      <c r="NK10" s="82"/>
      <c r="NM10" s="10"/>
      <c r="NN10" s="87"/>
      <c r="NO10" s="87"/>
      <c r="NP10" s="87">
        <f t="shared" ref="NP10:NP52" si="45">SUM(NP9,NN10,-NO10)</f>
        <v>0</v>
      </c>
      <c r="NQ10" s="93">
        <v>46068</v>
      </c>
      <c r="NR10" s="91"/>
      <c r="NS10" s="82"/>
      <c r="NU10" s="84"/>
      <c r="NV10" s="87"/>
      <c r="NW10" s="87"/>
      <c r="NX10" s="87">
        <f t="shared" ref="NX10:NX52" si="46">SUM(NX9,NV10,-NW10)</f>
        <v>0</v>
      </c>
      <c r="NY10" s="93">
        <v>46068</v>
      </c>
      <c r="NZ10" s="89"/>
      <c r="OA10" s="82"/>
      <c r="OC10" s="84"/>
      <c r="OD10" s="87"/>
      <c r="OE10" s="87"/>
      <c r="OF10" s="87">
        <f t="shared" ref="OF10:OF52" si="47">SUM(OF9,OD10,-OE10)</f>
        <v>0</v>
      </c>
      <c r="OG10" s="93">
        <v>46068</v>
      </c>
      <c r="OH10" s="89"/>
      <c r="OI10" s="82"/>
      <c r="OK10" s="103"/>
      <c r="OL10" s="87"/>
      <c r="OM10" s="86"/>
      <c r="ON10" s="87">
        <f t="shared" ref="ON10:ON52" si="48">SUM(ON9,OL10,-OM10)</f>
        <v>0</v>
      </c>
      <c r="OO10" s="93">
        <v>46068</v>
      </c>
      <c r="OP10" s="91"/>
      <c r="OQ10" s="82"/>
      <c r="OS10" s="10"/>
      <c r="OT10" s="87"/>
      <c r="OU10" s="87"/>
      <c r="OV10" s="87">
        <f t="shared" ref="OV10:OV52" si="49">SUM(OV9,OT10,-OU10)</f>
        <v>0</v>
      </c>
      <c r="OW10" s="93">
        <v>46068</v>
      </c>
      <c r="OX10" s="89"/>
      <c r="OY10" s="82"/>
      <c r="PA10" s="84"/>
      <c r="PB10" s="87"/>
      <c r="PC10" s="87"/>
      <c r="PD10" s="87">
        <f t="shared" ref="PD10:PD52" si="50">SUM(PD9,PB10,-PC10)</f>
        <v>0</v>
      </c>
      <c r="PE10" s="93">
        <v>46068</v>
      </c>
      <c r="PF10" s="89"/>
      <c r="PG10" s="82"/>
      <c r="PI10" s="84"/>
      <c r="PJ10" s="87"/>
      <c r="PK10" s="87"/>
      <c r="PL10" s="87">
        <f t="shared" ref="PL10:PL52" si="51">SUM(PL9,PJ10,-PK10)</f>
        <v>0</v>
      </c>
      <c r="PM10" s="93">
        <v>46068</v>
      </c>
      <c r="PN10" s="211"/>
      <c r="PO10" s="216"/>
      <c r="PQ10" s="84"/>
      <c r="PR10" s="87"/>
      <c r="PS10" s="87"/>
      <c r="PT10" s="87">
        <f t="shared" ref="PT10:PT52" si="52">SUM(PT9,PR10,-PS10)</f>
        <v>0</v>
      </c>
      <c r="PU10" s="93">
        <v>46068</v>
      </c>
      <c r="PV10" s="89"/>
      <c r="PW10" s="82"/>
      <c r="PY10" s="84"/>
      <c r="PZ10" s="87"/>
      <c r="QA10" s="87"/>
      <c r="QB10" s="87">
        <f t="shared" ref="QB10:QB52" si="53">SUM(QB9,PZ10,-QA10)</f>
        <v>0</v>
      </c>
      <c r="QC10" s="93">
        <v>46068</v>
      </c>
      <c r="QD10" s="91"/>
      <c r="QE10" s="82"/>
      <c r="QG10" s="84"/>
      <c r="QH10" s="87"/>
      <c r="QI10" s="87"/>
      <c r="QJ10" s="87">
        <f t="shared" ref="QJ10:QJ52" si="54">SUM(QJ9,QH10,-QI10)</f>
        <v>0</v>
      </c>
      <c r="QK10" s="93">
        <v>46068</v>
      </c>
      <c r="QL10" s="89"/>
      <c r="QM10" s="82"/>
      <c r="QO10" s="84"/>
      <c r="QP10" s="87"/>
      <c r="QQ10" s="87"/>
      <c r="QR10" s="87">
        <f t="shared" ref="QR10:QR52" si="55">SUM(QR9,QP10,-QQ10)</f>
        <v>0</v>
      </c>
      <c r="QS10" s="93">
        <v>46068</v>
      </c>
      <c r="QT10" s="212"/>
      <c r="QU10" s="216"/>
      <c r="QW10" s="84"/>
      <c r="QX10" s="87"/>
      <c r="QY10" s="87"/>
      <c r="QZ10" s="87">
        <f t="shared" ref="QZ10:QZ52" si="56">SUM(QZ9,QX10,-QY10)</f>
        <v>0</v>
      </c>
      <c r="RA10" s="93">
        <v>46068</v>
      </c>
      <c r="RB10" s="89"/>
      <c r="RC10" s="82"/>
      <c r="RE10" s="84"/>
      <c r="RF10" s="87"/>
      <c r="RG10" s="87"/>
      <c r="RH10" s="87">
        <f t="shared" ref="RH10:RH52" si="57">SUM(RH9,RF10,-RG10)</f>
        <v>0</v>
      </c>
      <c r="RI10" s="93">
        <v>46068</v>
      </c>
      <c r="RJ10" s="89"/>
      <c r="RK10" s="170"/>
      <c r="RM10" s="84"/>
      <c r="RN10" s="87"/>
      <c r="RO10" s="87"/>
      <c r="RP10" s="87">
        <f t="shared" ref="RP10:RP52" si="58">SUM(RP9,RN10,-RO10)</f>
        <v>0</v>
      </c>
      <c r="RQ10" s="93">
        <v>46068</v>
      </c>
      <c r="RR10" s="89"/>
      <c r="RS10" s="82"/>
      <c r="RU10" s="84"/>
      <c r="RV10" s="161"/>
      <c r="RW10" s="87"/>
      <c r="RX10" s="87">
        <f t="shared" ref="RX10:RX52" si="59">SUM(RX9,RV10,-RW10)</f>
        <v>0</v>
      </c>
      <c r="RY10" s="93">
        <v>46068</v>
      </c>
      <c r="RZ10" s="89"/>
      <c r="SA10" s="82"/>
      <c r="SC10" s="84"/>
      <c r="SD10" s="87"/>
      <c r="SE10" s="87"/>
      <c r="SF10" s="87">
        <f t="shared" ref="SF10:SF52" si="60">SUM(SF9,SD10,-SE10)</f>
        <v>0</v>
      </c>
      <c r="SG10" s="93">
        <v>46068</v>
      </c>
      <c r="SH10" s="89"/>
      <c r="SI10" s="82"/>
      <c r="SK10" s="103"/>
      <c r="SL10" s="86"/>
      <c r="SM10" s="86"/>
      <c r="SN10" s="87">
        <f t="shared" ref="SN10:SN52" si="61">SUM(SN9,SL10,-SM10)</f>
        <v>0</v>
      </c>
      <c r="SO10" s="93">
        <v>46068</v>
      </c>
      <c r="SP10" s="91"/>
      <c r="SQ10" s="82"/>
      <c r="SS10" s="84"/>
      <c r="ST10" s="87"/>
      <c r="SU10" s="87"/>
      <c r="SV10" s="87">
        <f t="shared" ref="SV10:SV52" si="62">SUM(SV9,ST10,-SU10)</f>
        <v>0</v>
      </c>
      <c r="SW10" s="93">
        <v>46068</v>
      </c>
      <c r="SX10" s="89"/>
      <c r="SY10" s="82"/>
      <c r="TA10" s="84"/>
      <c r="TB10" s="87"/>
      <c r="TC10" s="87"/>
      <c r="TD10" s="87">
        <f t="shared" ref="TD10:TD52" si="63">SUM(TD9,TB10,-TC10)</f>
        <v>0</v>
      </c>
      <c r="TE10" s="93">
        <v>46068</v>
      </c>
      <c r="TF10" s="91"/>
      <c r="TG10" s="82"/>
      <c r="TI10" s="84"/>
      <c r="TJ10" s="87"/>
      <c r="TK10" s="87"/>
      <c r="TL10" s="87">
        <f t="shared" ref="TL10:TL52" si="64">SUM(TL9,TJ10,-TK10)</f>
        <v>0</v>
      </c>
      <c r="TM10" s="93">
        <v>46068</v>
      </c>
      <c r="TN10" s="89"/>
      <c r="TO10" s="82"/>
      <c r="TQ10" s="84"/>
      <c r="TR10" s="87"/>
      <c r="TS10" s="87"/>
      <c r="TT10" s="87">
        <f t="shared" ref="TT10:TT52" si="65">SUM(TT9,TR10,-TS10)</f>
        <v>0</v>
      </c>
      <c r="TU10" s="93">
        <v>46068</v>
      </c>
      <c r="TV10" s="27"/>
      <c r="TW10" s="82"/>
      <c r="TY10" s="84"/>
      <c r="TZ10" s="87"/>
      <c r="UA10" s="87"/>
      <c r="UB10" s="87">
        <f t="shared" ref="UB10:UB52" si="66">SUM(UB9,TZ10,-UA10)</f>
        <v>0</v>
      </c>
      <c r="UC10" s="93">
        <v>46068</v>
      </c>
      <c r="UD10" s="89"/>
      <c r="UE10" s="82"/>
      <c r="UG10" s="84"/>
      <c r="UH10" s="87"/>
      <c r="UI10" s="87"/>
      <c r="UJ10" s="87">
        <f t="shared" ref="UJ10:UJ52" si="67">SUM(UJ9,UH10,-UI10)</f>
        <v>0</v>
      </c>
      <c r="UK10" s="93">
        <v>46068</v>
      </c>
      <c r="UL10" s="89"/>
      <c r="UM10" s="82"/>
      <c r="UO10" s="84"/>
      <c r="UP10" s="87"/>
      <c r="UQ10" s="87"/>
      <c r="UR10" s="87">
        <f t="shared" ref="UR10:UR52" si="68">SUM(UR9,UP10,-UQ10)</f>
        <v>0</v>
      </c>
      <c r="US10" s="93">
        <v>46068</v>
      </c>
      <c r="UT10" s="89"/>
      <c r="UU10" s="82"/>
      <c r="UW10" s="84"/>
      <c r="UX10" s="87"/>
      <c r="UY10" s="87"/>
      <c r="UZ10" s="87">
        <f t="shared" ref="UZ10:UZ52" si="69">SUM(UZ9,UX10,-UY10)</f>
        <v>0</v>
      </c>
      <c r="VA10" s="93">
        <v>46068</v>
      </c>
      <c r="VB10" s="89"/>
      <c r="VC10" s="82"/>
      <c r="VE10" s="84"/>
      <c r="VF10" s="87"/>
      <c r="VG10" s="87"/>
      <c r="VH10" s="87">
        <f t="shared" ref="VH10:VH52" si="70">SUM(VH9,VF10,-VG10)</f>
        <v>0</v>
      </c>
      <c r="VI10" s="93">
        <v>46068</v>
      </c>
      <c r="VJ10" s="89"/>
      <c r="VK10" s="82"/>
      <c r="VM10" s="84"/>
      <c r="VN10" s="87"/>
      <c r="VO10" s="87"/>
      <c r="VP10" s="87">
        <f t="shared" ref="VP10:VP52" si="71">SUM(VP9,VN10,-VO10)</f>
        <v>0</v>
      </c>
      <c r="VQ10" s="93">
        <v>46068</v>
      </c>
      <c r="VR10" s="89"/>
      <c r="VS10" s="82"/>
      <c r="VU10" s="84"/>
      <c r="VV10" s="87"/>
      <c r="VW10" s="87"/>
      <c r="VX10" s="87">
        <f t="shared" ref="VX10:VX52" si="72">SUM(VX9,VV10,-VW10)</f>
        <v>0</v>
      </c>
      <c r="VY10" s="93">
        <v>46068</v>
      </c>
      <c r="VZ10" s="89"/>
      <c r="WA10" s="82"/>
      <c r="WC10" s="84"/>
      <c r="WD10" s="87"/>
      <c r="WE10" s="87"/>
      <c r="WF10" s="87">
        <f t="shared" ref="WF10:WF52" si="73">SUM(WF9,WD10,-WE10)</f>
        <v>0</v>
      </c>
      <c r="WG10" s="93">
        <v>46068</v>
      </c>
      <c r="WH10" s="89"/>
      <c r="WI10" s="82"/>
      <c r="WK10" s="84"/>
      <c r="WL10" s="87"/>
      <c r="WM10" s="87"/>
      <c r="WN10" s="87">
        <f t="shared" ref="WN10:WN52" si="74">SUM(WN9,WL10,-WM10)</f>
        <v>0</v>
      </c>
      <c r="WO10" s="93">
        <v>46068</v>
      </c>
      <c r="WP10" s="89"/>
      <c r="WQ10" s="82"/>
      <c r="WS10" s="84"/>
      <c r="WT10" s="87"/>
      <c r="WU10" s="87"/>
      <c r="WV10" s="87">
        <f t="shared" ref="WV10:WV52" si="75">SUM(WV9,WT10,-WU10)</f>
        <v>0</v>
      </c>
      <c r="WW10" s="93">
        <v>46068</v>
      </c>
      <c r="WX10" s="89"/>
      <c r="WY10" s="82"/>
      <c r="XA10" s="84"/>
      <c r="XB10" s="87"/>
      <c r="XC10" s="87"/>
      <c r="XD10" s="87">
        <f t="shared" ref="XD10:XD52" si="76">SUM(XD9,XB10,-XC10)</f>
        <v>0</v>
      </c>
      <c r="XE10" s="93">
        <v>46068</v>
      </c>
      <c r="XF10" s="89"/>
      <c r="XG10" s="82"/>
      <c r="XI10" s="84"/>
      <c r="XJ10" s="87"/>
      <c r="XK10" s="87"/>
      <c r="XL10" s="87">
        <f t="shared" ref="XL10:XL52" si="77">SUM(XL9,XJ10,-XK10)</f>
        <v>0</v>
      </c>
      <c r="XM10" s="93">
        <v>46068</v>
      </c>
      <c r="XN10" s="89"/>
      <c r="XO10" s="82"/>
      <c r="XQ10" s="84"/>
      <c r="XR10" s="87"/>
      <c r="XS10" s="207"/>
      <c r="XT10" s="87">
        <f t="shared" ref="XT10:XT52" si="78">SUM(XT9,XR10,-XS10)</f>
        <v>0</v>
      </c>
      <c r="XU10" s="93">
        <v>46068</v>
      </c>
      <c r="XV10" s="91"/>
      <c r="XW10" s="82"/>
      <c r="XY10" s="84"/>
      <c r="XZ10" s="87"/>
      <c r="YA10" s="87"/>
      <c r="YB10" s="87">
        <f t="shared" ref="YB10:YB52" si="79">SUM(YB9,XZ10,-YA10)</f>
        <v>0</v>
      </c>
      <c r="YC10" s="93">
        <v>46068</v>
      </c>
      <c r="YD10" s="89"/>
      <c r="YE10" s="82"/>
      <c r="YG10" s="84"/>
      <c r="YH10" s="87"/>
      <c r="YI10" s="87"/>
      <c r="YJ10" s="87">
        <f t="shared" ref="YJ10:YJ52" si="80">SUM(YJ9,YH10,-YI10)</f>
        <v>0</v>
      </c>
      <c r="YK10" s="93">
        <v>46068</v>
      </c>
      <c r="YL10" s="89"/>
      <c r="YM10" s="82"/>
      <c r="YO10" s="84"/>
      <c r="YP10" s="87"/>
      <c r="YQ10" s="87"/>
      <c r="YR10" s="87">
        <f t="shared" ref="YR10:YR52" si="81">SUM(YR9,YP10,-YQ10)</f>
        <v>0</v>
      </c>
      <c r="YS10" s="93">
        <v>46068</v>
      </c>
      <c r="YT10" s="89"/>
      <c r="YU10" s="82"/>
      <c r="YW10" s="84"/>
      <c r="YX10" s="87"/>
      <c r="YY10" s="87"/>
      <c r="YZ10" s="87">
        <f t="shared" ref="YZ10:YZ52" si="82">SUM(YZ9,YX10,-YY10)</f>
        <v>0</v>
      </c>
      <c r="ZA10" s="93">
        <v>46068</v>
      </c>
      <c r="ZB10" s="89"/>
      <c r="ZC10" s="82"/>
      <c r="ZE10" s="84"/>
      <c r="ZF10" s="87"/>
      <c r="ZG10" s="87"/>
      <c r="ZH10" s="87">
        <f t="shared" ref="ZH10:ZH52" si="83">SUM(ZH9,ZF10,-ZG10)</f>
        <v>0</v>
      </c>
      <c r="ZI10" s="93">
        <v>46068</v>
      </c>
      <c r="ZJ10" s="89"/>
      <c r="ZK10" s="82"/>
      <c r="ZM10" s="84"/>
      <c r="ZN10" s="87"/>
      <c r="ZO10" s="87"/>
      <c r="ZP10" s="87">
        <f t="shared" ref="ZP10:ZP52" si="84">SUM(ZP9,ZN10,-ZO10)</f>
        <v>0</v>
      </c>
      <c r="ZQ10" s="93">
        <v>46068</v>
      </c>
      <c r="ZR10" s="89"/>
      <c r="ZS10" s="82"/>
      <c r="ZU10" s="84"/>
      <c r="ZV10" s="87"/>
      <c r="ZW10" s="87"/>
      <c r="ZX10" s="87">
        <f t="shared" ref="ZX10:ZX52" si="85">SUM(ZX9,ZV10,-ZW10)</f>
        <v>0</v>
      </c>
      <c r="ZY10" s="93">
        <v>46068</v>
      </c>
      <c r="ZZ10" s="89"/>
      <c r="AAA10" s="82"/>
      <c r="AAC10" s="84"/>
      <c r="AAD10" s="87"/>
      <c r="AAE10" s="87"/>
      <c r="AAF10" s="87">
        <f t="shared" ref="AAF10:AAF52" si="86">SUM(AAF9,AAD10,-AAE10)</f>
        <v>0</v>
      </c>
      <c r="AAG10" s="93">
        <v>46068</v>
      </c>
      <c r="AAH10" s="89"/>
      <c r="AAI10" s="82"/>
      <c r="AAK10" s="84"/>
      <c r="AAL10" s="87"/>
      <c r="AAM10" s="87"/>
      <c r="AAN10" s="87">
        <f t="shared" ref="AAN10:AAN52" si="87">SUM(AAN9,AAL10,-AAM10)</f>
        <v>0</v>
      </c>
      <c r="AAO10" s="93">
        <v>46068</v>
      </c>
      <c r="AAP10" s="89"/>
      <c r="AAQ10" s="82"/>
      <c r="AAS10" s="84"/>
      <c r="AAT10" s="87"/>
      <c r="AAU10" s="87"/>
      <c r="AAV10" s="87">
        <f t="shared" ref="AAV10:AAV52" si="88">SUM(AAV9,AAT10,-AAU10)</f>
        <v>0</v>
      </c>
      <c r="AAW10" s="93">
        <v>46068</v>
      </c>
      <c r="AAX10" s="89"/>
      <c r="AAY10" s="82"/>
      <c r="ABA10" s="84"/>
      <c r="ABB10" s="87"/>
      <c r="ABC10" s="87"/>
      <c r="ABD10" s="87">
        <f t="shared" ref="ABD10:ABD52" si="89">SUM(ABD9,ABB10,-ABC10)</f>
        <v>0</v>
      </c>
      <c r="ABE10" s="93">
        <v>46068</v>
      </c>
      <c r="ABF10" s="89"/>
      <c r="ABG10" s="82"/>
      <c r="ABI10" s="84"/>
      <c r="ABJ10" s="87"/>
      <c r="ABK10" s="87"/>
      <c r="ABL10" s="87">
        <f t="shared" ref="ABL10:ABL52" si="90">SUM(ABL9,ABJ10,-ABK10)</f>
        <v>0</v>
      </c>
      <c r="ABM10" s="93">
        <v>46068</v>
      </c>
      <c r="ABN10" s="89"/>
      <c r="ABO10" s="82"/>
      <c r="ABQ10" s="84"/>
      <c r="ABR10" s="87"/>
      <c r="ABS10" s="87"/>
      <c r="ABT10" s="87">
        <f t="shared" ref="ABT10:ABT52" si="91">SUM(ABT9,ABR10,-ABS10)</f>
        <v>0</v>
      </c>
      <c r="ABU10" s="93">
        <v>46068</v>
      </c>
      <c r="ABV10" s="89"/>
      <c r="ABW10" s="82"/>
      <c r="ABY10" s="84"/>
      <c r="ABZ10" s="87"/>
      <c r="ACA10" s="87"/>
      <c r="ACB10" s="87">
        <f t="shared" ref="ACB10:ACB52" si="92">SUM(ACB9,ABZ10,-ACA10)</f>
        <v>0</v>
      </c>
      <c r="ACC10" s="93">
        <v>46068</v>
      </c>
      <c r="ACD10" s="89"/>
      <c r="ACE10" s="82"/>
    </row>
    <row r="11" spans="1:759" ht="12" customHeight="1" thickBot="1" x14ac:dyDescent="0.3">
      <c r="A11" s="10"/>
      <c r="B11" s="350"/>
      <c r="C11" s="222"/>
      <c r="D11" s="87">
        <f t="shared" si="2"/>
        <v>1700</v>
      </c>
      <c r="E11" s="93">
        <v>46068</v>
      </c>
      <c r="F11" s="374"/>
      <c r="G11" s="381"/>
      <c r="H11" s="72"/>
      <c r="I11" s="84"/>
      <c r="J11" s="87"/>
      <c r="K11" s="87"/>
      <c r="L11" s="87">
        <f t="shared" si="0"/>
        <v>1000</v>
      </c>
      <c r="M11" s="164">
        <v>46068</v>
      </c>
      <c r="N11" s="220"/>
      <c r="O11" s="82"/>
      <c r="P11" s="110"/>
      <c r="Q11" s="84"/>
      <c r="R11" s="222"/>
      <c r="S11" s="222"/>
      <c r="T11" s="87">
        <f t="shared" si="1"/>
        <v>4000</v>
      </c>
      <c r="U11" s="93">
        <v>46068</v>
      </c>
      <c r="V11" s="220"/>
      <c r="W11" s="82"/>
      <c r="X11" s="394"/>
      <c r="Y11" s="84"/>
      <c r="Z11" s="222"/>
      <c r="AA11" s="222"/>
      <c r="AB11" s="222">
        <f t="shared" si="3"/>
        <v>1000</v>
      </c>
      <c r="AC11" s="93">
        <v>46068</v>
      </c>
      <c r="AD11" s="220"/>
      <c r="AE11" s="82"/>
      <c r="AG11" s="84"/>
      <c r="AH11" s="222"/>
      <c r="AI11" s="222"/>
      <c r="AJ11" s="87">
        <f t="shared" si="4"/>
        <v>2000</v>
      </c>
      <c r="AK11" s="93">
        <v>46068</v>
      </c>
      <c r="AL11" s="220"/>
      <c r="AM11" s="82"/>
      <c r="AN11" s="60"/>
      <c r="AO11" s="84"/>
      <c r="AP11" s="222"/>
      <c r="AQ11" s="222"/>
      <c r="AR11" s="87">
        <f t="shared" si="5"/>
        <v>1000</v>
      </c>
      <c r="AS11" s="93">
        <v>46068</v>
      </c>
      <c r="AT11" s="220"/>
      <c r="AU11" s="82"/>
      <c r="AV11" s="72"/>
      <c r="AW11" s="84"/>
      <c r="AX11" s="87"/>
      <c r="AY11" s="87"/>
      <c r="AZ11" s="87">
        <f t="shared" si="6"/>
        <v>1150</v>
      </c>
      <c r="BA11" s="93">
        <v>46068</v>
      </c>
      <c r="BB11" s="374"/>
      <c r="BC11" s="82"/>
      <c r="BE11" s="84"/>
      <c r="BF11" s="87"/>
      <c r="BG11" s="87"/>
      <c r="BH11" s="87">
        <f t="shared" si="7"/>
        <v>7000</v>
      </c>
      <c r="BI11" s="93">
        <v>46068</v>
      </c>
      <c r="BJ11" s="220"/>
      <c r="BK11" s="82"/>
      <c r="BL11" s="198"/>
      <c r="BM11" s="99"/>
      <c r="BN11" s="222"/>
      <c r="BO11" s="222"/>
      <c r="BP11" s="87">
        <f t="shared" si="8"/>
        <v>1000</v>
      </c>
      <c r="BQ11" s="93">
        <v>46068</v>
      </c>
      <c r="BR11" s="220"/>
      <c r="BS11" s="82"/>
      <c r="BT11" s="72"/>
      <c r="BU11" s="99"/>
      <c r="BV11" s="87"/>
      <c r="BW11" s="87"/>
      <c r="BX11" s="87">
        <f t="shared" si="9"/>
        <v>0</v>
      </c>
      <c r="BY11" s="93">
        <v>46068</v>
      </c>
      <c r="BZ11" s="220"/>
      <c r="CA11" s="82"/>
      <c r="CB11" s="72"/>
      <c r="CC11" s="84"/>
      <c r="CD11" s="222"/>
      <c r="CE11" s="222"/>
      <c r="CF11" s="87">
        <f t="shared" si="10"/>
        <v>0</v>
      </c>
      <c r="CG11" s="96">
        <v>46081</v>
      </c>
      <c r="CH11" s="220"/>
      <c r="CI11" s="82"/>
      <c r="CJ11" s="72"/>
      <c r="CK11" s="84"/>
      <c r="CL11" s="222"/>
      <c r="CM11" s="222"/>
      <c r="CN11" s="87">
        <f t="shared" si="11"/>
        <v>0</v>
      </c>
      <c r="CO11" s="96">
        <v>46081</v>
      </c>
      <c r="CP11" s="220"/>
      <c r="CQ11" s="82"/>
      <c r="CR11" s="226"/>
      <c r="CS11" s="84"/>
      <c r="CT11" s="222"/>
      <c r="CU11" s="222"/>
      <c r="CV11" s="87">
        <f t="shared" si="12"/>
        <v>0</v>
      </c>
      <c r="CW11" s="96">
        <v>46081</v>
      </c>
      <c r="CX11" s="220"/>
      <c r="CY11" s="82"/>
      <c r="DA11" s="84"/>
      <c r="DB11" s="222"/>
      <c r="DC11" s="222"/>
      <c r="DD11" s="87">
        <f t="shared" si="13"/>
        <v>0</v>
      </c>
      <c r="DE11" s="96">
        <v>46081</v>
      </c>
      <c r="DF11" s="220"/>
      <c r="DG11" s="82"/>
      <c r="DI11" s="84"/>
      <c r="DJ11" s="222"/>
      <c r="DK11" s="222"/>
      <c r="DL11" s="87">
        <f t="shared" si="14"/>
        <v>0</v>
      </c>
      <c r="DM11" s="93">
        <v>46068</v>
      </c>
      <c r="DN11" s="220"/>
      <c r="DO11" s="82"/>
      <c r="DP11" s="72"/>
      <c r="DQ11" s="99"/>
      <c r="DR11" s="222"/>
      <c r="DS11" s="222"/>
      <c r="DT11" s="87">
        <f t="shared" si="15"/>
        <v>0</v>
      </c>
      <c r="DU11" s="93">
        <v>46068</v>
      </c>
      <c r="DV11" s="220"/>
      <c r="DW11" s="82"/>
      <c r="DX11" s="72"/>
      <c r="DY11" s="10"/>
      <c r="DZ11" s="222"/>
      <c r="EA11" s="222"/>
      <c r="EB11" s="87">
        <f t="shared" si="16"/>
        <v>0</v>
      </c>
      <c r="EC11" s="93">
        <v>46068</v>
      </c>
      <c r="ED11" s="220"/>
      <c r="EE11" s="82"/>
      <c r="EF11" s="72"/>
      <c r="EG11" s="84"/>
      <c r="EH11" s="222"/>
      <c r="EI11" s="222"/>
      <c r="EJ11" s="222">
        <f t="shared" si="17"/>
        <v>0</v>
      </c>
      <c r="EK11" s="93">
        <v>46068</v>
      </c>
      <c r="EL11" s="220"/>
      <c r="EM11" s="82"/>
      <c r="EO11" s="99"/>
      <c r="EP11" s="222"/>
      <c r="EQ11" s="222"/>
      <c r="ER11" s="87">
        <f t="shared" si="18"/>
        <v>0</v>
      </c>
      <c r="ES11" s="93">
        <v>46068</v>
      </c>
      <c r="ET11" s="220"/>
      <c r="EU11" s="82"/>
      <c r="EW11" s="84"/>
      <c r="EX11" s="222"/>
      <c r="EY11" s="222"/>
      <c r="EZ11" s="87">
        <f t="shared" si="19"/>
        <v>0</v>
      </c>
      <c r="FA11" s="93">
        <v>46068</v>
      </c>
      <c r="FB11" s="220"/>
      <c r="FC11" s="82"/>
      <c r="FE11" s="103"/>
      <c r="FF11" s="86"/>
      <c r="FG11" s="86"/>
      <c r="FH11" s="87">
        <f t="shared" ref="FH11:FH52" si="93">SUM(FH10,FF11,-FG11)</f>
        <v>0</v>
      </c>
      <c r="FI11" s="93">
        <v>46068</v>
      </c>
      <c r="FJ11" s="220"/>
      <c r="FK11" s="82"/>
      <c r="FL11" s="198"/>
      <c r="FM11" s="84"/>
      <c r="FN11" s="222"/>
      <c r="FO11" s="222"/>
      <c r="FP11" s="87">
        <f t="shared" si="20"/>
        <v>0</v>
      </c>
      <c r="FQ11" s="93">
        <v>46068</v>
      </c>
      <c r="FR11" s="220"/>
      <c r="FS11" s="82"/>
      <c r="FT11" s="72"/>
      <c r="FU11" s="84"/>
      <c r="FV11" s="222"/>
      <c r="FW11" s="222"/>
      <c r="FX11" s="87">
        <f t="shared" si="21"/>
        <v>0</v>
      </c>
      <c r="FY11" s="164">
        <v>46068</v>
      </c>
      <c r="FZ11" s="220"/>
      <c r="GA11" s="82"/>
      <c r="GB11" s="197"/>
      <c r="GC11" s="84"/>
      <c r="GD11" s="222"/>
      <c r="GE11" s="222"/>
      <c r="GF11" s="87">
        <f t="shared" si="22"/>
        <v>0</v>
      </c>
      <c r="GG11" s="93">
        <v>46068</v>
      </c>
      <c r="GH11" s="220"/>
      <c r="GI11" s="82"/>
      <c r="GJ11"/>
      <c r="GK11" s="84"/>
      <c r="GL11" s="222"/>
      <c r="GM11" s="222"/>
      <c r="GN11" s="87">
        <f t="shared" si="23"/>
        <v>0</v>
      </c>
      <c r="GO11" s="96">
        <v>46081</v>
      </c>
      <c r="GP11" s="91"/>
      <c r="GQ11" s="82"/>
      <c r="GS11" s="10"/>
      <c r="GT11" s="222"/>
      <c r="GU11" s="222"/>
      <c r="GV11" s="87">
        <f t="shared" si="24"/>
        <v>0</v>
      </c>
      <c r="GW11" s="96">
        <v>46081</v>
      </c>
      <c r="GX11" s="220"/>
      <c r="GY11" s="82"/>
      <c r="GZ11"/>
      <c r="HA11" s="84"/>
      <c r="HB11" s="87"/>
      <c r="HC11" s="222"/>
      <c r="HD11" s="87">
        <f t="shared" si="25"/>
        <v>0</v>
      </c>
      <c r="HE11" s="96">
        <v>46081</v>
      </c>
      <c r="HF11" s="89"/>
      <c r="HG11" s="82"/>
      <c r="HH11" s="267"/>
      <c r="HI11" s="84"/>
      <c r="HJ11" s="222"/>
      <c r="HK11" s="222"/>
      <c r="HL11" s="87">
        <f t="shared" si="26"/>
        <v>0</v>
      </c>
      <c r="HM11" s="96">
        <v>46081</v>
      </c>
      <c r="HN11" s="220"/>
      <c r="HO11" s="82"/>
      <c r="HQ11" s="84"/>
      <c r="HR11" s="87"/>
      <c r="HS11" s="222"/>
      <c r="HT11" s="87">
        <f t="shared" si="27"/>
        <v>0</v>
      </c>
      <c r="HU11" s="96">
        <v>46081</v>
      </c>
      <c r="HV11" s="220"/>
      <c r="HW11" s="82"/>
      <c r="HY11" s="84"/>
      <c r="HZ11" s="222"/>
      <c r="IA11" s="222"/>
      <c r="IB11" s="87">
        <f t="shared" si="28"/>
        <v>0</v>
      </c>
      <c r="IC11" s="96">
        <v>46081</v>
      </c>
      <c r="ID11" s="89"/>
      <c r="IE11" s="82"/>
      <c r="IG11" s="103"/>
      <c r="IH11" s="86"/>
      <c r="II11" s="86"/>
      <c r="IJ11" s="87">
        <f t="shared" si="29"/>
        <v>0</v>
      </c>
      <c r="IK11" s="96">
        <v>46081</v>
      </c>
      <c r="IL11" s="91"/>
      <c r="IM11" s="82"/>
      <c r="IO11" s="103"/>
      <c r="IP11" s="86"/>
      <c r="IQ11" s="86"/>
      <c r="IR11" s="87">
        <f t="shared" si="30"/>
        <v>0</v>
      </c>
      <c r="IS11" s="96">
        <v>46081</v>
      </c>
      <c r="IT11" s="91"/>
      <c r="IU11" s="82"/>
      <c r="IW11" s="84"/>
      <c r="IX11" s="87"/>
      <c r="IY11" s="87"/>
      <c r="IZ11" s="87">
        <f t="shared" si="31"/>
        <v>0</v>
      </c>
      <c r="JA11" s="96">
        <v>46081</v>
      </c>
      <c r="JB11" s="89"/>
      <c r="JC11" s="82"/>
      <c r="JE11" s="84"/>
      <c r="JF11" s="222"/>
      <c r="JG11" s="222"/>
      <c r="JH11" s="87">
        <f t="shared" si="32"/>
        <v>0</v>
      </c>
      <c r="JI11" s="96">
        <v>46081</v>
      </c>
      <c r="JJ11" s="220"/>
      <c r="JK11" s="82"/>
      <c r="JM11" s="84"/>
      <c r="JN11" s="87"/>
      <c r="JO11" s="87"/>
      <c r="JP11" s="87">
        <f t="shared" si="33"/>
        <v>0</v>
      </c>
      <c r="JQ11" s="164">
        <v>46081</v>
      </c>
      <c r="JR11" s="91"/>
      <c r="JS11" s="82"/>
      <c r="JT11"/>
      <c r="JU11" s="84"/>
      <c r="JV11" s="87"/>
      <c r="JW11" s="87"/>
      <c r="JX11" s="87">
        <f t="shared" ref="JX11:JX52" si="94">SUM(JX10,JV11,-JW11)</f>
        <v>0</v>
      </c>
      <c r="JY11" s="164">
        <v>46081</v>
      </c>
      <c r="JZ11" s="91"/>
      <c r="KA11" s="82"/>
      <c r="KC11" s="84"/>
      <c r="KD11" s="222"/>
      <c r="KE11" s="222"/>
      <c r="KF11" s="87">
        <f t="shared" si="34"/>
        <v>0</v>
      </c>
      <c r="KG11" s="164">
        <v>46081</v>
      </c>
      <c r="KH11" s="222"/>
      <c r="KI11" s="109"/>
      <c r="KK11" s="84"/>
      <c r="KL11" s="87"/>
      <c r="KM11" s="87"/>
      <c r="KN11" s="87">
        <f t="shared" si="35"/>
        <v>0</v>
      </c>
      <c r="KO11" s="164">
        <v>46081</v>
      </c>
      <c r="KP11" s="89"/>
      <c r="KQ11" s="82"/>
      <c r="KR11"/>
      <c r="KS11" s="84"/>
      <c r="KT11" s="87"/>
      <c r="KU11" s="87"/>
      <c r="KV11" s="87">
        <f t="shared" si="36"/>
        <v>0</v>
      </c>
      <c r="KW11" s="96">
        <v>46081</v>
      </c>
      <c r="KX11" s="89"/>
      <c r="KY11" s="82"/>
      <c r="KZ11"/>
      <c r="LA11" s="84"/>
      <c r="LB11" s="87"/>
      <c r="LC11" s="87"/>
      <c r="LD11" s="87">
        <f t="shared" si="37"/>
        <v>0</v>
      </c>
      <c r="LE11" s="164">
        <v>46081</v>
      </c>
      <c r="LF11" s="89"/>
      <c r="LG11" s="192"/>
      <c r="LH11"/>
      <c r="LI11" s="84"/>
      <c r="LJ11" s="87"/>
      <c r="LK11" s="87"/>
      <c r="LL11" s="87">
        <f t="shared" si="38"/>
        <v>0</v>
      </c>
      <c r="LM11" s="96">
        <v>46081</v>
      </c>
      <c r="LN11" s="89"/>
      <c r="LO11" s="82"/>
      <c r="LQ11" s="84"/>
      <c r="LR11" s="87"/>
      <c r="LS11" s="87"/>
      <c r="LT11" s="87">
        <f t="shared" si="39"/>
        <v>0</v>
      </c>
      <c r="LU11" s="96">
        <v>46081</v>
      </c>
      <c r="LV11" s="89"/>
      <c r="LW11" s="82"/>
      <c r="LX11"/>
      <c r="LY11" s="84"/>
      <c r="LZ11" s="87"/>
      <c r="MA11" s="87"/>
      <c r="MB11" s="87">
        <f t="shared" si="40"/>
        <v>0</v>
      </c>
      <c r="MC11" s="96">
        <v>46081</v>
      </c>
      <c r="MD11" s="89"/>
      <c r="ME11" s="82"/>
      <c r="MG11" s="84"/>
      <c r="MH11" s="87"/>
      <c r="MI11" s="87"/>
      <c r="MJ11" s="87">
        <f t="shared" si="41"/>
        <v>0</v>
      </c>
      <c r="MK11" s="96">
        <v>46081</v>
      </c>
      <c r="ML11" s="89"/>
      <c r="MM11" s="82"/>
      <c r="MN11"/>
      <c r="MO11" s="103"/>
      <c r="MP11" s="86"/>
      <c r="MQ11" s="86"/>
      <c r="MR11" s="86">
        <f t="shared" si="42"/>
        <v>0</v>
      </c>
      <c r="MS11" s="107">
        <v>46081</v>
      </c>
      <c r="MT11" s="91"/>
      <c r="MU11" s="82"/>
      <c r="MW11" s="84"/>
      <c r="MX11" s="87"/>
      <c r="MY11" s="87"/>
      <c r="MZ11" s="87">
        <f t="shared" si="43"/>
        <v>0</v>
      </c>
      <c r="NA11" s="96">
        <v>46081</v>
      </c>
      <c r="NB11" s="89"/>
      <c r="NC11" s="82"/>
      <c r="NE11" s="84"/>
      <c r="NF11" s="87"/>
      <c r="NG11" s="87"/>
      <c r="NH11" s="87">
        <f t="shared" si="44"/>
        <v>0</v>
      </c>
      <c r="NI11" s="96">
        <v>46081</v>
      </c>
      <c r="NJ11" s="89"/>
      <c r="NK11" s="82"/>
      <c r="NM11" s="10"/>
      <c r="NN11" s="87"/>
      <c r="NO11" s="87"/>
      <c r="NP11" s="87">
        <f t="shared" si="45"/>
        <v>0</v>
      </c>
      <c r="NQ11" s="96">
        <v>46081</v>
      </c>
      <c r="NR11" s="91"/>
      <c r="NS11" s="82"/>
      <c r="NU11" s="84"/>
      <c r="NV11" s="87"/>
      <c r="NW11" s="87"/>
      <c r="NX11" s="87">
        <f t="shared" si="46"/>
        <v>0</v>
      </c>
      <c r="NY11" s="96">
        <v>46081</v>
      </c>
      <c r="NZ11" s="89"/>
      <c r="OA11" s="82"/>
      <c r="OC11" s="84"/>
      <c r="OD11" s="87"/>
      <c r="OE11" s="87"/>
      <c r="OF11" s="87">
        <f t="shared" si="47"/>
        <v>0</v>
      </c>
      <c r="OG11" s="96">
        <v>46081</v>
      </c>
      <c r="OH11" s="89"/>
      <c r="OI11" s="82"/>
      <c r="OK11" s="103"/>
      <c r="OL11" s="87"/>
      <c r="OM11" s="86"/>
      <c r="ON11" s="87">
        <f t="shared" si="48"/>
        <v>0</v>
      </c>
      <c r="OO11" s="96">
        <v>46081</v>
      </c>
      <c r="OP11" s="91"/>
      <c r="OQ11" s="82"/>
      <c r="OS11" s="84"/>
      <c r="OT11" s="87"/>
      <c r="OU11" s="87"/>
      <c r="OV11" s="87">
        <f t="shared" si="49"/>
        <v>0</v>
      </c>
      <c r="OW11" s="96">
        <v>46081</v>
      </c>
      <c r="OX11" s="89"/>
      <c r="OY11" s="82"/>
      <c r="PA11" s="84"/>
      <c r="PB11" s="87"/>
      <c r="PC11" s="87"/>
      <c r="PD11" s="87">
        <f t="shared" si="50"/>
        <v>0</v>
      </c>
      <c r="PE11" s="96">
        <v>46081</v>
      </c>
      <c r="PF11" s="89"/>
      <c r="PG11" s="82"/>
      <c r="PH11"/>
      <c r="PI11" s="84"/>
      <c r="PJ11" s="87"/>
      <c r="PK11" s="87"/>
      <c r="PL11" s="87">
        <f t="shared" si="51"/>
        <v>0</v>
      </c>
      <c r="PM11" s="96">
        <v>46081</v>
      </c>
      <c r="PN11" s="211"/>
      <c r="PO11" s="216"/>
      <c r="PP11"/>
      <c r="PQ11" s="84"/>
      <c r="PR11" s="87"/>
      <c r="PS11" s="87"/>
      <c r="PT11" s="87">
        <f t="shared" si="52"/>
        <v>0</v>
      </c>
      <c r="PU11" s="96">
        <v>46081</v>
      </c>
      <c r="PV11" s="89"/>
      <c r="PW11" s="82"/>
      <c r="PY11" s="84"/>
      <c r="PZ11" s="87"/>
      <c r="QA11" s="87"/>
      <c r="QB11" s="87">
        <f t="shared" si="53"/>
        <v>0</v>
      </c>
      <c r="QC11" s="96">
        <v>46081</v>
      </c>
      <c r="QD11" s="91"/>
      <c r="QE11" s="82"/>
      <c r="QG11" s="84"/>
      <c r="QH11" s="87"/>
      <c r="QI11" s="87"/>
      <c r="QJ11" s="87">
        <f t="shared" si="54"/>
        <v>0</v>
      </c>
      <c r="QK11" s="96">
        <v>46081</v>
      </c>
      <c r="QL11" s="89"/>
      <c r="QM11" s="82"/>
      <c r="QO11" s="84"/>
      <c r="QP11" s="87"/>
      <c r="QQ11" s="87"/>
      <c r="QR11" s="87">
        <f t="shared" si="55"/>
        <v>0</v>
      </c>
      <c r="QS11" s="96">
        <v>46081</v>
      </c>
      <c r="QT11" s="212"/>
      <c r="QU11" s="216"/>
      <c r="QW11" s="84"/>
      <c r="QX11" s="87"/>
      <c r="QY11" s="87"/>
      <c r="QZ11" s="87">
        <f t="shared" si="56"/>
        <v>0</v>
      </c>
      <c r="RA11" s="96">
        <v>46081</v>
      </c>
      <c r="RB11" s="89"/>
      <c r="RC11" s="82"/>
      <c r="RE11" s="84"/>
      <c r="RF11" s="87"/>
      <c r="RG11" s="87"/>
      <c r="RH11" s="87">
        <f t="shared" si="57"/>
        <v>0</v>
      </c>
      <c r="RI11" s="96">
        <v>46081</v>
      </c>
      <c r="RJ11" s="89"/>
      <c r="RK11" s="170"/>
      <c r="RM11" s="84"/>
      <c r="RN11" s="87"/>
      <c r="RO11" s="86"/>
      <c r="RP11" s="87">
        <f t="shared" si="58"/>
        <v>0</v>
      </c>
      <c r="RQ11" s="96">
        <v>46081</v>
      </c>
      <c r="RR11" s="97"/>
      <c r="RS11" s="82"/>
      <c r="RU11" s="84"/>
      <c r="RV11" s="87"/>
      <c r="RW11" s="87"/>
      <c r="RX11" s="87">
        <f t="shared" si="59"/>
        <v>0</v>
      </c>
      <c r="RY11" s="96">
        <v>46081</v>
      </c>
      <c r="RZ11" s="89"/>
      <c r="SA11" s="82"/>
      <c r="SC11" s="84"/>
      <c r="SD11" s="87"/>
      <c r="SE11" s="87"/>
      <c r="SF11" s="87">
        <f t="shared" si="60"/>
        <v>0</v>
      </c>
      <c r="SG11" s="96">
        <v>46081</v>
      </c>
      <c r="SH11" s="89"/>
      <c r="SI11" s="82"/>
      <c r="SK11" s="103"/>
      <c r="SL11" s="86"/>
      <c r="SM11" s="86"/>
      <c r="SN11" s="87">
        <f t="shared" si="61"/>
        <v>0</v>
      </c>
      <c r="SO11" s="96">
        <v>46081</v>
      </c>
      <c r="SP11" s="91"/>
      <c r="SQ11" s="82"/>
      <c r="SS11" s="84"/>
      <c r="ST11" s="87"/>
      <c r="SU11" s="87"/>
      <c r="SV11" s="87">
        <f t="shared" si="62"/>
        <v>0</v>
      </c>
      <c r="SW11" s="96">
        <v>46081</v>
      </c>
      <c r="SX11" s="89"/>
      <c r="SY11" s="82"/>
      <c r="TA11" s="84"/>
      <c r="TB11" s="87"/>
      <c r="TC11" s="87"/>
      <c r="TD11" s="87">
        <f t="shared" si="63"/>
        <v>0</v>
      </c>
      <c r="TE11" s="96">
        <v>46081</v>
      </c>
      <c r="TF11" s="91"/>
      <c r="TG11" s="82"/>
      <c r="TI11" s="84"/>
      <c r="TJ11" s="87"/>
      <c r="TK11" s="87"/>
      <c r="TL11" s="87">
        <f t="shared" si="64"/>
        <v>0</v>
      </c>
      <c r="TM11" s="96">
        <v>46081</v>
      </c>
      <c r="TN11" s="89"/>
      <c r="TO11" s="82"/>
      <c r="TQ11" s="84"/>
      <c r="TR11" s="87"/>
      <c r="TS11" s="87"/>
      <c r="TT11" s="87">
        <f t="shared" si="65"/>
        <v>0</v>
      </c>
      <c r="TU11" s="96">
        <v>46081</v>
      </c>
      <c r="TV11" s="184"/>
      <c r="TW11" s="82"/>
      <c r="TY11" s="84"/>
      <c r="TZ11" s="87"/>
      <c r="UA11" s="87"/>
      <c r="UB11" s="87">
        <f t="shared" si="66"/>
        <v>0</v>
      </c>
      <c r="UC11" s="96">
        <v>46081</v>
      </c>
      <c r="UD11" s="89"/>
      <c r="UE11" s="82"/>
      <c r="UG11" s="84"/>
      <c r="UH11" s="87"/>
      <c r="UI11" s="87"/>
      <c r="UJ11" s="87">
        <f t="shared" si="67"/>
        <v>0</v>
      </c>
      <c r="UK11" s="96">
        <v>46081</v>
      </c>
      <c r="UL11" s="89"/>
      <c r="UM11" s="82"/>
      <c r="UO11" s="84"/>
      <c r="UP11" s="87"/>
      <c r="UQ11" s="87"/>
      <c r="UR11" s="87">
        <f t="shared" si="68"/>
        <v>0</v>
      </c>
      <c r="US11" s="96">
        <v>46081</v>
      </c>
      <c r="UT11" s="89"/>
      <c r="UU11" s="82"/>
      <c r="UW11" s="84"/>
      <c r="UX11" s="87"/>
      <c r="UY11" s="87"/>
      <c r="UZ11" s="87">
        <f t="shared" si="69"/>
        <v>0</v>
      </c>
      <c r="VA11" s="96">
        <v>46081</v>
      </c>
      <c r="VB11" s="89"/>
      <c r="VC11" s="82"/>
      <c r="VE11" s="84"/>
      <c r="VF11" s="87"/>
      <c r="VG11" s="87"/>
      <c r="VH11" s="87">
        <f t="shared" si="70"/>
        <v>0</v>
      </c>
      <c r="VI11" s="96">
        <v>46081</v>
      </c>
      <c r="VJ11" s="89"/>
      <c r="VK11" s="82"/>
      <c r="VM11" s="84"/>
      <c r="VN11" s="87"/>
      <c r="VO11" s="87"/>
      <c r="VP11" s="87">
        <f t="shared" si="71"/>
        <v>0</v>
      </c>
      <c r="VQ11" s="96">
        <v>46081</v>
      </c>
      <c r="VR11" s="89"/>
      <c r="VS11" s="82"/>
      <c r="VU11" s="84"/>
      <c r="VV11" s="87"/>
      <c r="VW11" s="87"/>
      <c r="VX11" s="87">
        <f t="shared" si="72"/>
        <v>0</v>
      </c>
      <c r="VY11" s="96">
        <v>46081</v>
      </c>
      <c r="VZ11" s="89"/>
      <c r="WA11" s="82"/>
      <c r="WC11" s="84"/>
      <c r="WD11" s="87"/>
      <c r="WE11" s="87"/>
      <c r="WF11" s="87">
        <f t="shared" si="73"/>
        <v>0</v>
      </c>
      <c r="WG11" s="96">
        <v>46081</v>
      </c>
      <c r="WH11" s="89"/>
      <c r="WI11" s="82"/>
      <c r="WK11" s="84"/>
      <c r="WL11" s="87"/>
      <c r="WM11" s="87"/>
      <c r="WN11" s="87">
        <f t="shared" si="74"/>
        <v>0</v>
      </c>
      <c r="WO11" s="96">
        <v>46081</v>
      </c>
      <c r="WP11" s="89"/>
      <c r="WQ11" s="82"/>
      <c r="WS11" s="84"/>
      <c r="WT11" s="87"/>
      <c r="WU11" s="87"/>
      <c r="WV11" s="87">
        <f t="shared" si="75"/>
        <v>0</v>
      </c>
      <c r="WW11" s="96">
        <v>46081</v>
      </c>
      <c r="WX11" s="89"/>
      <c r="WY11" s="82"/>
      <c r="XA11" s="84"/>
      <c r="XB11" s="87"/>
      <c r="XC11" s="87"/>
      <c r="XD11" s="87">
        <f t="shared" si="76"/>
        <v>0</v>
      </c>
      <c r="XE11" s="96">
        <v>46081</v>
      </c>
      <c r="XF11" s="89"/>
      <c r="XG11" s="82"/>
      <c r="XI11" s="84"/>
      <c r="XJ11" s="87"/>
      <c r="XK11" s="87"/>
      <c r="XL11" s="87">
        <f t="shared" si="77"/>
        <v>0</v>
      </c>
      <c r="XM11" s="96">
        <v>46081</v>
      </c>
      <c r="XN11" s="89"/>
      <c r="XO11" s="82"/>
      <c r="XQ11" s="84"/>
      <c r="XR11" s="87"/>
      <c r="XS11" s="207"/>
      <c r="XT11" s="87">
        <f t="shared" si="78"/>
        <v>0</v>
      </c>
      <c r="XU11" s="96">
        <v>46081</v>
      </c>
      <c r="XV11" s="91"/>
      <c r="XW11" s="82"/>
      <c r="XY11" s="84"/>
      <c r="XZ11" s="87"/>
      <c r="YA11" s="87"/>
      <c r="YB11" s="87">
        <f t="shared" si="79"/>
        <v>0</v>
      </c>
      <c r="YC11" s="96">
        <v>46081</v>
      </c>
      <c r="YD11" s="89"/>
      <c r="YE11" s="82"/>
      <c r="YG11" s="84"/>
      <c r="YH11" s="87"/>
      <c r="YI11" s="87"/>
      <c r="YJ11" s="87">
        <f t="shared" si="80"/>
        <v>0</v>
      </c>
      <c r="YK11" s="96">
        <v>46081</v>
      </c>
      <c r="YL11" s="89"/>
      <c r="YM11" s="82"/>
      <c r="YO11" s="84"/>
      <c r="YP11" s="87"/>
      <c r="YQ11" s="87"/>
      <c r="YR11" s="87">
        <f t="shared" si="81"/>
        <v>0</v>
      </c>
      <c r="YS11" s="96">
        <v>46081</v>
      </c>
      <c r="YT11" s="89"/>
      <c r="YU11" s="82"/>
      <c r="YW11" s="84"/>
      <c r="YX11" s="87"/>
      <c r="YY11" s="87"/>
      <c r="YZ11" s="87">
        <f t="shared" si="82"/>
        <v>0</v>
      </c>
      <c r="ZA11" s="96">
        <v>46081</v>
      </c>
      <c r="ZB11" s="89"/>
      <c r="ZC11" s="82"/>
      <c r="ZE11" s="84"/>
      <c r="ZF11" s="87"/>
      <c r="ZG11" s="87"/>
      <c r="ZH11" s="87">
        <f t="shared" si="83"/>
        <v>0</v>
      </c>
      <c r="ZI11" s="96">
        <v>46081</v>
      </c>
      <c r="ZJ11" s="89"/>
      <c r="ZK11" s="82"/>
      <c r="ZM11" s="84"/>
      <c r="ZN11" s="87"/>
      <c r="ZO11" s="87"/>
      <c r="ZP11" s="87">
        <f t="shared" si="84"/>
        <v>0</v>
      </c>
      <c r="ZQ11" s="96">
        <v>46081</v>
      </c>
      <c r="ZR11" s="89"/>
      <c r="ZS11" s="82"/>
      <c r="ZU11" s="84"/>
      <c r="ZV11" s="87"/>
      <c r="ZW11" s="87"/>
      <c r="ZX11" s="87">
        <f t="shared" si="85"/>
        <v>0</v>
      </c>
      <c r="ZY11" s="96">
        <v>46081</v>
      </c>
      <c r="ZZ11" s="89"/>
      <c r="AAA11" s="82"/>
      <c r="AAC11" s="84"/>
      <c r="AAD11" s="87"/>
      <c r="AAE11" s="87"/>
      <c r="AAF11" s="87">
        <f t="shared" si="86"/>
        <v>0</v>
      </c>
      <c r="AAG11" s="96">
        <v>46081</v>
      </c>
      <c r="AAH11" s="89"/>
      <c r="AAI11" s="82"/>
      <c r="AAK11" s="84"/>
      <c r="AAL11" s="87"/>
      <c r="AAM11" s="87"/>
      <c r="AAN11" s="87">
        <f t="shared" si="87"/>
        <v>0</v>
      </c>
      <c r="AAO11" s="96">
        <v>46081</v>
      </c>
      <c r="AAP11" s="89"/>
      <c r="AAQ11" s="82"/>
      <c r="AAS11" s="84"/>
      <c r="AAT11" s="87"/>
      <c r="AAU11" s="87"/>
      <c r="AAV11" s="87">
        <f t="shared" si="88"/>
        <v>0</v>
      </c>
      <c r="AAW11" s="96">
        <v>46081</v>
      </c>
      <c r="AAX11" s="89"/>
      <c r="AAY11" s="82"/>
      <c r="ABA11" s="84"/>
      <c r="ABB11" s="87"/>
      <c r="ABC11" s="87"/>
      <c r="ABD11" s="87">
        <f t="shared" si="89"/>
        <v>0</v>
      </c>
      <c r="ABE11" s="96">
        <v>46081</v>
      </c>
      <c r="ABF11" s="89"/>
      <c r="ABG11" s="82"/>
      <c r="ABI11" s="84"/>
      <c r="ABJ11" s="87"/>
      <c r="ABK11" s="87"/>
      <c r="ABL11" s="87">
        <f t="shared" si="90"/>
        <v>0</v>
      </c>
      <c r="ABM11" s="96">
        <v>46081</v>
      </c>
      <c r="ABN11" s="89"/>
      <c r="ABO11" s="82"/>
      <c r="ABQ11" s="84"/>
      <c r="ABR11" s="87"/>
      <c r="ABS11" s="87"/>
      <c r="ABT11" s="87">
        <f t="shared" si="91"/>
        <v>0</v>
      </c>
      <c r="ABU11" s="96">
        <v>46081</v>
      </c>
      <c r="ABV11" s="89"/>
      <c r="ABW11" s="82"/>
      <c r="ABY11" s="84"/>
      <c r="ABZ11" s="87"/>
      <c r="ACA11" s="87"/>
      <c r="ACB11" s="87">
        <f t="shared" si="92"/>
        <v>0</v>
      </c>
      <c r="ACC11" s="96">
        <v>46081</v>
      </c>
      <c r="ACD11" s="89"/>
      <c r="ACE11" s="82"/>
    </row>
    <row r="12" spans="1:759" ht="12" customHeight="1" thickBot="1" x14ac:dyDescent="0.3">
      <c r="A12" s="84"/>
      <c r="B12" s="350"/>
      <c r="C12" s="222"/>
      <c r="D12" s="87">
        <f t="shared" si="2"/>
        <v>1700</v>
      </c>
      <c r="E12" s="96">
        <v>46081</v>
      </c>
      <c r="F12" s="374"/>
      <c r="G12" s="409"/>
      <c r="H12" s="72"/>
      <c r="I12" s="193"/>
      <c r="J12" s="87"/>
      <c r="K12" s="87"/>
      <c r="L12" s="87">
        <f t="shared" si="0"/>
        <v>1000</v>
      </c>
      <c r="M12" s="164">
        <v>46081</v>
      </c>
      <c r="N12" s="220"/>
      <c r="O12" s="82"/>
      <c r="P12" s="419"/>
      <c r="Q12" s="84"/>
      <c r="R12" s="222"/>
      <c r="S12" s="222"/>
      <c r="T12" s="87">
        <f t="shared" si="1"/>
        <v>4000</v>
      </c>
      <c r="U12" s="96">
        <v>46081</v>
      </c>
      <c r="V12" s="220"/>
      <c r="W12" s="82"/>
      <c r="X12" s="394"/>
      <c r="Y12" s="84"/>
      <c r="Z12" s="222"/>
      <c r="AA12" s="222"/>
      <c r="AB12" s="222">
        <f t="shared" si="3"/>
        <v>1000</v>
      </c>
      <c r="AC12" s="96">
        <v>46081</v>
      </c>
      <c r="AD12" s="220"/>
      <c r="AE12" s="82"/>
      <c r="AF12" s="198"/>
      <c r="AG12" s="10"/>
      <c r="AH12" s="222"/>
      <c r="AI12" s="222"/>
      <c r="AJ12" s="87">
        <f t="shared" si="4"/>
        <v>2000</v>
      </c>
      <c r="AK12" s="96">
        <v>46081</v>
      </c>
      <c r="AL12" s="220"/>
      <c r="AM12" s="82"/>
      <c r="AN12" s="162"/>
      <c r="AO12" s="84"/>
      <c r="AP12" s="222"/>
      <c r="AQ12" s="222"/>
      <c r="AR12" s="87">
        <f t="shared" si="5"/>
        <v>1000</v>
      </c>
      <c r="AS12" s="96">
        <v>46081</v>
      </c>
      <c r="AT12" s="220"/>
      <c r="AU12" s="82"/>
      <c r="AV12" s="72"/>
      <c r="AW12" s="84"/>
      <c r="AX12" s="87"/>
      <c r="AY12" s="87"/>
      <c r="AZ12" s="87">
        <f t="shared" si="6"/>
        <v>1150</v>
      </c>
      <c r="BA12" s="96">
        <v>46081</v>
      </c>
      <c r="BB12" s="374"/>
      <c r="BC12" s="82"/>
      <c r="BE12" s="84"/>
      <c r="BF12" s="87"/>
      <c r="BG12" s="87"/>
      <c r="BH12" s="87">
        <f t="shared" si="7"/>
        <v>7000</v>
      </c>
      <c r="BI12" s="96">
        <v>46081</v>
      </c>
      <c r="BJ12" s="220"/>
      <c r="BK12" s="82"/>
      <c r="BM12" s="84"/>
      <c r="BN12" s="222"/>
      <c r="BO12" s="222"/>
      <c r="BP12" s="87">
        <f t="shared" si="8"/>
        <v>1000</v>
      </c>
      <c r="BQ12" s="96">
        <v>46081</v>
      </c>
      <c r="BR12" s="220"/>
      <c r="BS12" s="82"/>
      <c r="BU12" s="84"/>
      <c r="BV12" s="87"/>
      <c r="BW12" s="87"/>
      <c r="BX12" s="87">
        <f t="shared" si="9"/>
        <v>0</v>
      </c>
      <c r="BY12" s="96">
        <v>46081</v>
      </c>
      <c r="BZ12" s="220"/>
      <c r="CA12" s="82"/>
      <c r="CC12" s="84"/>
      <c r="CD12" s="222"/>
      <c r="CE12" s="222"/>
      <c r="CF12" s="87">
        <f t="shared" si="10"/>
        <v>0</v>
      </c>
      <c r="CG12" s="80">
        <v>46096</v>
      </c>
      <c r="CH12" s="220"/>
      <c r="CI12" s="82"/>
      <c r="CJ12" s="72"/>
      <c r="CK12" s="84"/>
      <c r="CL12" s="222"/>
      <c r="CM12" s="222"/>
      <c r="CN12" s="87">
        <f t="shared" si="11"/>
        <v>0</v>
      </c>
      <c r="CO12" s="80">
        <v>46096</v>
      </c>
      <c r="CP12" s="220"/>
      <c r="CQ12" s="82"/>
      <c r="CR12" s="226"/>
      <c r="CS12" s="84"/>
      <c r="CT12" s="222"/>
      <c r="CU12" s="222"/>
      <c r="CV12" s="87">
        <f t="shared" si="12"/>
        <v>0</v>
      </c>
      <c r="CW12" s="80">
        <v>46096</v>
      </c>
      <c r="CX12" s="220"/>
      <c r="CY12" s="82"/>
      <c r="DA12" s="84"/>
      <c r="DB12" s="222"/>
      <c r="DC12" s="222"/>
      <c r="DD12" s="87">
        <f t="shared" si="13"/>
        <v>0</v>
      </c>
      <c r="DE12" s="80">
        <v>46096</v>
      </c>
      <c r="DF12" s="220"/>
      <c r="DG12" s="82"/>
      <c r="DI12" s="10"/>
      <c r="DJ12" s="222"/>
      <c r="DK12" s="222"/>
      <c r="DL12" s="87">
        <f t="shared" si="14"/>
        <v>0</v>
      </c>
      <c r="DM12" s="96">
        <v>46081</v>
      </c>
      <c r="DN12" s="220"/>
      <c r="DO12" s="82"/>
      <c r="DQ12" s="99"/>
      <c r="DR12" s="222"/>
      <c r="DS12" s="222"/>
      <c r="DT12" s="87">
        <f t="shared" si="15"/>
        <v>0</v>
      </c>
      <c r="DU12" s="96">
        <v>46081</v>
      </c>
      <c r="DV12" s="220"/>
      <c r="DW12" s="82"/>
      <c r="DX12" s="72"/>
      <c r="DY12" s="84"/>
      <c r="DZ12" s="222"/>
      <c r="EA12" s="222"/>
      <c r="EB12" s="87">
        <f t="shared" si="16"/>
        <v>0</v>
      </c>
      <c r="EC12" s="96">
        <v>46081</v>
      </c>
      <c r="ED12" s="220"/>
      <c r="EE12" s="82"/>
      <c r="EF12" s="72"/>
      <c r="EG12" s="84"/>
      <c r="EH12" s="222"/>
      <c r="EI12" s="222"/>
      <c r="EJ12" s="87">
        <f t="shared" si="17"/>
        <v>0</v>
      </c>
      <c r="EK12" s="96">
        <v>46081</v>
      </c>
      <c r="EL12" s="220"/>
      <c r="EM12" s="82"/>
      <c r="EN12" s="198"/>
      <c r="EO12" s="10"/>
      <c r="EP12" s="222"/>
      <c r="EQ12" s="222"/>
      <c r="ER12" s="87">
        <f t="shared" si="18"/>
        <v>0</v>
      </c>
      <c r="ES12" s="96">
        <v>46081</v>
      </c>
      <c r="ET12" s="220"/>
      <c r="EU12" s="82"/>
      <c r="EW12" s="84"/>
      <c r="EX12" s="222"/>
      <c r="EY12" s="222"/>
      <c r="EZ12" s="87">
        <f t="shared" si="19"/>
        <v>0</v>
      </c>
      <c r="FA12" s="96">
        <v>46081</v>
      </c>
      <c r="FB12" s="220"/>
      <c r="FC12" s="82"/>
      <c r="FD12" s="98"/>
      <c r="FE12" s="103"/>
      <c r="FF12" s="86"/>
      <c r="FG12" s="86"/>
      <c r="FH12" s="87">
        <f t="shared" si="93"/>
        <v>0</v>
      </c>
      <c r="FI12" s="96">
        <v>46081</v>
      </c>
      <c r="FJ12" s="220"/>
      <c r="FK12" s="82"/>
      <c r="FL12" s="198"/>
      <c r="FM12" s="84"/>
      <c r="FN12" s="87"/>
      <c r="FO12" s="87"/>
      <c r="FP12" s="87">
        <f t="shared" si="20"/>
        <v>0</v>
      </c>
      <c r="FQ12" s="96">
        <v>46081</v>
      </c>
      <c r="FR12" s="220"/>
      <c r="FS12" s="82"/>
      <c r="FT12"/>
      <c r="FU12" s="10"/>
      <c r="FV12" s="222"/>
      <c r="FW12" s="222"/>
      <c r="FX12" s="87">
        <f t="shared" si="21"/>
        <v>0</v>
      </c>
      <c r="FY12" s="164">
        <v>46081</v>
      </c>
      <c r="FZ12" s="220"/>
      <c r="GA12" s="42"/>
      <c r="GB12" s="303"/>
      <c r="GC12" s="84"/>
      <c r="GD12" s="222"/>
      <c r="GE12" s="222"/>
      <c r="GF12" s="87">
        <f t="shared" si="22"/>
        <v>0</v>
      </c>
      <c r="GG12" s="96">
        <v>46081</v>
      </c>
      <c r="GH12" s="220"/>
      <c r="GI12" s="82"/>
      <c r="GK12" s="84"/>
      <c r="GL12" s="222"/>
      <c r="GM12" s="222"/>
      <c r="GN12" s="87">
        <f t="shared" si="23"/>
        <v>0</v>
      </c>
      <c r="GO12" s="80">
        <v>46096</v>
      </c>
      <c r="GP12" s="220"/>
      <c r="GQ12" s="82"/>
      <c r="GR12" s="187"/>
      <c r="GS12" s="84"/>
      <c r="GT12" s="222"/>
      <c r="GU12" s="222"/>
      <c r="GV12" s="87">
        <f t="shared" si="24"/>
        <v>0</v>
      </c>
      <c r="GW12" s="80">
        <v>46096</v>
      </c>
      <c r="GX12" s="220"/>
      <c r="GY12" s="82"/>
      <c r="GZ12"/>
      <c r="HA12" s="84"/>
      <c r="HB12" s="87"/>
      <c r="HC12" s="87"/>
      <c r="HD12" s="87">
        <f t="shared" si="25"/>
        <v>0</v>
      </c>
      <c r="HE12" s="80">
        <v>46096</v>
      </c>
      <c r="HF12" s="89"/>
      <c r="HG12" s="82"/>
      <c r="HH12" s="267"/>
      <c r="HI12" s="84"/>
      <c r="HJ12" s="222"/>
      <c r="HK12" s="222"/>
      <c r="HL12" s="87">
        <f t="shared" si="26"/>
        <v>0</v>
      </c>
      <c r="HM12" s="80">
        <v>46096</v>
      </c>
      <c r="HN12" s="220"/>
      <c r="HO12" s="82"/>
      <c r="HQ12" s="10"/>
      <c r="HR12" s="87"/>
      <c r="HS12" s="222"/>
      <c r="HT12" s="87">
        <f t="shared" si="27"/>
        <v>0</v>
      </c>
      <c r="HU12" s="80">
        <v>46096</v>
      </c>
      <c r="HV12" s="220"/>
      <c r="HW12" s="82"/>
      <c r="HY12" s="84"/>
      <c r="HZ12" s="87"/>
      <c r="IA12" s="87"/>
      <c r="IB12" s="87">
        <f t="shared" si="28"/>
        <v>0</v>
      </c>
      <c r="IC12" s="80">
        <v>46096</v>
      </c>
      <c r="ID12" s="89"/>
      <c r="IE12" s="82"/>
      <c r="IG12" s="103"/>
      <c r="IH12" s="86"/>
      <c r="II12" s="86"/>
      <c r="IJ12" s="87">
        <f t="shared" si="29"/>
        <v>0</v>
      </c>
      <c r="IK12" s="80">
        <v>46096</v>
      </c>
      <c r="IL12" s="91"/>
      <c r="IM12" s="82"/>
      <c r="IO12" s="103"/>
      <c r="IP12" s="86"/>
      <c r="IQ12" s="86"/>
      <c r="IR12" s="87">
        <f t="shared" si="30"/>
        <v>0</v>
      </c>
      <c r="IS12" s="80">
        <v>46096</v>
      </c>
      <c r="IT12" s="91"/>
      <c r="IU12" s="82"/>
      <c r="IW12" s="84"/>
      <c r="IX12" s="87"/>
      <c r="IY12" s="87"/>
      <c r="IZ12" s="87">
        <f t="shared" si="31"/>
        <v>0</v>
      </c>
      <c r="JA12" s="80">
        <v>46096</v>
      </c>
      <c r="JB12" s="89"/>
      <c r="JC12" s="82"/>
      <c r="JE12" s="84"/>
      <c r="JF12" s="222"/>
      <c r="JG12" s="222"/>
      <c r="JH12" s="87">
        <f t="shared" si="32"/>
        <v>0</v>
      </c>
      <c r="JI12" s="80">
        <v>46096</v>
      </c>
      <c r="JJ12" s="220"/>
      <c r="JK12" s="82"/>
      <c r="JM12" s="84"/>
      <c r="JN12" s="87"/>
      <c r="JO12" s="87"/>
      <c r="JP12" s="87">
        <f t="shared" si="33"/>
        <v>0</v>
      </c>
      <c r="JQ12" s="163">
        <v>46096</v>
      </c>
      <c r="JR12" s="91"/>
      <c r="JS12" s="82"/>
      <c r="JU12" s="84"/>
      <c r="JV12" s="87"/>
      <c r="JW12" s="87"/>
      <c r="JX12" s="87">
        <f t="shared" si="94"/>
        <v>0</v>
      </c>
      <c r="JY12" s="163">
        <v>46096</v>
      </c>
      <c r="JZ12" s="91"/>
      <c r="KA12" s="82"/>
      <c r="KC12" s="84"/>
      <c r="KD12" s="222"/>
      <c r="KE12" s="222"/>
      <c r="KF12" s="87">
        <f t="shared" si="34"/>
        <v>0</v>
      </c>
      <c r="KG12" s="163">
        <v>46096</v>
      </c>
      <c r="KH12" s="222"/>
      <c r="KI12" s="109"/>
      <c r="KK12" s="99"/>
      <c r="KL12" s="87"/>
      <c r="KM12" s="87"/>
      <c r="KN12" s="87">
        <f t="shared" si="35"/>
        <v>0</v>
      </c>
      <c r="KO12" s="163">
        <v>46096</v>
      </c>
      <c r="KP12" s="89"/>
      <c r="KQ12" s="82"/>
      <c r="KR12"/>
      <c r="KS12" s="84"/>
      <c r="KT12" s="87"/>
      <c r="KU12" s="87"/>
      <c r="KV12" s="87">
        <f t="shared" si="36"/>
        <v>0</v>
      </c>
      <c r="KW12" s="80">
        <v>46096</v>
      </c>
      <c r="KX12" s="89"/>
      <c r="KY12" s="82"/>
      <c r="KZ12"/>
      <c r="LA12" s="99"/>
      <c r="LB12" s="87"/>
      <c r="LC12" s="87"/>
      <c r="LD12" s="87">
        <f t="shared" si="37"/>
        <v>0</v>
      </c>
      <c r="LE12" s="163">
        <v>46096</v>
      </c>
      <c r="LF12" s="89"/>
      <c r="LG12" s="192"/>
      <c r="LH12"/>
      <c r="LI12" s="84"/>
      <c r="LJ12" s="87"/>
      <c r="LK12" s="87"/>
      <c r="LL12" s="87">
        <f t="shared" si="38"/>
        <v>0</v>
      </c>
      <c r="LM12" s="80">
        <v>46096</v>
      </c>
      <c r="LN12" s="89"/>
      <c r="LO12" s="82"/>
      <c r="LQ12" s="84"/>
      <c r="LR12" s="87"/>
      <c r="LS12" s="87"/>
      <c r="LT12" s="87">
        <f t="shared" si="39"/>
        <v>0</v>
      </c>
      <c r="LU12" s="80">
        <v>46096</v>
      </c>
      <c r="LV12" s="89"/>
      <c r="LW12" s="82"/>
      <c r="LX12"/>
      <c r="LY12" s="84"/>
      <c r="LZ12" s="87"/>
      <c r="MA12" s="87"/>
      <c r="MB12" s="87">
        <f t="shared" si="40"/>
        <v>0</v>
      </c>
      <c r="MC12" s="80">
        <v>46096</v>
      </c>
      <c r="MD12" s="89"/>
      <c r="ME12" s="82"/>
      <c r="MG12" s="84"/>
      <c r="MH12" s="87"/>
      <c r="MI12" s="87"/>
      <c r="MJ12" s="87">
        <f t="shared" si="41"/>
        <v>0</v>
      </c>
      <c r="MK12" s="80">
        <v>46096</v>
      </c>
      <c r="ML12" s="89"/>
      <c r="MM12" s="82"/>
      <c r="MN12"/>
      <c r="MO12" s="103"/>
      <c r="MP12" s="86"/>
      <c r="MQ12" s="86"/>
      <c r="MR12" s="86">
        <f t="shared" si="42"/>
        <v>0</v>
      </c>
      <c r="MS12" s="100">
        <v>46096</v>
      </c>
      <c r="MT12" s="91"/>
      <c r="MU12" s="82"/>
      <c r="MW12" s="84"/>
      <c r="MX12" s="87"/>
      <c r="MY12" s="87"/>
      <c r="MZ12" s="87">
        <f t="shared" si="43"/>
        <v>0</v>
      </c>
      <c r="NA12" s="80">
        <v>46096</v>
      </c>
      <c r="NB12" s="89"/>
      <c r="NC12" s="82"/>
      <c r="NE12" s="84"/>
      <c r="NF12" s="87"/>
      <c r="NG12" s="87"/>
      <c r="NH12" s="87">
        <f t="shared" si="44"/>
        <v>0</v>
      </c>
      <c r="NI12" s="80">
        <v>46096</v>
      </c>
      <c r="NJ12" s="89"/>
      <c r="NK12" s="82"/>
      <c r="NM12" s="84"/>
      <c r="NN12" s="87"/>
      <c r="NO12" s="87"/>
      <c r="NP12" s="87">
        <f t="shared" si="45"/>
        <v>0</v>
      </c>
      <c r="NQ12" s="80">
        <v>46096</v>
      </c>
      <c r="NR12" s="91"/>
      <c r="NS12" s="82"/>
      <c r="NU12" s="10"/>
      <c r="NV12" s="87"/>
      <c r="NW12" s="87"/>
      <c r="NX12" s="87">
        <f t="shared" si="46"/>
        <v>0</v>
      </c>
      <c r="NY12" s="80">
        <v>46096</v>
      </c>
      <c r="NZ12" s="89"/>
      <c r="OA12" s="82"/>
      <c r="OC12" s="84"/>
      <c r="OD12" s="87"/>
      <c r="OE12" s="87"/>
      <c r="OF12" s="87">
        <f t="shared" si="47"/>
        <v>0</v>
      </c>
      <c r="OG12" s="80">
        <v>46096</v>
      </c>
      <c r="OH12" s="89"/>
      <c r="OI12" s="82"/>
      <c r="OK12" s="103"/>
      <c r="OL12" s="87"/>
      <c r="OM12" s="86"/>
      <c r="ON12" s="87">
        <f t="shared" si="48"/>
        <v>0</v>
      </c>
      <c r="OO12" s="80">
        <v>46096</v>
      </c>
      <c r="OP12" s="91"/>
      <c r="OQ12" s="82"/>
      <c r="OS12" s="84"/>
      <c r="OT12" s="87"/>
      <c r="OU12" s="87"/>
      <c r="OV12" s="87">
        <f t="shared" si="49"/>
        <v>0</v>
      </c>
      <c r="OW12" s="80">
        <v>46096</v>
      </c>
      <c r="OX12" s="89"/>
      <c r="OY12" s="82"/>
      <c r="PA12" s="84"/>
      <c r="PB12" s="87"/>
      <c r="PC12" s="87"/>
      <c r="PD12" s="87">
        <f t="shared" si="50"/>
        <v>0</v>
      </c>
      <c r="PE12" s="80">
        <v>46096</v>
      </c>
      <c r="PF12" s="89"/>
      <c r="PG12" s="82"/>
      <c r="PH12"/>
      <c r="PI12" s="84"/>
      <c r="PJ12" s="87"/>
      <c r="PK12" s="87"/>
      <c r="PL12" s="87">
        <f t="shared" si="51"/>
        <v>0</v>
      </c>
      <c r="PM12" s="80">
        <v>46096</v>
      </c>
      <c r="PN12" s="211"/>
      <c r="PO12" s="216"/>
      <c r="PP12"/>
      <c r="PQ12" s="84"/>
      <c r="PR12" s="87"/>
      <c r="PS12" s="87"/>
      <c r="PT12" s="87">
        <f t="shared" si="52"/>
        <v>0</v>
      </c>
      <c r="PU12" s="80">
        <v>46096</v>
      </c>
      <c r="PV12" s="89"/>
      <c r="PW12" s="82"/>
      <c r="PY12" s="84"/>
      <c r="PZ12" s="87"/>
      <c r="QA12" s="87"/>
      <c r="QB12" s="87">
        <f t="shared" si="53"/>
        <v>0</v>
      </c>
      <c r="QC12" s="80">
        <v>46096</v>
      </c>
      <c r="QD12" s="91"/>
      <c r="QE12" s="82"/>
      <c r="QG12" s="84"/>
      <c r="QH12" s="86"/>
      <c r="QI12" s="87"/>
      <c r="QJ12" s="87">
        <f t="shared" si="54"/>
        <v>0</v>
      </c>
      <c r="QK12" s="80">
        <v>46096</v>
      </c>
      <c r="QL12" s="89"/>
      <c r="QM12" s="82"/>
      <c r="QO12" s="84"/>
      <c r="QP12" s="87"/>
      <c r="QQ12" s="87"/>
      <c r="QR12" s="87">
        <f t="shared" si="55"/>
        <v>0</v>
      </c>
      <c r="QS12" s="80">
        <v>46096</v>
      </c>
      <c r="QT12" s="212"/>
      <c r="QU12" s="216"/>
      <c r="QW12" s="84"/>
      <c r="QX12" s="87"/>
      <c r="QY12" s="87"/>
      <c r="QZ12" s="87">
        <f t="shared" si="56"/>
        <v>0</v>
      </c>
      <c r="RA12" s="80">
        <v>46096</v>
      </c>
      <c r="RB12" s="89"/>
      <c r="RC12" s="82"/>
      <c r="RE12" s="84"/>
      <c r="RF12" s="87"/>
      <c r="RG12" s="87"/>
      <c r="RH12" s="87">
        <f t="shared" si="57"/>
        <v>0</v>
      </c>
      <c r="RI12" s="80">
        <v>46096</v>
      </c>
      <c r="RJ12" s="89"/>
      <c r="RK12" s="170"/>
      <c r="RM12" s="84"/>
      <c r="RN12" s="87"/>
      <c r="RO12" s="101"/>
      <c r="RP12" s="87">
        <f t="shared" si="58"/>
        <v>0</v>
      </c>
      <c r="RQ12" s="80">
        <v>46096</v>
      </c>
      <c r="RR12" s="97"/>
      <c r="RS12" s="82"/>
      <c r="RU12" s="84"/>
      <c r="RV12" s="87"/>
      <c r="RW12" s="87"/>
      <c r="RX12" s="87">
        <f t="shared" si="59"/>
        <v>0</v>
      </c>
      <c r="RY12" s="80">
        <v>46096</v>
      </c>
      <c r="RZ12" s="89"/>
      <c r="SA12" s="82"/>
      <c r="SC12" s="84"/>
      <c r="SD12" s="87"/>
      <c r="SE12" s="87"/>
      <c r="SF12" s="87">
        <f t="shared" si="60"/>
        <v>0</v>
      </c>
      <c r="SG12" s="80">
        <v>46096</v>
      </c>
      <c r="SH12" s="89"/>
      <c r="SI12" s="82"/>
      <c r="SK12" s="103"/>
      <c r="SL12" s="86"/>
      <c r="SM12" s="86"/>
      <c r="SN12" s="87">
        <f t="shared" si="61"/>
        <v>0</v>
      </c>
      <c r="SO12" s="80">
        <v>46096</v>
      </c>
      <c r="SP12" s="91"/>
      <c r="SQ12" s="82"/>
      <c r="SS12" s="84"/>
      <c r="ST12" s="87"/>
      <c r="SU12" s="87"/>
      <c r="SV12" s="87">
        <f t="shared" si="62"/>
        <v>0</v>
      </c>
      <c r="SW12" s="80">
        <v>46096</v>
      </c>
      <c r="SX12" s="89"/>
      <c r="SY12" s="82"/>
      <c r="TA12" s="84"/>
      <c r="TB12" s="87"/>
      <c r="TC12" s="87"/>
      <c r="TD12" s="87">
        <f t="shared" si="63"/>
        <v>0</v>
      </c>
      <c r="TE12" s="80">
        <v>46096</v>
      </c>
      <c r="TF12" s="91"/>
      <c r="TG12" s="82"/>
      <c r="TI12" s="84"/>
      <c r="TJ12" s="87"/>
      <c r="TK12" s="87"/>
      <c r="TL12" s="87">
        <f t="shared" si="64"/>
        <v>0</v>
      </c>
      <c r="TM12" s="80">
        <v>46096</v>
      </c>
      <c r="TN12" s="89"/>
      <c r="TO12" s="82"/>
      <c r="TQ12" s="84"/>
      <c r="TR12" s="87"/>
      <c r="TS12" s="87"/>
      <c r="TT12" s="87">
        <f t="shared" si="65"/>
        <v>0</v>
      </c>
      <c r="TU12" s="80">
        <v>46096</v>
      </c>
      <c r="TV12" s="184"/>
      <c r="TW12" s="82"/>
      <c r="TY12" s="84"/>
      <c r="TZ12" s="87"/>
      <c r="UA12" s="87"/>
      <c r="UB12" s="87">
        <f t="shared" si="66"/>
        <v>0</v>
      </c>
      <c r="UC12" s="80">
        <v>46096</v>
      </c>
      <c r="UD12" s="89"/>
      <c r="UE12" s="82"/>
      <c r="UG12" s="84"/>
      <c r="UH12" s="87"/>
      <c r="UI12" s="87"/>
      <c r="UJ12" s="87">
        <f t="shared" si="67"/>
        <v>0</v>
      </c>
      <c r="UK12" s="80">
        <v>46096</v>
      </c>
      <c r="UL12" s="89"/>
      <c r="UM12" s="82"/>
      <c r="UO12" s="84"/>
      <c r="UP12" s="87"/>
      <c r="UQ12" s="87"/>
      <c r="UR12" s="87">
        <f t="shared" si="68"/>
        <v>0</v>
      </c>
      <c r="US12" s="80">
        <v>46096</v>
      </c>
      <c r="UT12" s="89"/>
      <c r="UU12" s="82"/>
      <c r="UW12" s="84"/>
      <c r="UX12" s="87"/>
      <c r="UY12" s="87"/>
      <c r="UZ12" s="87">
        <f t="shared" si="69"/>
        <v>0</v>
      </c>
      <c r="VA12" s="80">
        <v>46096</v>
      </c>
      <c r="VB12" s="89"/>
      <c r="VC12" s="82"/>
      <c r="VE12" s="84"/>
      <c r="VF12" s="87"/>
      <c r="VG12" s="87"/>
      <c r="VH12" s="87">
        <f t="shared" si="70"/>
        <v>0</v>
      </c>
      <c r="VI12" s="80">
        <v>46096</v>
      </c>
      <c r="VJ12" s="89"/>
      <c r="VK12" s="82"/>
      <c r="VM12" s="84"/>
      <c r="VN12" s="87"/>
      <c r="VO12" s="87"/>
      <c r="VP12" s="87">
        <f t="shared" si="71"/>
        <v>0</v>
      </c>
      <c r="VQ12" s="80">
        <v>46096</v>
      </c>
      <c r="VR12" s="89"/>
      <c r="VS12" s="82"/>
      <c r="VU12" s="84"/>
      <c r="VV12" s="87"/>
      <c r="VW12" s="87"/>
      <c r="VX12" s="87">
        <f t="shared" si="72"/>
        <v>0</v>
      </c>
      <c r="VY12" s="80">
        <v>46096</v>
      </c>
      <c r="VZ12" s="89"/>
      <c r="WA12" s="82"/>
      <c r="WC12" s="84"/>
      <c r="WD12" s="87"/>
      <c r="WE12" s="87"/>
      <c r="WF12" s="87">
        <f t="shared" si="73"/>
        <v>0</v>
      </c>
      <c r="WG12" s="80">
        <v>46096</v>
      </c>
      <c r="WH12" s="89"/>
      <c r="WI12" s="82"/>
      <c r="WK12" s="84"/>
      <c r="WL12" s="87"/>
      <c r="WM12" s="87"/>
      <c r="WN12" s="87">
        <f t="shared" si="74"/>
        <v>0</v>
      </c>
      <c r="WO12" s="80">
        <v>46096</v>
      </c>
      <c r="WP12" s="89"/>
      <c r="WQ12" s="82"/>
      <c r="WS12" s="84"/>
      <c r="WT12" s="87"/>
      <c r="WU12" s="87"/>
      <c r="WV12" s="87">
        <f t="shared" si="75"/>
        <v>0</v>
      </c>
      <c r="WW12" s="80">
        <v>46096</v>
      </c>
      <c r="WX12" s="89"/>
      <c r="WY12" s="82"/>
      <c r="XA12" s="84"/>
      <c r="XB12" s="87"/>
      <c r="XC12" s="87"/>
      <c r="XD12" s="87">
        <f t="shared" si="76"/>
        <v>0</v>
      </c>
      <c r="XE12" s="80">
        <v>46096</v>
      </c>
      <c r="XF12" s="89"/>
      <c r="XG12" s="82"/>
      <c r="XI12" s="84"/>
      <c r="XJ12" s="87"/>
      <c r="XK12" s="87"/>
      <c r="XL12" s="87">
        <f t="shared" si="77"/>
        <v>0</v>
      </c>
      <c r="XM12" s="80">
        <v>46096</v>
      </c>
      <c r="XN12" s="89"/>
      <c r="XO12" s="82"/>
      <c r="XQ12" s="84"/>
      <c r="XR12" s="87"/>
      <c r="XS12" s="86"/>
      <c r="XT12" s="87">
        <f t="shared" si="78"/>
        <v>0</v>
      </c>
      <c r="XU12" s="80">
        <v>46096</v>
      </c>
      <c r="XV12" s="91"/>
      <c r="XW12" s="82"/>
      <c r="XY12" s="84"/>
      <c r="XZ12" s="87"/>
      <c r="YA12" s="87"/>
      <c r="YB12" s="87">
        <f t="shared" si="79"/>
        <v>0</v>
      </c>
      <c r="YC12" s="80">
        <v>46096</v>
      </c>
      <c r="YD12" s="89"/>
      <c r="YE12" s="82"/>
      <c r="YG12" s="84"/>
      <c r="YH12" s="87"/>
      <c r="YI12" s="87"/>
      <c r="YJ12" s="87">
        <f t="shared" si="80"/>
        <v>0</v>
      </c>
      <c r="YK12" s="80">
        <v>46096</v>
      </c>
      <c r="YL12" s="89"/>
      <c r="YM12" s="82"/>
      <c r="YO12" s="84"/>
      <c r="YP12" s="87"/>
      <c r="YQ12" s="87"/>
      <c r="YR12" s="87">
        <f t="shared" si="81"/>
        <v>0</v>
      </c>
      <c r="YS12" s="80">
        <v>46096</v>
      </c>
      <c r="YT12" s="89"/>
      <c r="YU12" s="82"/>
      <c r="YW12" s="84"/>
      <c r="YX12" s="87"/>
      <c r="YY12" s="87"/>
      <c r="YZ12" s="87">
        <f t="shared" si="82"/>
        <v>0</v>
      </c>
      <c r="ZA12" s="80">
        <v>46096</v>
      </c>
      <c r="ZB12" s="89"/>
      <c r="ZC12" s="82"/>
      <c r="ZE12" s="84"/>
      <c r="ZF12" s="87"/>
      <c r="ZG12" s="87"/>
      <c r="ZH12" s="87">
        <f t="shared" si="83"/>
        <v>0</v>
      </c>
      <c r="ZI12" s="80">
        <v>46096</v>
      </c>
      <c r="ZJ12" s="89"/>
      <c r="ZK12" s="82"/>
      <c r="ZM12" s="84"/>
      <c r="ZN12" s="87"/>
      <c r="ZO12" s="87"/>
      <c r="ZP12" s="87">
        <f t="shared" si="84"/>
        <v>0</v>
      </c>
      <c r="ZQ12" s="80">
        <v>46096</v>
      </c>
      <c r="ZR12" s="89"/>
      <c r="ZS12" s="82"/>
      <c r="ZU12" s="84"/>
      <c r="ZV12" s="87"/>
      <c r="ZW12" s="87"/>
      <c r="ZX12" s="87">
        <f t="shared" si="85"/>
        <v>0</v>
      </c>
      <c r="ZY12" s="80">
        <v>46096</v>
      </c>
      <c r="ZZ12" s="89"/>
      <c r="AAA12" s="82"/>
      <c r="AAC12" s="84"/>
      <c r="AAD12" s="87"/>
      <c r="AAE12" s="87"/>
      <c r="AAF12" s="87">
        <f t="shared" si="86"/>
        <v>0</v>
      </c>
      <c r="AAG12" s="80">
        <v>46096</v>
      </c>
      <c r="AAH12" s="89"/>
      <c r="AAI12" s="82"/>
      <c r="AAK12" s="84"/>
      <c r="AAL12" s="87"/>
      <c r="AAM12" s="87"/>
      <c r="AAN12" s="87">
        <f t="shared" si="87"/>
        <v>0</v>
      </c>
      <c r="AAO12" s="80">
        <v>46096</v>
      </c>
      <c r="AAP12" s="89"/>
      <c r="AAQ12" s="82"/>
      <c r="AAS12" s="84"/>
      <c r="AAT12" s="87"/>
      <c r="AAU12" s="87"/>
      <c r="AAV12" s="87">
        <f t="shared" si="88"/>
        <v>0</v>
      </c>
      <c r="AAW12" s="80">
        <v>46096</v>
      </c>
      <c r="AAX12" s="89"/>
      <c r="AAY12" s="82"/>
      <c r="ABA12" s="84"/>
      <c r="ABB12" s="87"/>
      <c r="ABC12" s="87"/>
      <c r="ABD12" s="87">
        <f t="shared" si="89"/>
        <v>0</v>
      </c>
      <c r="ABE12" s="80">
        <v>46096</v>
      </c>
      <c r="ABF12" s="89"/>
      <c r="ABG12" s="82"/>
      <c r="ABI12" s="84"/>
      <c r="ABJ12" s="87"/>
      <c r="ABK12" s="87"/>
      <c r="ABL12" s="87">
        <f t="shared" si="90"/>
        <v>0</v>
      </c>
      <c r="ABM12" s="80">
        <v>46096</v>
      </c>
      <c r="ABN12" s="89"/>
      <c r="ABO12" s="82"/>
      <c r="ABQ12" s="84"/>
      <c r="ABR12" s="87"/>
      <c r="ABS12" s="87"/>
      <c r="ABT12" s="87">
        <f t="shared" si="91"/>
        <v>0</v>
      </c>
      <c r="ABU12" s="80">
        <v>46096</v>
      </c>
      <c r="ABV12" s="89"/>
      <c r="ABW12" s="82"/>
      <c r="ABY12" s="84"/>
      <c r="ABZ12" s="87"/>
      <c r="ACA12" s="87"/>
      <c r="ACB12" s="87">
        <f>SUM(ACB11,ABZ12,-ACA12)</f>
        <v>0</v>
      </c>
      <c r="ACC12" s="80">
        <v>46096</v>
      </c>
      <c r="ACD12" s="89"/>
      <c r="ACE12" s="82"/>
    </row>
    <row r="13" spans="1:759" ht="12" customHeight="1" thickBot="1" x14ac:dyDescent="0.3">
      <c r="A13" s="84"/>
      <c r="B13" s="350"/>
      <c r="C13" s="222"/>
      <c r="D13" s="87">
        <f t="shared" si="2"/>
        <v>1700</v>
      </c>
      <c r="E13" s="80">
        <v>46096</v>
      </c>
      <c r="F13" s="374"/>
      <c r="G13" s="382"/>
      <c r="H13" s="72"/>
      <c r="I13" s="84"/>
      <c r="J13" s="87"/>
      <c r="K13" s="87"/>
      <c r="L13" s="87">
        <f t="shared" si="0"/>
        <v>1000</v>
      </c>
      <c r="M13" s="163">
        <v>46096</v>
      </c>
      <c r="N13" s="220"/>
      <c r="O13" s="82"/>
      <c r="Q13" s="84"/>
      <c r="R13" s="222"/>
      <c r="S13" s="222"/>
      <c r="T13" s="87">
        <f t="shared" si="1"/>
        <v>4000</v>
      </c>
      <c r="U13" s="80">
        <v>46096</v>
      </c>
      <c r="V13" s="220"/>
      <c r="W13" s="82"/>
      <c r="X13" s="162"/>
      <c r="Y13" s="84"/>
      <c r="Z13" s="222"/>
      <c r="AA13" s="222"/>
      <c r="AB13" s="222">
        <f t="shared" si="3"/>
        <v>1000</v>
      </c>
      <c r="AC13" s="80">
        <v>46096</v>
      </c>
      <c r="AD13" s="220"/>
      <c r="AE13" s="82"/>
      <c r="AF13" s="41"/>
      <c r="AG13" s="84"/>
      <c r="AH13" s="222"/>
      <c r="AI13" s="222"/>
      <c r="AJ13" s="87">
        <f t="shared" si="4"/>
        <v>2000</v>
      </c>
      <c r="AK13" s="80">
        <v>46096</v>
      </c>
      <c r="AL13" s="220"/>
      <c r="AM13" s="82"/>
      <c r="AN13" s="410"/>
      <c r="AO13" s="84"/>
      <c r="AP13" s="222"/>
      <c r="AQ13" s="222"/>
      <c r="AR13" s="87">
        <f t="shared" si="5"/>
        <v>1000</v>
      </c>
      <c r="AS13" s="80">
        <v>46096</v>
      </c>
      <c r="AT13" s="220"/>
      <c r="AU13" s="82"/>
      <c r="AV13" s="108"/>
      <c r="AW13" s="84"/>
      <c r="AX13" s="87"/>
      <c r="AY13" s="87"/>
      <c r="AZ13" s="87">
        <f t="shared" si="6"/>
        <v>1150</v>
      </c>
      <c r="BA13" s="80">
        <v>46096</v>
      </c>
      <c r="BB13" s="374"/>
      <c r="BC13" s="82"/>
      <c r="BE13" s="84"/>
      <c r="BF13" s="87"/>
      <c r="BG13" s="87"/>
      <c r="BH13" s="87">
        <f t="shared" si="7"/>
        <v>7000</v>
      </c>
      <c r="BI13" s="80">
        <v>46096</v>
      </c>
      <c r="BJ13" s="220"/>
      <c r="BK13" s="82"/>
      <c r="BL13" s="198"/>
      <c r="BM13" s="99"/>
      <c r="BN13" s="222"/>
      <c r="BO13" s="222"/>
      <c r="BP13" s="87">
        <f t="shared" si="8"/>
        <v>1000</v>
      </c>
      <c r="BQ13" s="80">
        <v>46096</v>
      </c>
      <c r="BR13" s="220"/>
      <c r="BS13" s="42"/>
      <c r="BT13" s="198"/>
      <c r="BU13" s="84"/>
      <c r="BV13" s="87"/>
      <c r="BW13" s="222"/>
      <c r="BX13" s="87">
        <f t="shared" si="9"/>
        <v>0</v>
      </c>
      <c r="BY13" s="80">
        <v>46096</v>
      </c>
      <c r="BZ13" s="220"/>
      <c r="CA13" s="82"/>
      <c r="CB13" s="198"/>
      <c r="CC13" s="84"/>
      <c r="CD13" s="222"/>
      <c r="CE13" s="222"/>
      <c r="CF13" s="87">
        <f t="shared" si="10"/>
        <v>0</v>
      </c>
      <c r="CG13" s="88">
        <v>46111</v>
      </c>
      <c r="CH13" s="220"/>
      <c r="CI13" s="82"/>
      <c r="CJ13" s="72"/>
      <c r="CK13" s="84"/>
      <c r="CL13" s="222"/>
      <c r="CM13" s="222"/>
      <c r="CN13" s="87">
        <f t="shared" si="11"/>
        <v>0</v>
      </c>
      <c r="CO13" s="88">
        <v>46111</v>
      </c>
      <c r="CP13" s="220"/>
      <c r="CQ13" s="82"/>
      <c r="CR13" s="226"/>
      <c r="CS13" s="84"/>
      <c r="CT13" s="222"/>
      <c r="CU13" s="222"/>
      <c r="CV13" s="87">
        <f t="shared" si="12"/>
        <v>0</v>
      </c>
      <c r="CW13" s="88">
        <v>46111</v>
      </c>
      <c r="CX13" s="220"/>
      <c r="CY13" s="82"/>
      <c r="DA13" s="10"/>
      <c r="DB13" s="222"/>
      <c r="DC13" s="222"/>
      <c r="DD13" s="87">
        <f t="shared" si="13"/>
        <v>0</v>
      </c>
      <c r="DE13" s="88">
        <v>46111</v>
      </c>
      <c r="DF13" s="220"/>
      <c r="DG13" s="82"/>
      <c r="DI13" s="84"/>
      <c r="DJ13" s="222"/>
      <c r="DK13" s="222"/>
      <c r="DL13" s="87">
        <f t="shared" si="14"/>
        <v>0</v>
      </c>
      <c r="DM13" s="80">
        <v>46096</v>
      </c>
      <c r="DN13" s="220"/>
      <c r="DO13" s="82"/>
      <c r="DP13" s="198"/>
      <c r="DQ13" s="10"/>
      <c r="DR13" s="302"/>
      <c r="DS13" s="222"/>
      <c r="DT13" s="87">
        <f t="shared" si="15"/>
        <v>0</v>
      </c>
      <c r="DU13" s="80">
        <v>46096</v>
      </c>
      <c r="DV13" s="220"/>
      <c r="DW13" s="82"/>
      <c r="DX13" s="72"/>
      <c r="DY13" s="84"/>
      <c r="DZ13" s="222"/>
      <c r="EA13" s="222"/>
      <c r="EB13" s="87">
        <f t="shared" si="16"/>
        <v>0</v>
      </c>
      <c r="EC13" s="80">
        <v>46096</v>
      </c>
      <c r="ED13" s="220"/>
      <c r="EE13" s="82"/>
      <c r="EF13" s="72"/>
      <c r="EG13" s="84"/>
      <c r="EH13" s="222"/>
      <c r="EI13" s="222"/>
      <c r="EJ13" s="87">
        <f t="shared" si="17"/>
        <v>0</v>
      </c>
      <c r="EK13" s="80">
        <v>46096</v>
      </c>
      <c r="EL13" s="220"/>
      <c r="EM13" s="82"/>
      <c r="EN13" s="198"/>
      <c r="EO13" s="84"/>
      <c r="EP13" s="222"/>
      <c r="EQ13" s="222"/>
      <c r="ER13" s="87">
        <f t="shared" si="18"/>
        <v>0</v>
      </c>
      <c r="ES13" s="80">
        <v>46096</v>
      </c>
      <c r="ET13" s="220"/>
      <c r="EU13" s="82"/>
      <c r="EW13" s="84"/>
      <c r="EX13" s="222"/>
      <c r="EY13" s="222"/>
      <c r="EZ13" s="87">
        <f t="shared" si="19"/>
        <v>0</v>
      </c>
      <c r="FA13" s="80">
        <v>46096</v>
      </c>
      <c r="FB13" s="220"/>
      <c r="FC13" s="82"/>
      <c r="FD13" s="102"/>
      <c r="FE13" s="84"/>
      <c r="FF13" s="87"/>
      <c r="FG13" s="87"/>
      <c r="FH13" s="87">
        <f t="shared" si="93"/>
        <v>0</v>
      </c>
      <c r="FI13" s="80">
        <v>46096</v>
      </c>
      <c r="FJ13" s="220"/>
      <c r="FK13" s="82"/>
      <c r="FL13" s="198"/>
      <c r="FM13" s="84"/>
      <c r="FN13" s="87"/>
      <c r="FO13" s="222"/>
      <c r="FP13" s="87">
        <f t="shared" si="20"/>
        <v>0</v>
      </c>
      <c r="FQ13" s="80">
        <v>46096</v>
      </c>
      <c r="FR13" s="220"/>
      <c r="FS13" s="82"/>
      <c r="FT13" s="32"/>
      <c r="FU13" s="103"/>
      <c r="FV13" s="86"/>
      <c r="FW13" s="222"/>
      <c r="FX13" s="87">
        <f t="shared" si="21"/>
        <v>0</v>
      </c>
      <c r="FY13" s="163">
        <v>46096</v>
      </c>
      <c r="FZ13" s="220"/>
      <c r="GA13" s="82"/>
      <c r="GB13" s="298"/>
      <c r="GC13" s="84"/>
      <c r="GD13" s="222"/>
      <c r="GE13" s="222"/>
      <c r="GF13" s="87">
        <f t="shared" si="22"/>
        <v>0</v>
      </c>
      <c r="GG13" s="80">
        <v>46096</v>
      </c>
      <c r="GH13" s="220"/>
      <c r="GI13" s="82"/>
      <c r="GJ13"/>
      <c r="GK13" s="84"/>
      <c r="GL13" s="87"/>
      <c r="GM13" s="87"/>
      <c r="GN13" s="87">
        <f t="shared" si="23"/>
        <v>0</v>
      </c>
      <c r="GO13" s="88">
        <v>46111</v>
      </c>
      <c r="GP13" s="220"/>
      <c r="GQ13" s="82"/>
      <c r="GS13" s="84"/>
      <c r="GT13" s="222"/>
      <c r="GU13" s="302"/>
      <c r="GV13" s="87">
        <f t="shared" si="24"/>
        <v>0</v>
      </c>
      <c r="GW13" s="88">
        <v>46111</v>
      </c>
      <c r="GX13" s="220"/>
      <c r="GY13" s="82"/>
      <c r="GZ13"/>
      <c r="HA13" s="84"/>
      <c r="HB13" s="87"/>
      <c r="HC13" s="87"/>
      <c r="HD13" s="87">
        <f t="shared" si="25"/>
        <v>0</v>
      </c>
      <c r="HE13" s="88">
        <v>46111</v>
      </c>
      <c r="HF13" s="220"/>
      <c r="HG13" s="82"/>
      <c r="HH13" s="303"/>
      <c r="HI13" s="84"/>
      <c r="HJ13" s="222"/>
      <c r="HK13" s="222"/>
      <c r="HL13" s="87">
        <f t="shared" si="26"/>
        <v>0</v>
      </c>
      <c r="HM13" s="88">
        <v>46111</v>
      </c>
      <c r="HN13" s="220"/>
      <c r="HO13" s="82"/>
      <c r="HQ13" s="10"/>
      <c r="HR13" s="87"/>
      <c r="HS13" s="222"/>
      <c r="HT13" s="87">
        <f t="shared" si="27"/>
        <v>0</v>
      </c>
      <c r="HU13" s="88">
        <v>46111</v>
      </c>
      <c r="HV13" s="220"/>
      <c r="HW13" s="82"/>
      <c r="HY13" s="84"/>
      <c r="HZ13" s="87"/>
      <c r="IA13" s="87"/>
      <c r="IB13" s="87">
        <f t="shared" si="28"/>
        <v>0</v>
      </c>
      <c r="IC13" s="88">
        <v>46111</v>
      </c>
      <c r="ID13" s="89"/>
      <c r="IE13" s="82"/>
      <c r="IG13" s="103"/>
      <c r="IH13" s="86"/>
      <c r="II13" s="86"/>
      <c r="IJ13" s="87">
        <f t="shared" si="29"/>
        <v>0</v>
      </c>
      <c r="IK13" s="88">
        <v>46111</v>
      </c>
      <c r="IL13" s="91"/>
      <c r="IM13" s="82"/>
      <c r="IO13" s="103"/>
      <c r="IP13" s="86"/>
      <c r="IQ13" s="86"/>
      <c r="IR13" s="87">
        <f t="shared" si="30"/>
        <v>0</v>
      </c>
      <c r="IS13" s="88">
        <v>46111</v>
      </c>
      <c r="IT13" s="91"/>
      <c r="IU13" s="82"/>
      <c r="IW13" s="84"/>
      <c r="IX13" s="87"/>
      <c r="IY13" s="87"/>
      <c r="IZ13" s="87">
        <f t="shared" si="31"/>
        <v>0</v>
      </c>
      <c r="JA13" s="88">
        <v>46111</v>
      </c>
      <c r="JB13" s="89"/>
      <c r="JC13" s="82"/>
      <c r="JE13" s="84"/>
      <c r="JF13" s="222"/>
      <c r="JG13" s="222"/>
      <c r="JH13" s="87">
        <f t="shared" si="32"/>
        <v>0</v>
      </c>
      <c r="JI13" s="88">
        <v>46111</v>
      </c>
      <c r="JJ13" s="220"/>
      <c r="JK13" s="82"/>
      <c r="JM13" s="84"/>
      <c r="JN13" s="87"/>
      <c r="JO13" s="87"/>
      <c r="JP13" s="87">
        <f t="shared" si="33"/>
        <v>0</v>
      </c>
      <c r="JQ13" s="163">
        <v>46111</v>
      </c>
      <c r="JR13" s="91"/>
      <c r="JS13" s="82"/>
      <c r="JU13" s="84"/>
      <c r="JV13" s="87"/>
      <c r="JW13" s="87"/>
      <c r="JX13" s="87">
        <f t="shared" si="94"/>
        <v>0</v>
      </c>
      <c r="JY13" s="163">
        <v>46111</v>
      </c>
      <c r="JZ13" s="91"/>
      <c r="KA13" s="82"/>
      <c r="KC13" s="84"/>
      <c r="KD13" s="87"/>
      <c r="KE13" s="87"/>
      <c r="KF13" s="87">
        <f t="shared" si="34"/>
        <v>0</v>
      </c>
      <c r="KG13" s="163">
        <v>46111</v>
      </c>
      <c r="KH13" s="222"/>
      <c r="KI13" s="109"/>
      <c r="KK13" s="84"/>
      <c r="KL13" s="87"/>
      <c r="KM13" s="87"/>
      <c r="KN13" s="87">
        <f t="shared" si="35"/>
        <v>0</v>
      </c>
      <c r="KO13" s="163">
        <v>46111</v>
      </c>
      <c r="KP13" s="89"/>
      <c r="KQ13" s="82"/>
      <c r="KR13"/>
      <c r="KS13" s="84"/>
      <c r="KT13" s="87"/>
      <c r="KU13" s="87"/>
      <c r="KV13" s="87">
        <f t="shared" si="36"/>
        <v>0</v>
      </c>
      <c r="KW13" s="88">
        <v>46111</v>
      </c>
      <c r="KX13" s="89"/>
      <c r="KY13" s="82"/>
      <c r="KZ13"/>
      <c r="LA13" s="84"/>
      <c r="LB13" s="87"/>
      <c r="LC13" s="87"/>
      <c r="LD13" s="87">
        <f t="shared" si="37"/>
        <v>0</v>
      </c>
      <c r="LE13" s="163">
        <v>46111</v>
      </c>
      <c r="LF13" s="89"/>
      <c r="LG13" s="192"/>
      <c r="LH13"/>
      <c r="LI13" s="84"/>
      <c r="LJ13" s="87"/>
      <c r="LK13" s="87"/>
      <c r="LL13" s="87">
        <f t="shared" si="38"/>
        <v>0</v>
      </c>
      <c r="LM13" s="88">
        <v>46111</v>
      </c>
      <c r="LN13" s="89"/>
      <c r="LO13" s="82"/>
      <c r="LQ13" s="84"/>
      <c r="LR13" s="87"/>
      <c r="LS13" s="87"/>
      <c r="LT13" s="87">
        <f t="shared" si="39"/>
        <v>0</v>
      </c>
      <c r="LU13" s="88">
        <v>46111</v>
      </c>
      <c r="LV13" s="89"/>
      <c r="LW13" s="82"/>
      <c r="LX13"/>
      <c r="LY13" s="84"/>
      <c r="LZ13" s="87"/>
      <c r="MA13" s="87"/>
      <c r="MB13" s="87">
        <f t="shared" si="40"/>
        <v>0</v>
      </c>
      <c r="MC13" s="88">
        <v>46111</v>
      </c>
      <c r="MD13" s="89"/>
      <c r="ME13" s="82"/>
      <c r="MG13" s="84"/>
      <c r="MH13" s="87"/>
      <c r="MI13" s="87"/>
      <c r="MJ13" s="87">
        <f t="shared" si="41"/>
        <v>0</v>
      </c>
      <c r="MK13" s="88">
        <v>46111</v>
      </c>
      <c r="ML13" s="89"/>
      <c r="MM13" s="82"/>
      <c r="MN13"/>
      <c r="MO13" s="103"/>
      <c r="MP13" s="86"/>
      <c r="MQ13" s="86"/>
      <c r="MR13" s="86">
        <f t="shared" si="42"/>
        <v>0</v>
      </c>
      <c r="MS13" s="104">
        <v>46111</v>
      </c>
      <c r="MT13" s="91"/>
      <c r="MU13" s="82"/>
      <c r="MW13" s="84"/>
      <c r="MX13" s="87"/>
      <c r="MY13" s="87"/>
      <c r="MZ13" s="87">
        <f t="shared" si="43"/>
        <v>0</v>
      </c>
      <c r="NA13" s="88">
        <v>46111</v>
      </c>
      <c r="NB13" s="89"/>
      <c r="NC13" s="82"/>
      <c r="NE13" s="84"/>
      <c r="NF13" s="87"/>
      <c r="NG13" s="87"/>
      <c r="NH13" s="87">
        <f t="shared" si="44"/>
        <v>0</v>
      </c>
      <c r="NI13" s="88">
        <v>46111</v>
      </c>
      <c r="NJ13" s="89"/>
      <c r="NK13" s="82"/>
      <c r="NM13" s="84"/>
      <c r="NN13" s="87"/>
      <c r="NO13" s="87"/>
      <c r="NP13" s="87">
        <f t="shared" si="45"/>
        <v>0</v>
      </c>
      <c r="NQ13" s="88">
        <v>46111</v>
      </c>
      <c r="NR13" s="91"/>
      <c r="NS13" s="82"/>
      <c r="NU13" s="84"/>
      <c r="NV13" s="87"/>
      <c r="NW13" s="87"/>
      <c r="NX13" s="87">
        <f t="shared" si="46"/>
        <v>0</v>
      </c>
      <c r="NY13" s="88">
        <v>46111</v>
      </c>
      <c r="NZ13" s="89"/>
      <c r="OA13" s="82"/>
      <c r="OB13" s="102"/>
      <c r="OC13" s="84"/>
      <c r="OD13" s="87"/>
      <c r="OE13" s="87"/>
      <c r="OF13" s="87">
        <f t="shared" si="47"/>
        <v>0</v>
      </c>
      <c r="OG13" s="88">
        <v>46111</v>
      </c>
      <c r="OH13" s="89"/>
      <c r="OI13" s="82"/>
      <c r="OK13" s="103"/>
      <c r="OL13" s="87"/>
      <c r="OM13" s="86"/>
      <c r="ON13" s="87">
        <f t="shared" si="48"/>
        <v>0</v>
      </c>
      <c r="OO13" s="88">
        <v>46111</v>
      </c>
      <c r="OP13" s="91"/>
      <c r="OQ13" s="82"/>
      <c r="OR13" s="105"/>
      <c r="OS13" s="84"/>
      <c r="OT13" s="87"/>
      <c r="OU13" s="87"/>
      <c r="OV13" s="87">
        <f t="shared" si="49"/>
        <v>0</v>
      </c>
      <c r="OW13" s="88">
        <v>46111</v>
      </c>
      <c r="OX13" s="89"/>
      <c r="OY13" s="82"/>
      <c r="PA13" s="84"/>
      <c r="PB13" s="87"/>
      <c r="PC13" s="87"/>
      <c r="PD13" s="87">
        <f t="shared" si="50"/>
        <v>0</v>
      </c>
      <c r="PE13" s="88">
        <v>46111</v>
      </c>
      <c r="PF13" s="89"/>
      <c r="PG13" s="82"/>
      <c r="PH13"/>
      <c r="PI13" s="84"/>
      <c r="PJ13" s="87"/>
      <c r="PK13" s="87"/>
      <c r="PL13" s="87">
        <f t="shared" si="51"/>
        <v>0</v>
      </c>
      <c r="PM13" s="88">
        <v>46111</v>
      </c>
      <c r="PN13" s="211"/>
      <c r="PO13" s="216"/>
      <c r="PP13"/>
      <c r="PQ13" s="84"/>
      <c r="PR13" s="87"/>
      <c r="PS13" s="87"/>
      <c r="PT13" s="87">
        <f t="shared" si="52"/>
        <v>0</v>
      </c>
      <c r="PU13" s="88">
        <v>46111</v>
      </c>
      <c r="PV13" s="89"/>
      <c r="PW13" s="82"/>
      <c r="PY13" s="84"/>
      <c r="PZ13" s="87"/>
      <c r="QA13" s="87"/>
      <c r="QB13" s="87">
        <f t="shared" si="53"/>
        <v>0</v>
      </c>
      <c r="QC13" s="88">
        <v>46111</v>
      </c>
      <c r="QD13" s="91"/>
      <c r="QE13" s="82"/>
      <c r="QG13" s="84"/>
      <c r="QH13" s="87"/>
      <c r="QI13" s="87"/>
      <c r="QJ13" s="87">
        <f t="shared" si="54"/>
        <v>0</v>
      </c>
      <c r="QK13" s="88">
        <v>46111</v>
      </c>
      <c r="QL13" s="91"/>
      <c r="QM13" s="82"/>
      <c r="QO13" s="84"/>
      <c r="QP13" s="87"/>
      <c r="QQ13" s="87"/>
      <c r="QR13" s="87">
        <f t="shared" si="55"/>
        <v>0</v>
      </c>
      <c r="QS13" s="88">
        <v>46111</v>
      </c>
      <c r="QT13" s="212"/>
      <c r="QU13" s="216"/>
      <c r="QW13" s="84"/>
      <c r="QX13" s="87"/>
      <c r="QY13" s="87"/>
      <c r="QZ13" s="87">
        <f t="shared" si="56"/>
        <v>0</v>
      </c>
      <c r="RA13" s="88">
        <v>46111</v>
      </c>
      <c r="RB13" s="89"/>
      <c r="RC13" s="82"/>
      <c r="RE13" s="84"/>
      <c r="RF13" s="87"/>
      <c r="RG13" s="87"/>
      <c r="RH13" s="87">
        <f t="shared" si="57"/>
        <v>0</v>
      </c>
      <c r="RI13" s="88">
        <v>46111</v>
      </c>
      <c r="RJ13" s="89"/>
      <c r="RK13" s="170"/>
      <c r="RM13" s="84"/>
      <c r="RN13" s="87"/>
      <c r="RO13" s="87"/>
      <c r="RP13" s="87">
        <f t="shared" si="58"/>
        <v>0</v>
      </c>
      <c r="RQ13" s="88">
        <v>46111</v>
      </c>
      <c r="RR13" s="89"/>
      <c r="RS13" s="82"/>
      <c r="RU13" s="84"/>
      <c r="RV13" s="87"/>
      <c r="RW13" s="87"/>
      <c r="RX13" s="87">
        <f t="shared" si="59"/>
        <v>0</v>
      </c>
      <c r="RY13" s="88">
        <v>46111</v>
      </c>
      <c r="RZ13" s="89"/>
      <c r="SA13" s="82"/>
      <c r="SC13" s="84"/>
      <c r="SD13" s="87"/>
      <c r="SE13" s="87"/>
      <c r="SF13" s="87">
        <f t="shared" si="60"/>
        <v>0</v>
      </c>
      <c r="SG13" s="88">
        <v>46111</v>
      </c>
      <c r="SH13" s="89"/>
      <c r="SI13" s="82"/>
      <c r="SK13" s="103"/>
      <c r="SL13" s="86"/>
      <c r="SM13" s="86"/>
      <c r="SN13" s="87">
        <f t="shared" si="61"/>
        <v>0</v>
      </c>
      <c r="SO13" s="88">
        <v>46111</v>
      </c>
      <c r="SP13" s="91"/>
      <c r="SQ13" s="82"/>
      <c r="SS13" s="84"/>
      <c r="ST13" s="87"/>
      <c r="SU13" s="87"/>
      <c r="SV13" s="87">
        <f t="shared" si="62"/>
        <v>0</v>
      </c>
      <c r="SW13" s="88">
        <v>46111</v>
      </c>
      <c r="SX13" s="89"/>
      <c r="SY13" s="82"/>
      <c r="TA13" s="84"/>
      <c r="TB13" s="87"/>
      <c r="TC13" s="87"/>
      <c r="TD13" s="87">
        <f t="shared" si="63"/>
        <v>0</v>
      </c>
      <c r="TE13" s="88">
        <v>46111</v>
      </c>
      <c r="TF13" s="91"/>
      <c r="TG13" s="82"/>
      <c r="TI13" s="84"/>
      <c r="TJ13" s="87"/>
      <c r="TK13" s="87"/>
      <c r="TL13" s="87">
        <f t="shared" si="64"/>
        <v>0</v>
      </c>
      <c r="TM13" s="88">
        <v>46111</v>
      </c>
      <c r="TN13" s="89"/>
      <c r="TO13" s="82"/>
      <c r="TQ13" s="84"/>
      <c r="TR13" s="87"/>
      <c r="TS13" s="87"/>
      <c r="TT13" s="87">
        <f t="shared" si="65"/>
        <v>0</v>
      </c>
      <c r="TU13" s="88">
        <v>46111</v>
      </c>
      <c r="TV13" s="173"/>
      <c r="TW13" s="82"/>
      <c r="TY13" s="84"/>
      <c r="TZ13" s="87"/>
      <c r="UA13" s="87"/>
      <c r="UB13" s="87">
        <f t="shared" si="66"/>
        <v>0</v>
      </c>
      <c r="UC13" s="88">
        <v>46111</v>
      </c>
      <c r="UD13" s="89"/>
      <c r="UE13" s="82"/>
      <c r="UG13" s="84"/>
      <c r="UH13" s="87"/>
      <c r="UI13" s="87"/>
      <c r="UJ13" s="87">
        <f t="shared" si="67"/>
        <v>0</v>
      </c>
      <c r="UK13" s="88">
        <v>46111</v>
      </c>
      <c r="UL13" s="89"/>
      <c r="UM13" s="82"/>
      <c r="UO13" s="84"/>
      <c r="UP13" s="87"/>
      <c r="UQ13" s="87"/>
      <c r="UR13" s="87">
        <f t="shared" si="68"/>
        <v>0</v>
      </c>
      <c r="US13" s="88">
        <v>46111</v>
      </c>
      <c r="UT13" s="89"/>
      <c r="UU13" s="82"/>
      <c r="UW13" s="84"/>
      <c r="UX13" s="87"/>
      <c r="UY13" s="87"/>
      <c r="UZ13" s="87">
        <f t="shared" si="69"/>
        <v>0</v>
      </c>
      <c r="VA13" s="88">
        <v>46111</v>
      </c>
      <c r="VB13" s="89"/>
      <c r="VC13" s="82"/>
      <c r="VE13" s="84"/>
      <c r="VF13" s="87"/>
      <c r="VG13" s="87"/>
      <c r="VH13" s="87">
        <f t="shared" si="70"/>
        <v>0</v>
      </c>
      <c r="VI13" s="88">
        <v>46111</v>
      </c>
      <c r="VJ13" s="89"/>
      <c r="VK13" s="82"/>
      <c r="VM13" s="84"/>
      <c r="VN13" s="87"/>
      <c r="VO13" s="87"/>
      <c r="VP13" s="87">
        <f t="shared" si="71"/>
        <v>0</v>
      </c>
      <c r="VQ13" s="88">
        <v>46111</v>
      </c>
      <c r="VR13" s="89"/>
      <c r="VS13" s="82"/>
      <c r="VU13" s="84"/>
      <c r="VV13" s="87"/>
      <c r="VW13" s="87"/>
      <c r="VX13" s="87">
        <f t="shared" si="72"/>
        <v>0</v>
      </c>
      <c r="VY13" s="88">
        <v>46111</v>
      </c>
      <c r="VZ13" s="89"/>
      <c r="WA13" s="82"/>
      <c r="WC13" s="84"/>
      <c r="WD13" s="87"/>
      <c r="WE13" s="87"/>
      <c r="WF13" s="87">
        <f t="shared" si="73"/>
        <v>0</v>
      </c>
      <c r="WG13" s="88">
        <v>46111</v>
      </c>
      <c r="WH13" s="89"/>
      <c r="WI13" s="82"/>
      <c r="WK13" s="84"/>
      <c r="WL13" s="87"/>
      <c r="WM13" s="87"/>
      <c r="WN13" s="87">
        <f t="shared" si="74"/>
        <v>0</v>
      </c>
      <c r="WO13" s="88">
        <v>46111</v>
      </c>
      <c r="WP13" s="89"/>
      <c r="WQ13" s="82"/>
      <c r="WS13" s="84"/>
      <c r="WT13" s="87"/>
      <c r="WU13" s="87"/>
      <c r="WV13" s="87">
        <f t="shared" si="75"/>
        <v>0</v>
      </c>
      <c r="WW13" s="88">
        <v>46111</v>
      </c>
      <c r="WX13" s="89"/>
      <c r="WY13" s="82"/>
      <c r="XA13" s="84"/>
      <c r="XB13" s="87"/>
      <c r="XC13" s="87"/>
      <c r="XD13" s="87">
        <f t="shared" si="76"/>
        <v>0</v>
      </c>
      <c r="XE13" s="88">
        <v>46111</v>
      </c>
      <c r="XF13" s="89"/>
      <c r="XG13" s="82"/>
      <c r="XI13" s="84"/>
      <c r="XJ13" s="87"/>
      <c r="XK13" s="87"/>
      <c r="XL13" s="87">
        <f t="shared" si="77"/>
        <v>0</v>
      </c>
      <c r="XM13" s="88">
        <v>46111</v>
      </c>
      <c r="XN13" s="89"/>
      <c r="XO13" s="82"/>
      <c r="XQ13" s="84"/>
      <c r="XR13" s="87"/>
      <c r="XS13" s="87"/>
      <c r="XT13" s="87">
        <f t="shared" si="78"/>
        <v>0</v>
      </c>
      <c r="XU13" s="88">
        <v>46111</v>
      </c>
      <c r="XV13" s="91"/>
      <c r="XW13" s="82"/>
      <c r="XY13" s="84"/>
      <c r="XZ13" s="87"/>
      <c r="YA13" s="87"/>
      <c r="YB13" s="87">
        <f t="shared" si="79"/>
        <v>0</v>
      </c>
      <c r="YC13" s="88">
        <v>46111</v>
      </c>
      <c r="YD13" s="89"/>
      <c r="YE13" s="82"/>
      <c r="YG13" s="84"/>
      <c r="YH13" s="87"/>
      <c r="YI13" s="87"/>
      <c r="YJ13" s="87">
        <f t="shared" si="80"/>
        <v>0</v>
      </c>
      <c r="YK13" s="88">
        <v>46111</v>
      </c>
      <c r="YL13" s="89"/>
      <c r="YM13" s="82"/>
      <c r="YO13" s="84"/>
      <c r="YP13" s="87"/>
      <c r="YQ13" s="87"/>
      <c r="YR13" s="87">
        <f t="shared" si="81"/>
        <v>0</v>
      </c>
      <c r="YS13" s="88">
        <v>46111</v>
      </c>
      <c r="YT13" s="89"/>
      <c r="YU13" s="82"/>
      <c r="YW13" s="84"/>
      <c r="YX13" s="87"/>
      <c r="YY13" s="87"/>
      <c r="YZ13" s="87">
        <f t="shared" si="82"/>
        <v>0</v>
      </c>
      <c r="ZA13" s="88">
        <v>46111</v>
      </c>
      <c r="ZB13" s="89"/>
      <c r="ZC13" s="82"/>
      <c r="ZE13" s="84"/>
      <c r="ZF13" s="87"/>
      <c r="ZG13" s="87"/>
      <c r="ZH13" s="87">
        <f t="shared" si="83"/>
        <v>0</v>
      </c>
      <c r="ZI13" s="88">
        <v>46111</v>
      </c>
      <c r="ZJ13" s="89"/>
      <c r="ZK13" s="82"/>
      <c r="ZM13" s="84"/>
      <c r="ZN13" s="87"/>
      <c r="ZO13" s="87"/>
      <c r="ZP13" s="87">
        <f t="shared" si="84"/>
        <v>0</v>
      </c>
      <c r="ZQ13" s="88">
        <v>46111</v>
      </c>
      <c r="ZR13" s="89"/>
      <c r="ZS13" s="82"/>
      <c r="ZU13" s="84"/>
      <c r="ZV13" s="87"/>
      <c r="ZW13" s="87"/>
      <c r="ZX13" s="87">
        <f t="shared" si="85"/>
        <v>0</v>
      </c>
      <c r="ZY13" s="88">
        <v>46111</v>
      </c>
      <c r="ZZ13" s="89"/>
      <c r="AAA13" s="82"/>
      <c r="AAC13" s="84"/>
      <c r="AAD13" s="87"/>
      <c r="AAE13" s="87"/>
      <c r="AAF13" s="87">
        <f t="shared" si="86"/>
        <v>0</v>
      </c>
      <c r="AAG13" s="88">
        <v>46111</v>
      </c>
      <c r="AAH13" s="89"/>
      <c r="AAI13" s="82"/>
      <c r="AAK13" s="84"/>
      <c r="AAL13" s="87"/>
      <c r="AAM13" s="87"/>
      <c r="AAN13" s="87">
        <f t="shared" si="87"/>
        <v>0</v>
      </c>
      <c r="AAO13" s="88">
        <v>46111</v>
      </c>
      <c r="AAP13" s="89"/>
      <c r="AAQ13" s="82"/>
      <c r="AAS13" s="84"/>
      <c r="AAT13" s="87"/>
      <c r="AAU13" s="87"/>
      <c r="AAV13" s="87">
        <f t="shared" si="88"/>
        <v>0</v>
      </c>
      <c r="AAW13" s="88">
        <v>46111</v>
      </c>
      <c r="AAX13" s="89"/>
      <c r="AAY13" s="82"/>
      <c r="ABA13" s="84"/>
      <c r="ABB13" s="87"/>
      <c r="ABC13" s="87"/>
      <c r="ABD13" s="87">
        <f t="shared" si="89"/>
        <v>0</v>
      </c>
      <c r="ABE13" s="88">
        <v>46111</v>
      </c>
      <c r="ABF13" s="89"/>
      <c r="ABG13" s="82"/>
      <c r="ABI13" s="84"/>
      <c r="ABJ13" s="87"/>
      <c r="ABK13" s="87"/>
      <c r="ABL13" s="87">
        <f t="shared" si="90"/>
        <v>0</v>
      </c>
      <c r="ABM13" s="88">
        <v>46111</v>
      </c>
      <c r="ABN13" s="89"/>
      <c r="ABO13" s="82"/>
      <c r="ABQ13" s="84"/>
      <c r="ABR13" s="87"/>
      <c r="ABS13" s="87"/>
      <c r="ABT13" s="87">
        <f t="shared" si="91"/>
        <v>0</v>
      </c>
      <c r="ABU13" s="88">
        <v>46111</v>
      </c>
      <c r="ABV13" s="89"/>
      <c r="ABW13" s="82"/>
      <c r="ABY13" s="84"/>
      <c r="ABZ13" s="87"/>
      <c r="ACA13" s="87"/>
      <c r="ACB13" s="87">
        <f>SUM(ACB12,ABZ13,-ACA13)</f>
        <v>0</v>
      </c>
      <c r="ACC13" s="88">
        <v>46111</v>
      </c>
      <c r="ACD13" s="89"/>
      <c r="ACE13" s="82"/>
    </row>
    <row r="14" spans="1:759" ht="12" customHeight="1" thickBot="1" x14ac:dyDescent="0.3">
      <c r="A14" s="10"/>
      <c r="B14" s="350"/>
      <c r="C14" s="222"/>
      <c r="D14" s="87">
        <f t="shared" si="2"/>
        <v>1700</v>
      </c>
      <c r="E14" s="88">
        <v>46111</v>
      </c>
      <c r="F14" s="374"/>
      <c r="G14" s="382"/>
      <c r="H14" s="72"/>
      <c r="I14" s="84"/>
      <c r="J14" s="87"/>
      <c r="K14" s="87"/>
      <c r="L14" s="87">
        <f t="shared" si="0"/>
        <v>1000</v>
      </c>
      <c r="M14" s="163">
        <v>46111</v>
      </c>
      <c r="N14" s="220"/>
      <c r="O14" s="82"/>
      <c r="Q14" s="10"/>
      <c r="R14" s="222"/>
      <c r="S14" s="222"/>
      <c r="T14" s="87">
        <f t="shared" si="1"/>
        <v>4000</v>
      </c>
      <c r="U14" s="88">
        <v>46111</v>
      </c>
      <c r="V14" s="220"/>
      <c r="W14" s="82"/>
      <c r="X14" s="162"/>
      <c r="Y14" s="10"/>
      <c r="Z14" s="222"/>
      <c r="AA14" s="222"/>
      <c r="AB14" s="222">
        <f t="shared" si="3"/>
        <v>1000</v>
      </c>
      <c r="AC14" s="88">
        <v>46111</v>
      </c>
      <c r="AD14" s="220"/>
      <c r="AE14" s="82"/>
      <c r="AG14" s="84"/>
      <c r="AH14" s="222"/>
      <c r="AI14" s="222"/>
      <c r="AJ14" s="87">
        <f t="shared" si="4"/>
        <v>2000</v>
      </c>
      <c r="AK14" s="88">
        <v>46111</v>
      </c>
      <c r="AL14" s="220"/>
      <c r="AM14" s="389"/>
      <c r="AN14" s="411"/>
      <c r="AO14" s="84"/>
      <c r="AP14" s="222"/>
      <c r="AQ14" s="222"/>
      <c r="AR14" s="87">
        <f t="shared" si="5"/>
        <v>1000</v>
      </c>
      <c r="AS14" s="88">
        <v>46111</v>
      </c>
      <c r="AT14" s="220"/>
      <c r="AU14" s="82"/>
      <c r="AV14" s="72"/>
      <c r="AW14" s="84"/>
      <c r="AX14" s="87"/>
      <c r="AY14" s="87"/>
      <c r="AZ14" s="87">
        <f t="shared" si="6"/>
        <v>1150</v>
      </c>
      <c r="BA14" s="88">
        <v>46111</v>
      </c>
      <c r="BB14" s="374"/>
      <c r="BC14" s="82"/>
      <c r="BD14" s="41"/>
      <c r="BE14" s="10"/>
      <c r="BF14" s="87"/>
      <c r="BG14" s="87"/>
      <c r="BH14" s="87">
        <f t="shared" si="7"/>
        <v>7000</v>
      </c>
      <c r="BI14" s="88">
        <v>46111</v>
      </c>
      <c r="BJ14" s="220"/>
      <c r="BK14" s="82"/>
      <c r="BM14" s="84"/>
      <c r="BN14" s="222"/>
      <c r="BO14" s="222"/>
      <c r="BP14" s="87">
        <f t="shared" si="8"/>
        <v>1000</v>
      </c>
      <c r="BQ14" s="88">
        <v>46111</v>
      </c>
      <c r="BR14" s="220"/>
      <c r="BS14" s="82"/>
      <c r="BU14" s="99"/>
      <c r="BV14" s="87"/>
      <c r="BW14" s="222"/>
      <c r="BX14" s="87">
        <f t="shared" si="9"/>
        <v>0</v>
      </c>
      <c r="BY14" s="88">
        <v>46111</v>
      </c>
      <c r="BZ14" s="220"/>
      <c r="CA14" s="82"/>
      <c r="CC14" s="193"/>
      <c r="CD14" s="222"/>
      <c r="CE14" s="222"/>
      <c r="CF14" s="87">
        <f>SUM(CF13,CD14,-CE14)</f>
        <v>0</v>
      </c>
      <c r="CG14" s="93">
        <v>46127</v>
      </c>
      <c r="CH14" s="220"/>
      <c r="CI14" s="82"/>
      <c r="CJ14" s="72"/>
      <c r="CK14" s="84"/>
      <c r="CL14" s="222"/>
      <c r="CM14" s="222"/>
      <c r="CN14" s="87">
        <f t="shared" si="11"/>
        <v>0</v>
      </c>
      <c r="CO14" s="93">
        <v>46127</v>
      </c>
      <c r="CP14" s="220"/>
      <c r="CQ14" s="82"/>
      <c r="CR14" s="418"/>
      <c r="CS14" s="84"/>
      <c r="CT14" s="222"/>
      <c r="CU14" s="222"/>
      <c r="CV14" s="87">
        <f t="shared" si="12"/>
        <v>0</v>
      </c>
      <c r="CW14" s="93">
        <v>46127</v>
      </c>
      <c r="CX14" s="220"/>
      <c r="CY14" s="82"/>
      <c r="CZ14"/>
      <c r="DA14" s="84"/>
      <c r="DB14" s="222"/>
      <c r="DC14" s="222"/>
      <c r="DD14" s="87">
        <f t="shared" si="13"/>
        <v>0</v>
      </c>
      <c r="DE14" s="93">
        <v>46127</v>
      </c>
      <c r="DF14" s="220"/>
      <c r="DG14" s="82"/>
      <c r="DI14" s="84"/>
      <c r="DJ14" s="222"/>
      <c r="DK14" s="222"/>
      <c r="DL14" s="87">
        <f t="shared" si="14"/>
        <v>0</v>
      </c>
      <c r="DM14" s="88">
        <v>46111</v>
      </c>
      <c r="DN14" s="220"/>
      <c r="DO14" s="82"/>
      <c r="DQ14" s="84"/>
      <c r="DR14" s="222"/>
      <c r="DS14" s="222"/>
      <c r="DT14" s="87">
        <f t="shared" si="15"/>
        <v>0</v>
      </c>
      <c r="DU14" s="88">
        <v>46111</v>
      </c>
      <c r="DV14" s="220"/>
      <c r="DW14" s="82"/>
      <c r="DX14" s="72"/>
      <c r="DY14" s="84"/>
      <c r="DZ14" s="222"/>
      <c r="EA14" s="222"/>
      <c r="EB14" s="87">
        <f t="shared" si="16"/>
        <v>0</v>
      </c>
      <c r="EC14" s="88">
        <v>46111</v>
      </c>
      <c r="ED14" s="220"/>
      <c r="EE14" s="42"/>
      <c r="EF14" s="72"/>
      <c r="EG14" s="84"/>
      <c r="EH14" s="222"/>
      <c r="EI14" s="222"/>
      <c r="EJ14" s="87">
        <f t="shared" si="17"/>
        <v>0</v>
      </c>
      <c r="EK14" s="88">
        <v>46111</v>
      </c>
      <c r="EL14" s="220"/>
      <c r="EM14" s="82"/>
      <c r="EN14" s="41"/>
      <c r="EO14" s="84"/>
      <c r="EP14" s="222"/>
      <c r="EQ14" s="222"/>
      <c r="ER14" s="87">
        <f t="shared" si="18"/>
        <v>0</v>
      </c>
      <c r="ES14" s="88">
        <v>46111</v>
      </c>
      <c r="ET14" s="220"/>
      <c r="EU14" s="82"/>
      <c r="EW14" s="84"/>
      <c r="EX14" s="222"/>
      <c r="EY14" s="222"/>
      <c r="EZ14" s="87">
        <f t="shared" si="19"/>
        <v>0</v>
      </c>
      <c r="FA14" s="88">
        <v>46111</v>
      </c>
      <c r="FB14" s="220"/>
      <c r="FC14" s="82"/>
      <c r="FE14" s="84"/>
      <c r="FF14" s="87"/>
      <c r="FG14" s="87"/>
      <c r="FH14" s="87">
        <f t="shared" si="93"/>
        <v>0</v>
      </c>
      <c r="FI14" s="88">
        <v>46111</v>
      </c>
      <c r="FJ14" s="220"/>
      <c r="FK14" s="82"/>
      <c r="FL14" s="198"/>
      <c r="FM14" s="84"/>
      <c r="FN14" s="87"/>
      <c r="FO14" s="87"/>
      <c r="FP14" s="87">
        <f t="shared" si="20"/>
        <v>0</v>
      </c>
      <c r="FQ14" s="88">
        <v>46111</v>
      </c>
      <c r="FR14" s="220"/>
      <c r="FS14" s="82"/>
      <c r="FT14"/>
      <c r="FU14" s="103"/>
      <c r="FV14" s="86"/>
      <c r="FW14" s="222"/>
      <c r="FX14" s="87">
        <f t="shared" si="21"/>
        <v>0</v>
      </c>
      <c r="FY14" s="163">
        <v>46111</v>
      </c>
      <c r="FZ14" s="220"/>
      <c r="GA14" s="82"/>
      <c r="GB14" s="197"/>
      <c r="GC14" s="84"/>
      <c r="GD14" s="222"/>
      <c r="GE14" s="222"/>
      <c r="GF14" s="87">
        <f t="shared" si="22"/>
        <v>0</v>
      </c>
      <c r="GG14" s="88">
        <v>46111</v>
      </c>
      <c r="GH14" s="220"/>
      <c r="GI14" s="82"/>
      <c r="GK14" s="84"/>
      <c r="GL14" s="87"/>
      <c r="GM14" s="87"/>
      <c r="GN14" s="87">
        <f t="shared" si="23"/>
        <v>0</v>
      </c>
      <c r="GO14" s="93">
        <v>46127</v>
      </c>
      <c r="GP14" s="220"/>
      <c r="GQ14" s="82"/>
      <c r="GR14" s="162"/>
      <c r="GS14" s="84"/>
      <c r="GT14" s="222"/>
      <c r="GU14" s="222"/>
      <c r="GV14" s="221">
        <f t="shared" si="24"/>
        <v>0</v>
      </c>
      <c r="GW14" s="93">
        <v>46127</v>
      </c>
      <c r="GX14" s="220"/>
      <c r="GY14" s="82"/>
      <c r="GZ14"/>
      <c r="HA14" s="84"/>
      <c r="HB14" s="87"/>
      <c r="HC14" s="87"/>
      <c r="HD14" s="87">
        <f t="shared" si="25"/>
        <v>0</v>
      </c>
      <c r="HE14" s="93">
        <v>46127</v>
      </c>
      <c r="HF14" s="220"/>
      <c r="HG14" s="82"/>
      <c r="HH14" s="298"/>
      <c r="HI14" s="84"/>
      <c r="HJ14" s="222"/>
      <c r="HK14" s="222"/>
      <c r="HL14" s="87">
        <f t="shared" si="26"/>
        <v>0</v>
      </c>
      <c r="HM14" s="93">
        <v>46127</v>
      </c>
      <c r="HN14" s="220"/>
      <c r="HO14" s="82"/>
      <c r="HQ14" s="10"/>
      <c r="HR14" s="87"/>
      <c r="HS14" s="222"/>
      <c r="HT14" s="87">
        <f t="shared" si="27"/>
        <v>0</v>
      </c>
      <c r="HU14" s="93">
        <v>46127</v>
      </c>
      <c r="HV14" s="220"/>
      <c r="HW14" s="82"/>
      <c r="HY14" s="84"/>
      <c r="HZ14" s="87"/>
      <c r="IA14" s="87"/>
      <c r="IB14" s="87">
        <f t="shared" si="28"/>
        <v>0</v>
      </c>
      <c r="IC14" s="93">
        <v>46127</v>
      </c>
      <c r="ID14" s="89"/>
      <c r="IE14" s="82"/>
      <c r="IG14" s="103"/>
      <c r="IH14" s="86"/>
      <c r="II14" s="228"/>
      <c r="IJ14" s="87">
        <f t="shared" si="29"/>
        <v>0</v>
      </c>
      <c r="IK14" s="93">
        <v>46127</v>
      </c>
      <c r="IL14" s="91"/>
      <c r="IM14" s="82"/>
      <c r="IO14" s="103"/>
      <c r="IP14" s="86"/>
      <c r="IQ14" s="86"/>
      <c r="IR14" s="87">
        <f t="shared" si="30"/>
        <v>0</v>
      </c>
      <c r="IS14" s="93">
        <v>46127</v>
      </c>
      <c r="IT14" s="91"/>
      <c r="IU14" s="82"/>
      <c r="IW14" s="84"/>
      <c r="IX14" s="87"/>
      <c r="IY14" s="87"/>
      <c r="IZ14" s="87">
        <f t="shared" si="31"/>
        <v>0</v>
      </c>
      <c r="JA14" s="93">
        <v>46127</v>
      </c>
      <c r="JB14" s="89"/>
      <c r="JC14" s="82"/>
      <c r="JE14" s="10"/>
      <c r="JF14" s="222"/>
      <c r="JG14" s="222"/>
      <c r="JH14" s="87">
        <f t="shared" si="32"/>
        <v>0</v>
      </c>
      <c r="JI14" s="93">
        <v>46127</v>
      </c>
      <c r="JJ14" s="220"/>
      <c r="JK14" s="82"/>
      <c r="JM14" s="84"/>
      <c r="JN14" s="87"/>
      <c r="JO14" s="87"/>
      <c r="JP14" s="87">
        <f t="shared" si="33"/>
        <v>0</v>
      </c>
      <c r="JQ14" s="164">
        <v>46127</v>
      </c>
      <c r="JR14" s="91"/>
      <c r="JS14" s="82"/>
      <c r="JU14" s="84"/>
      <c r="JV14" s="87"/>
      <c r="JW14" s="87"/>
      <c r="JX14" s="87">
        <f t="shared" si="94"/>
        <v>0</v>
      </c>
      <c r="JY14" s="164">
        <v>46127</v>
      </c>
      <c r="JZ14" s="91"/>
      <c r="KA14" s="82"/>
      <c r="KC14" s="84"/>
      <c r="KD14" s="87"/>
      <c r="KE14" s="87"/>
      <c r="KF14" s="87">
        <f t="shared" si="34"/>
        <v>0</v>
      </c>
      <c r="KG14" s="164">
        <v>46127</v>
      </c>
      <c r="KH14" s="222"/>
      <c r="KI14" s="109"/>
      <c r="KJ14" s="102"/>
      <c r="KK14" s="84"/>
      <c r="KL14" s="87"/>
      <c r="KM14" s="87"/>
      <c r="KN14" s="87">
        <f t="shared" si="35"/>
        <v>0</v>
      </c>
      <c r="KO14" s="164">
        <v>46127</v>
      </c>
      <c r="KP14" s="89"/>
      <c r="KQ14" s="82"/>
      <c r="KR14"/>
      <c r="KS14" s="84"/>
      <c r="KT14" s="87"/>
      <c r="KU14" s="87"/>
      <c r="KV14" s="87">
        <f t="shared" si="36"/>
        <v>0</v>
      </c>
      <c r="KW14" s="93">
        <v>46127</v>
      </c>
      <c r="KX14" s="89"/>
      <c r="KY14" s="82"/>
      <c r="KZ14"/>
      <c r="LA14" s="84"/>
      <c r="LB14" s="87"/>
      <c r="LC14" s="87"/>
      <c r="LD14" s="87">
        <f t="shared" si="37"/>
        <v>0</v>
      </c>
      <c r="LE14" s="164">
        <v>46127</v>
      </c>
      <c r="LF14" s="89"/>
      <c r="LG14" s="192"/>
      <c r="LH14"/>
      <c r="LI14" s="84"/>
      <c r="LJ14" s="87"/>
      <c r="LK14" s="87"/>
      <c r="LL14" s="87">
        <f t="shared" si="38"/>
        <v>0</v>
      </c>
      <c r="LM14" s="93">
        <v>46127</v>
      </c>
      <c r="LN14" s="89"/>
      <c r="LO14" s="82"/>
      <c r="LQ14" s="84"/>
      <c r="LR14" s="87"/>
      <c r="LS14" s="87"/>
      <c r="LT14" s="87">
        <f>SUM(LT13,LR14,-LS14)</f>
        <v>0</v>
      </c>
      <c r="LU14" s="93">
        <v>46127</v>
      </c>
      <c r="LV14" s="89"/>
      <c r="LW14" s="82"/>
      <c r="LY14" s="84"/>
      <c r="LZ14" s="87"/>
      <c r="MA14" s="87"/>
      <c r="MB14" s="87">
        <f t="shared" si="40"/>
        <v>0</v>
      </c>
      <c r="MC14" s="93">
        <v>46127</v>
      </c>
      <c r="MD14" s="89"/>
      <c r="ME14" s="82"/>
      <c r="MG14" s="84"/>
      <c r="MH14" s="87"/>
      <c r="MI14" s="87"/>
      <c r="MJ14" s="87">
        <f t="shared" si="41"/>
        <v>0</v>
      </c>
      <c r="MK14" s="93">
        <v>46127</v>
      </c>
      <c r="ML14" s="89"/>
      <c r="MM14" s="82"/>
      <c r="MN14"/>
      <c r="MO14" s="103"/>
      <c r="MP14" s="86"/>
      <c r="MQ14" s="86"/>
      <c r="MR14" s="86">
        <f t="shared" si="42"/>
        <v>0</v>
      </c>
      <c r="MS14" s="106">
        <v>46127</v>
      </c>
      <c r="MT14" s="91"/>
      <c r="MU14" s="82"/>
      <c r="MW14" s="84"/>
      <c r="MX14" s="87"/>
      <c r="MY14" s="87"/>
      <c r="MZ14" s="87">
        <f t="shared" si="43"/>
        <v>0</v>
      </c>
      <c r="NA14" s="93">
        <v>46127</v>
      </c>
      <c r="NB14" s="89"/>
      <c r="NC14" s="82"/>
      <c r="NE14" s="84"/>
      <c r="NF14" s="87"/>
      <c r="NG14" s="87"/>
      <c r="NH14" s="87">
        <f t="shared" si="44"/>
        <v>0</v>
      </c>
      <c r="NI14" s="93">
        <v>46127</v>
      </c>
      <c r="NJ14" s="89"/>
      <c r="NK14" s="82"/>
      <c r="NM14" s="84"/>
      <c r="NN14" s="87"/>
      <c r="NO14" s="87"/>
      <c r="NP14" s="87">
        <f t="shared" si="45"/>
        <v>0</v>
      </c>
      <c r="NQ14" s="93">
        <v>46127</v>
      </c>
      <c r="NR14" s="91"/>
      <c r="NS14" s="82"/>
      <c r="NU14" s="84"/>
      <c r="NV14" s="87"/>
      <c r="NW14" s="87"/>
      <c r="NX14" s="87">
        <f t="shared" si="46"/>
        <v>0</v>
      </c>
      <c r="NY14" s="93">
        <v>46127</v>
      </c>
      <c r="NZ14" s="89"/>
      <c r="OA14" s="82"/>
      <c r="OC14" s="10"/>
      <c r="OD14" s="87"/>
      <c r="OE14" s="87"/>
      <c r="OF14" s="87">
        <f t="shared" si="47"/>
        <v>0</v>
      </c>
      <c r="OG14" s="93">
        <v>46127</v>
      </c>
      <c r="OH14" s="89"/>
      <c r="OI14" s="82"/>
      <c r="OK14" s="103"/>
      <c r="OL14" s="87"/>
      <c r="OM14" s="86"/>
      <c r="ON14" s="87">
        <f t="shared" si="48"/>
        <v>0</v>
      </c>
      <c r="OO14" s="93">
        <v>46127</v>
      </c>
      <c r="OP14" s="91"/>
      <c r="OQ14" s="82"/>
      <c r="OS14" s="84"/>
      <c r="OT14" s="87"/>
      <c r="OU14" s="87"/>
      <c r="OV14" s="87">
        <f t="shared" si="49"/>
        <v>0</v>
      </c>
      <c r="OW14" s="93">
        <v>46127</v>
      </c>
      <c r="OX14" s="89"/>
      <c r="OY14" s="82"/>
      <c r="PA14" s="84"/>
      <c r="PB14" s="87"/>
      <c r="PC14" s="87"/>
      <c r="PD14" s="87">
        <f t="shared" si="50"/>
        <v>0</v>
      </c>
      <c r="PE14" s="93">
        <v>46127</v>
      </c>
      <c r="PF14" s="89"/>
      <c r="PG14" s="82"/>
      <c r="PH14"/>
      <c r="PI14" s="84"/>
      <c r="PJ14" s="87"/>
      <c r="PK14" s="87"/>
      <c r="PL14" s="87">
        <f t="shared" si="51"/>
        <v>0</v>
      </c>
      <c r="PM14" s="93">
        <v>46127</v>
      </c>
      <c r="PN14" s="211"/>
      <c r="PO14" s="216"/>
      <c r="PP14"/>
      <c r="PQ14" s="84"/>
      <c r="PR14" s="87"/>
      <c r="PS14" s="87"/>
      <c r="PT14" s="87">
        <f t="shared" si="52"/>
        <v>0</v>
      </c>
      <c r="PU14" s="93">
        <v>46127</v>
      </c>
      <c r="PV14" s="89"/>
      <c r="PW14" s="82"/>
      <c r="PY14" s="84"/>
      <c r="PZ14" s="87"/>
      <c r="QA14" s="87"/>
      <c r="QB14" s="87">
        <f t="shared" si="53"/>
        <v>0</v>
      </c>
      <c r="QC14" s="93">
        <v>46127</v>
      </c>
      <c r="QD14" s="91"/>
      <c r="QE14" s="82"/>
      <c r="QG14" s="84"/>
      <c r="QH14" s="87"/>
      <c r="QI14" s="87"/>
      <c r="QJ14" s="87">
        <f>SUM(QJ13,QH14,-QI14)</f>
        <v>0</v>
      </c>
      <c r="QK14" s="93">
        <v>46127</v>
      </c>
      <c r="QL14" s="91"/>
      <c r="QM14" s="82"/>
      <c r="QO14" s="84"/>
      <c r="QP14" s="87"/>
      <c r="QQ14" s="87"/>
      <c r="QR14" s="87">
        <f t="shared" si="55"/>
        <v>0</v>
      </c>
      <c r="QS14" s="93">
        <v>46127</v>
      </c>
      <c r="QT14" s="212"/>
      <c r="QU14" s="216"/>
      <c r="QW14" s="84"/>
      <c r="QX14" s="87"/>
      <c r="QY14" s="87"/>
      <c r="QZ14" s="87">
        <f t="shared" si="56"/>
        <v>0</v>
      </c>
      <c r="RA14" s="93">
        <v>46127</v>
      </c>
      <c r="RB14" s="89"/>
      <c r="RC14" s="82"/>
      <c r="RE14" s="84"/>
      <c r="RF14" s="87"/>
      <c r="RG14" s="87"/>
      <c r="RH14" s="87">
        <f t="shared" si="57"/>
        <v>0</v>
      </c>
      <c r="RI14" s="93">
        <v>46127</v>
      </c>
      <c r="RJ14" s="89"/>
      <c r="RK14" s="178"/>
      <c r="RM14" s="84"/>
      <c r="RN14" s="87"/>
      <c r="RO14" s="87"/>
      <c r="RP14" s="87">
        <f t="shared" si="58"/>
        <v>0</v>
      </c>
      <c r="RQ14" s="93">
        <v>46127</v>
      </c>
      <c r="RR14" s="89"/>
      <c r="RS14" s="82"/>
      <c r="RU14" s="84"/>
      <c r="RV14" s="87"/>
      <c r="RW14" s="87"/>
      <c r="RX14" s="87">
        <f t="shared" si="59"/>
        <v>0</v>
      </c>
      <c r="RY14" s="93">
        <v>46127</v>
      </c>
      <c r="RZ14" s="89"/>
      <c r="SA14" s="82"/>
      <c r="SC14" s="84"/>
      <c r="SD14" s="87"/>
      <c r="SE14" s="87"/>
      <c r="SF14" s="87">
        <f t="shared" si="60"/>
        <v>0</v>
      </c>
      <c r="SG14" s="93">
        <v>46127</v>
      </c>
      <c r="SH14" s="89"/>
      <c r="SI14" s="82"/>
      <c r="SK14" s="103"/>
      <c r="SL14" s="86"/>
      <c r="SM14" s="86"/>
      <c r="SN14" s="87">
        <f t="shared" si="61"/>
        <v>0</v>
      </c>
      <c r="SO14" s="93">
        <v>46127</v>
      </c>
      <c r="SP14" s="91"/>
      <c r="SQ14" s="82"/>
      <c r="SS14" s="84"/>
      <c r="ST14" s="87"/>
      <c r="SU14" s="87"/>
      <c r="SV14" s="87">
        <f t="shared" si="62"/>
        <v>0</v>
      </c>
      <c r="SW14" s="93">
        <v>46127</v>
      </c>
      <c r="SX14" s="89"/>
      <c r="SY14" s="82"/>
      <c r="TA14" s="84"/>
      <c r="TB14" s="87"/>
      <c r="TC14" s="87"/>
      <c r="TD14" s="87">
        <f t="shared" si="63"/>
        <v>0</v>
      </c>
      <c r="TE14" s="93">
        <v>46127</v>
      </c>
      <c r="TF14" s="91"/>
      <c r="TG14" s="82"/>
      <c r="TI14" s="84"/>
      <c r="TJ14" s="87"/>
      <c r="TK14" s="87"/>
      <c r="TL14" s="87">
        <f t="shared" si="64"/>
        <v>0</v>
      </c>
      <c r="TM14" s="93">
        <v>46127</v>
      </c>
      <c r="TN14" s="89"/>
      <c r="TO14" s="82"/>
      <c r="TQ14" s="84"/>
      <c r="TR14" s="87"/>
      <c r="TS14" s="87"/>
      <c r="TT14" s="87">
        <f t="shared" si="65"/>
        <v>0</v>
      </c>
      <c r="TU14" s="93">
        <v>46127</v>
      </c>
      <c r="TV14" s="173"/>
      <c r="TW14" s="82"/>
      <c r="TY14" s="84"/>
      <c r="TZ14" s="87"/>
      <c r="UA14" s="87"/>
      <c r="UB14" s="87">
        <f t="shared" si="66"/>
        <v>0</v>
      </c>
      <c r="UC14" s="93">
        <v>46127</v>
      </c>
      <c r="UD14" s="89"/>
      <c r="UE14" s="82"/>
      <c r="UG14" s="84"/>
      <c r="UH14" s="87"/>
      <c r="UI14" s="87"/>
      <c r="UJ14" s="87">
        <f t="shared" si="67"/>
        <v>0</v>
      </c>
      <c r="UK14" s="93">
        <v>46127</v>
      </c>
      <c r="UL14" s="89"/>
      <c r="UM14" s="82"/>
      <c r="UO14" s="84"/>
      <c r="UP14" s="87"/>
      <c r="UQ14" s="87"/>
      <c r="UR14" s="87">
        <f t="shared" si="68"/>
        <v>0</v>
      </c>
      <c r="US14" s="93">
        <v>46127</v>
      </c>
      <c r="UT14" s="89"/>
      <c r="UU14" s="82"/>
      <c r="UW14" s="84"/>
      <c r="UX14" s="87"/>
      <c r="UY14" s="87"/>
      <c r="UZ14" s="87">
        <f t="shared" si="69"/>
        <v>0</v>
      </c>
      <c r="VA14" s="93">
        <v>46127</v>
      </c>
      <c r="VB14" s="89"/>
      <c r="VC14" s="82"/>
      <c r="VE14" s="10"/>
      <c r="VF14" s="87"/>
      <c r="VG14" s="87"/>
      <c r="VH14" s="87">
        <f t="shared" si="70"/>
        <v>0</v>
      </c>
      <c r="VI14" s="93">
        <v>46127</v>
      </c>
      <c r="VJ14" s="89"/>
      <c r="VK14" s="82"/>
      <c r="VM14" s="84"/>
      <c r="VN14" s="87"/>
      <c r="VO14" s="87"/>
      <c r="VP14" s="87">
        <f t="shared" si="71"/>
        <v>0</v>
      </c>
      <c r="VQ14" s="93">
        <v>46127</v>
      </c>
      <c r="VR14" s="89"/>
      <c r="VS14" s="82"/>
      <c r="VU14" s="84"/>
      <c r="VV14" s="87"/>
      <c r="VW14" s="87"/>
      <c r="VX14" s="87">
        <f t="shared" si="72"/>
        <v>0</v>
      </c>
      <c r="VY14" s="93">
        <v>46127</v>
      </c>
      <c r="VZ14" s="89"/>
      <c r="WA14" s="82"/>
      <c r="WC14" s="84"/>
      <c r="WD14" s="87"/>
      <c r="WE14" s="87"/>
      <c r="WF14" s="87">
        <f t="shared" si="73"/>
        <v>0</v>
      </c>
      <c r="WG14" s="93">
        <v>46127</v>
      </c>
      <c r="WH14" s="89"/>
      <c r="WI14" s="82"/>
      <c r="WJ14" s="43"/>
      <c r="WK14" s="84"/>
      <c r="WL14" s="87"/>
      <c r="WM14" s="87"/>
      <c r="WN14" s="87">
        <f t="shared" si="74"/>
        <v>0</v>
      </c>
      <c r="WO14" s="93">
        <v>46127</v>
      </c>
      <c r="WP14" s="89"/>
      <c r="WQ14" s="82"/>
      <c r="WS14" s="84"/>
      <c r="WT14" s="87"/>
      <c r="WU14" s="87"/>
      <c r="WV14" s="87">
        <f t="shared" si="75"/>
        <v>0</v>
      </c>
      <c r="WW14" s="93">
        <v>46127</v>
      </c>
      <c r="WX14" s="89"/>
      <c r="WY14" s="82"/>
      <c r="XA14" s="84"/>
      <c r="XB14" s="87"/>
      <c r="XC14" s="87"/>
      <c r="XD14" s="87">
        <f t="shared" si="76"/>
        <v>0</v>
      </c>
      <c r="XE14" s="93">
        <v>46127</v>
      </c>
      <c r="XF14" s="89"/>
      <c r="XG14" s="82"/>
      <c r="XI14" s="84"/>
      <c r="XJ14" s="87"/>
      <c r="XK14" s="87"/>
      <c r="XL14" s="87">
        <f t="shared" si="77"/>
        <v>0</v>
      </c>
      <c r="XM14" s="93">
        <v>46127</v>
      </c>
      <c r="XN14" s="89"/>
      <c r="XO14" s="82"/>
      <c r="XQ14" s="84"/>
      <c r="XR14" s="87"/>
      <c r="XS14" s="87"/>
      <c r="XT14" s="87">
        <f t="shared" si="78"/>
        <v>0</v>
      </c>
      <c r="XU14" s="93">
        <v>46127</v>
      </c>
      <c r="XV14" s="91"/>
      <c r="XW14" s="82"/>
      <c r="XY14" s="84"/>
      <c r="XZ14" s="87"/>
      <c r="YA14" s="87"/>
      <c r="YB14" s="87">
        <f t="shared" si="79"/>
        <v>0</v>
      </c>
      <c r="YC14" s="93">
        <v>46127</v>
      </c>
      <c r="YD14" s="89"/>
      <c r="YE14" s="82"/>
      <c r="YG14" s="84"/>
      <c r="YH14" s="87"/>
      <c r="YI14" s="87"/>
      <c r="YJ14" s="87">
        <f t="shared" si="80"/>
        <v>0</v>
      </c>
      <c r="YK14" s="93">
        <v>46127</v>
      </c>
      <c r="YL14" s="89"/>
      <c r="YM14" s="82"/>
      <c r="YO14" s="84"/>
      <c r="YP14" s="87"/>
      <c r="YQ14" s="87"/>
      <c r="YR14" s="87">
        <f t="shared" si="81"/>
        <v>0</v>
      </c>
      <c r="YS14" s="93">
        <v>46127</v>
      </c>
      <c r="YT14" s="89"/>
      <c r="YU14" s="82"/>
      <c r="YW14" s="84"/>
      <c r="YX14" s="87"/>
      <c r="YY14" s="87"/>
      <c r="YZ14" s="87">
        <f t="shared" si="82"/>
        <v>0</v>
      </c>
      <c r="ZA14" s="93">
        <v>46127</v>
      </c>
      <c r="ZB14" s="89"/>
      <c r="ZC14" s="82"/>
      <c r="ZE14" s="84"/>
      <c r="ZF14" s="87"/>
      <c r="ZG14" s="87"/>
      <c r="ZH14" s="87">
        <f t="shared" si="83"/>
        <v>0</v>
      </c>
      <c r="ZI14" s="93">
        <v>46127</v>
      </c>
      <c r="ZJ14" s="89"/>
      <c r="ZK14" s="82"/>
      <c r="ZM14" s="84"/>
      <c r="ZN14" s="87"/>
      <c r="ZO14" s="87"/>
      <c r="ZP14" s="87">
        <f t="shared" si="84"/>
        <v>0</v>
      </c>
      <c r="ZQ14" s="93">
        <v>46127</v>
      </c>
      <c r="ZR14" s="89"/>
      <c r="ZS14" s="82"/>
      <c r="ZU14" s="84"/>
      <c r="ZV14" s="87"/>
      <c r="ZW14" s="87"/>
      <c r="ZX14" s="87">
        <f t="shared" si="85"/>
        <v>0</v>
      </c>
      <c r="ZY14" s="93">
        <v>46127</v>
      </c>
      <c r="ZZ14" s="89"/>
      <c r="AAA14" s="82"/>
      <c r="AAC14" s="84"/>
      <c r="AAD14" s="87"/>
      <c r="AAE14" s="87"/>
      <c r="AAF14" s="87">
        <f t="shared" si="86"/>
        <v>0</v>
      </c>
      <c r="AAG14" s="93">
        <v>46127</v>
      </c>
      <c r="AAH14" s="89"/>
      <c r="AAI14" s="82"/>
      <c r="AAK14" s="84"/>
      <c r="AAL14" s="87"/>
      <c r="AAM14" s="87"/>
      <c r="AAN14" s="87">
        <f t="shared" si="87"/>
        <v>0</v>
      </c>
      <c r="AAO14" s="93">
        <v>46127</v>
      </c>
      <c r="AAP14" s="89"/>
      <c r="AAQ14" s="82"/>
      <c r="AAS14" s="84"/>
      <c r="AAT14" s="87"/>
      <c r="AAU14" s="87"/>
      <c r="AAV14" s="87">
        <f t="shared" si="88"/>
        <v>0</v>
      </c>
      <c r="AAW14" s="93">
        <v>46127</v>
      </c>
      <c r="AAX14" s="89"/>
      <c r="AAY14" s="82"/>
      <c r="ABA14" s="84"/>
      <c r="ABB14" s="87"/>
      <c r="ABC14" s="87"/>
      <c r="ABD14" s="87">
        <f t="shared" si="89"/>
        <v>0</v>
      </c>
      <c r="ABE14" s="93">
        <v>46127</v>
      </c>
      <c r="ABF14" s="89"/>
      <c r="ABG14" s="82"/>
      <c r="ABI14" s="84"/>
      <c r="ABJ14" s="87"/>
      <c r="ABK14" s="87"/>
      <c r="ABL14" s="87">
        <f t="shared" si="90"/>
        <v>0</v>
      </c>
      <c r="ABM14" s="93">
        <v>46127</v>
      </c>
      <c r="ABN14" s="89"/>
      <c r="ABO14" s="82"/>
      <c r="ABQ14" s="84"/>
      <c r="ABR14" s="87"/>
      <c r="ABS14" s="87"/>
      <c r="ABT14" s="87">
        <f t="shared" si="91"/>
        <v>0</v>
      </c>
      <c r="ABU14" s="93">
        <v>46127</v>
      </c>
      <c r="ABV14" s="89"/>
      <c r="ABW14" s="82"/>
      <c r="ABY14" s="84"/>
      <c r="ABZ14" s="87"/>
      <c r="ACA14" s="87"/>
      <c r="ACB14" s="87">
        <f t="shared" si="92"/>
        <v>0</v>
      </c>
      <c r="ACC14" s="93">
        <v>46127</v>
      </c>
      <c r="ACD14" s="89"/>
      <c r="ACE14" s="82"/>
    </row>
    <row r="15" spans="1:759" ht="12" customHeight="1" thickBot="1" x14ac:dyDescent="0.3">
      <c r="A15" s="10"/>
      <c r="B15" s="350"/>
      <c r="C15" s="222"/>
      <c r="D15" s="87">
        <f t="shared" si="2"/>
        <v>1700</v>
      </c>
      <c r="E15" s="93">
        <v>46127</v>
      </c>
      <c r="F15" s="374"/>
      <c r="G15" s="382"/>
      <c r="H15" s="72"/>
      <c r="I15" s="10"/>
      <c r="J15" s="87"/>
      <c r="K15" s="87"/>
      <c r="L15" s="87">
        <f t="shared" si="0"/>
        <v>1000</v>
      </c>
      <c r="M15" s="164">
        <v>46127</v>
      </c>
      <c r="N15" s="220"/>
      <c r="O15" s="82"/>
      <c r="Q15" s="84"/>
      <c r="R15" s="222"/>
      <c r="S15" s="222"/>
      <c r="T15" s="87">
        <f t="shared" si="1"/>
        <v>4000</v>
      </c>
      <c r="U15" s="93">
        <v>46127</v>
      </c>
      <c r="V15" s="220"/>
      <c r="W15" s="82"/>
      <c r="X15" s="162"/>
      <c r="Y15" s="84"/>
      <c r="Z15" s="222"/>
      <c r="AA15" s="222"/>
      <c r="AB15" s="222">
        <f t="shared" si="3"/>
        <v>1000</v>
      </c>
      <c r="AC15" s="93">
        <v>46127</v>
      </c>
      <c r="AD15" s="220"/>
      <c r="AE15" s="82"/>
      <c r="AF15" s="162"/>
      <c r="AG15" s="84"/>
      <c r="AH15" s="222"/>
      <c r="AI15" s="222"/>
      <c r="AJ15" s="87">
        <f t="shared" si="4"/>
        <v>2000</v>
      </c>
      <c r="AK15" s="93">
        <v>46127</v>
      </c>
      <c r="AL15" s="220"/>
      <c r="AM15" s="389"/>
      <c r="AN15" s="412"/>
      <c r="AO15" s="84"/>
      <c r="AP15" s="222"/>
      <c r="AQ15" s="222"/>
      <c r="AR15" s="87">
        <f t="shared" si="5"/>
        <v>1000</v>
      </c>
      <c r="AS15" s="93">
        <v>46127</v>
      </c>
      <c r="AT15" s="220"/>
      <c r="AU15" s="82"/>
      <c r="AV15" s="72"/>
      <c r="AW15" s="84"/>
      <c r="AX15" s="87"/>
      <c r="AY15" s="87"/>
      <c r="AZ15" s="87">
        <f t="shared" si="6"/>
        <v>1150</v>
      </c>
      <c r="BA15" s="93">
        <v>46127</v>
      </c>
      <c r="BB15" s="374"/>
      <c r="BC15" s="82"/>
      <c r="BE15" s="84"/>
      <c r="BF15" s="87"/>
      <c r="BG15" s="87"/>
      <c r="BH15" s="87">
        <f t="shared" si="7"/>
        <v>7000</v>
      </c>
      <c r="BI15" s="93">
        <v>46127</v>
      </c>
      <c r="BJ15" s="220"/>
      <c r="BK15" s="82"/>
      <c r="BM15" s="84"/>
      <c r="BN15" s="222"/>
      <c r="BO15" s="222"/>
      <c r="BP15" s="87">
        <f t="shared" si="8"/>
        <v>1000</v>
      </c>
      <c r="BQ15" s="93">
        <v>46127</v>
      </c>
      <c r="BR15" s="220"/>
      <c r="BS15" s="82"/>
      <c r="BT15" s="162"/>
      <c r="BU15" s="84"/>
      <c r="BV15" s="87"/>
      <c r="BW15" s="87"/>
      <c r="BX15" s="87">
        <f t="shared" si="9"/>
        <v>0</v>
      </c>
      <c r="BY15" s="93">
        <v>46127</v>
      </c>
      <c r="BZ15" s="220"/>
      <c r="CA15" s="82"/>
      <c r="CB15" s="198"/>
      <c r="CC15" s="84"/>
      <c r="CD15" s="222"/>
      <c r="CE15" s="222"/>
      <c r="CF15" s="87">
        <f>SUM(CF14,CD15,-CE15)</f>
        <v>0</v>
      </c>
      <c r="CG15" s="96">
        <v>46142</v>
      </c>
      <c r="CH15" s="220"/>
      <c r="CI15" s="82"/>
      <c r="CJ15" s="72"/>
      <c r="CK15" s="84"/>
      <c r="CL15" s="222"/>
      <c r="CM15" s="222"/>
      <c r="CN15" s="87">
        <f t="shared" si="11"/>
        <v>0</v>
      </c>
      <c r="CO15" s="96">
        <v>46142</v>
      </c>
      <c r="CP15" s="220"/>
      <c r="CQ15" s="82"/>
      <c r="CR15" s="72"/>
      <c r="CS15" s="356"/>
      <c r="CT15" s="222"/>
      <c r="CU15" s="222"/>
      <c r="CV15" s="87">
        <f t="shared" si="12"/>
        <v>0</v>
      </c>
      <c r="CW15" s="96">
        <v>46142</v>
      </c>
      <c r="CX15" s="220"/>
      <c r="CY15" s="82"/>
      <c r="CZ15" s="341"/>
      <c r="DA15" s="84"/>
      <c r="DB15" s="222"/>
      <c r="DC15" s="222"/>
      <c r="DD15" s="87">
        <f t="shared" si="13"/>
        <v>0</v>
      </c>
      <c r="DE15" s="96">
        <v>46142</v>
      </c>
      <c r="DF15" s="220"/>
      <c r="DG15" s="82"/>
      <c r="DI15" s="84"/>
      <c r="DJ15" s="222"/>
      <c r="DK15" s="222"/>
      <c r="DL15" s="87">
        <f t="shared" si="14"/>
        <v>0</v>
      </c>
      <c r="DM15" s="93">
        <v>46127</v>
      </c>
      <c r="DN15" s="220"/>
      <c r="DO15" s="82"/>
      <c r="DP15" s="198"/>
      <c r="DQ15" s="84"/>
      <c r="DR15" s="222"/>
      <c r="DS15" s="222"/>
      <c r="DT15" s="87">
        <f t="shared" si="15"/>
        <v>0</v>
      </c>
      <c r="DU15" s="93">
        <v>46127</v>
      </c>
      <c r="DV15" s="220"/>
      <c r="DW15" s="82"/>
      <c r="DX15" s="72"/>
      <c r="DY15" s="84"/>
      <c r="DZ15" s="222"/>
      <c r="EA15" s="222"/>
      <c r="EB15" s="87">
        <f t="shared" si="16"/>
        <v>0</v>
      </c>
      <c r="EC15" s="93">
        <v>46127</v>
      </c>
      <c r="ED15" s="220"/>
      <c r="EE15" s="82"/>
      <c r="EF15" s="72"/>
      <c r="EG15" s="84"/>
      <c r="EH15" s="87"/>
      <c r="EI15" s="87"/>
      <c r="EJ15" s="87">
        <f t="shared" si="17"/>
        <v>0</v>
      </c>
      <c r="EK15" s="93">
        <v>46127</v>
      </c>
      <c r="EL15" s="220"/>
      <c r="EM15" s="82"/>
      <c r="EO15" s="84"/>
      <c r="EP15" s="87"/>
      <c r="EQ15" s="222"/>
      <c r="ER15" s="87">
        <f t="shared" si="18"/>
        <v>0</v>
      </c>
      <c r="ES15" s="93">
        <v>46127</v>
      </c>
      <c r="ET15" s="220"/>
      <c r="EU15" s="82"/>
      <c r="EW15" s="84"/>
      <c r="EX15" s="222"/>
      <c r="EY15" s="222"/>
      <c r="EZ15" s="87">
        <f t="shared" si="19"/>
        <v>0</v>
      </c>
      <c r="FA15" s="93">
        <v>46127</v>
      </c>
      <c r="FB15" s="220"/>
      <c r="FC15" s="82"/>
      <c r="FD15" s="102"/>
      <c r="FE15" s="84"/>
      <c r="FF15" s="87"/>
      <c r="FG15" s="87"/>
      <c r="FH15" s="87">
        <f t="shared" si="93"/>
        <v>0</v>
      </c>
      <c r="FI15" s="93">
        <v>46127</v>
      </c>
      <c r="FJ15" s="220"/>
      <c r="FK15" s="82"/>
      <c r="FL15" s="198"/>
      <c r="FM15" s="84"/>
      <c r="FN15" s="87"/>
      <c r="FO15" s="87"/>
      <c r="FP15" s="87">
        <f t="shared" si="20"/>
        <v>0</v>
      </c>
      <c r="FQ15" s="93">
        <v>46127</v>
      </c>
      <c r="FR15" s="220"/>
      <c r="FS15" s="82"/>
      <c r="FT15" s="59"/>
      <c r="FU15" s="103"/>
      <c r="FV15" s="86"/>
      <c r="FW15" s="222"/>
      <c r="FX15" s="87">
        <f t="shared" si="21"/>
        <v>0</v>
      </c>
      <c r="FY15" s="164">
        <v>46127</v>
      </c>
      <c r="FZ15" s="220"/>
      <c r="GA15" s="82"/>
      <c r="GB15" s="43"/>
      <c r="GC15" s="84"/>
      <c r="GD15" s="222"/>
      <c r="GE15" s="222"/>
      <c r="GF15" s="87">
        <f t="shared" si="22"/>
        <v>0</v>
      </c>
      <c r="GG15" s="93">
        <v>46127</v>
      </c>
      <c r="GH15" s="220"/>
      <c r="GI15" s="82"/>
      <c r="GJ15"/>
      <c r="GK15" s="84"/>
      <c r="GL15" s="87"/>
      <c r="GM15" s="87"/>
      <c r="GN15" s="87">
        <f t="shared" si="23"/>
        <v>0</v>
      </c>
      <c r="GO15" s="96">
        <v>46142</v>
      </c>
      <c r="GP15" s="220"/>
      <c r="GQ15" s="82"/>
      <c r="GS15" s="84"/>
      <c r="GT15" s="222"/>
      <c r="GU15" s="222"/>
      <c r="GV15" s="87">
        <f t="shared" si="24"/>
        <v>0</v>
      </c>
      <c r="GW15" s="96">
        <v>46142</v>
      </c>
      <c r="GX15" s="220"/>
      <c r="GY15" s="82"/>
      <c r="GZ15"/>
      <c r="HA15" s="84"/>
      <c r="HB15" s="87"/>
      <c r="HC15" s="87"/>
      <c r="HD15" s="87">
        <f t="shared" si="25"/>
        <v>0</v>
      </c>
      <c r="HE15" s="96">
        <v>46142</v>
      </c>
      <c r="HF15" s="220"/>
      <c r="HG15" s="82"/>
      <c r="HH15" s="303"/>
      <c r="HI15" s="84"/>
      <c r="HJ15" s="222"/>
      <c r="HK15" s="222"/>
      <c r="HL15" s="87">
        <f t="shared" si="26"/>
        <v>0</v>
      </c>
      <c r="HM15" s="96">
        <v>46142</v>
      </c>
      <c r="HN15" s="220"/>
      <c r="HO15" s="82"/>
      <c r="HQ15" s="84"/>
      <c r="HR15" s="87"/>
      <c r="HS15" s="222"/>
      <c r="HT15" s="87">
        <f t="shared" si="27"/>
        <v>0</v>
      </c>
      <c r="HU15" s="96">
        <v>46142</v>
      </c>
      <c r="HV15" s="220"/>
      <c r="HW15" s="82"/>
      <c r="HY15" s="84"/>
      <c r="HZ15" s="87"/>
      <c r="IA15" s="87"/>
      <c r="IB15" s="87">
        <f t="shared" si="28"/>
        <v>0</v>
      </c>
      <c r="IC15" s="96">
        <v>46142</v>
      </c>
      <c r="ID15" s="89"/>
      <c r="IE15" s="82"/>
      <c r="IG15" s="84"/>
      <c r="IH15" s="87"/>
      <c r="II15" s="87"/>
      <c r="IJ15" s="87">
        <f t="shared" si="29"/>
        <v>0</v>
      </c>
      <c r="IK15" s="96">
        <v>46142</v>
      </c>
      <c r="IL15" s="91"/>
      <c r="IM15" s="82"/>
      <c r="IO15" s="84"/>
      <c r="IP15" s="87"/>
      <c r="IQ15" s="87"/>
      <c r="IR15" s="87">
        <f t="shared" si="30"/>
        <v>0</v>
      </c>
      <c r="IS15" s="96">
        <v>46142</v>
      </c>
      <c r="IT15" s="91"/>
      <c r="IU15" s="82"/>
      <c r="IW15" s="84"/>
      <c r="IX15" s="87"/>
      <c r="IY15" s="87"/>
      <c r="IZ15" s="87">
        <f t="shared" si="31"/>
        <v>0</v>
      </c>
      <c r="JA15" s="96">
        <v>46142</v>
      </c>
      <c r="JB15" s="89"/>
      <c r="JC15" s="82"/>
      <c r="JE15" s="84"/>
      <c r="JF15" s="87"/>
      <c r="JG15" s="87"/>
      <c r="JH15" s="87">
        <f t="shared" si="32"/>
        <v>0</v>
      </c>
      <c r="JI15" s="96">
        <v>46142</v>
      </c>
      <c r="JJ15" s="220"/>
      <c r="JK15" s="82"/>
      <c r="JM15" s="84"/>
      <c r="JN15" s="87"/>
      <c r="JO15" s="87"/>
      <c r="JP15" s="87">
        <f t="shared" si="33"/>
        <v>0</v>
      </c>
      <c r="JQ15" s="164">
        <v>46142</v>
      </c>
      <c r="JR15" s="91"/>
      <c r="JS15" s="82"/>
      <c r="JU15" s="84"/>
      <c r="JV15" s="87"/>
      <c r="JW15" s="87"/>
      <c r="JX15" s="87">
        <f t="shared" si="94"/>
        <v>0</v>
      </c>
      <c r="JY15" s="164">
        <v>46142</v>
      </c>
      <c r="JZ15" s="91"/>
      <c r="KA15" s="82"/>
      <c r="KC15" s="84"/>
      <c r="KD15" s="87"/>
      <c r="KE15" s="87"/>
      <c r="KF15" s="87">
        <f t="shared" si="34"/>
        <v>0</v>
      </c>
      <c r="KG15" s="164">
        <v>46142</v>
      </c>
      <c r="KH15" s="222"/>
      <c r="KI15" s="109"/>
      <c r="KK15" s="84"/>
      <c r="KL15" s="87"/>
      <c r="KM15" s="87"/>
      <c r="KN15" s="87">
        <f t="shared" si="35"/>
        <v>0</v>
      </c>
      <c r="KO15" s="164">
        <v>46142</v>
      </c>
      <c r="KP15" s="89"/>
      <c r="KQ15" s="82"/>
      <c r="KR15"/>
      <c r="KS15" s="84"/>
      <c r="KT15" s="87"/>
      <c r="KU15" s="87"/>
      <c r="KV15" s="87">
        <f t="shared" si="36"/>
        <v>0</v>
      </c>
      <c r="KW15" s="96">
        <v>46142</v>
      </c>
      <c r="KX15" s="89"/>
      <c r="KY15" s="82"/>
      <c r="KZ15"/>
      <c r="LA15" s="84"/>
      <c r="LB15" s="87"/>
      <c r="LC15" s="87"/>
      <c r="LD15" s="87">
        <f t="shared" si="37"/>
        <v>0</v>
      </c>
      <c r="LE15" s="164">
        <v>46142</v>
      </c>
      <c r="LF15" s="89"/>
      <c r="LG15" s="192"/>
      <c r="LH15"/>
      <c r="LI15" s="84"/>
      <c r="LJ15" s="87"/>
      <c r="LK15" s="87"/>
      <c r="LL15" s="87">
        <f t="shared" si="38"/>
        <v>0</v>
      </c>
      <c r="LM15" s="96">
        <v>46142</v>
      </c>
      <c r="LN15" s="89"/>
      <c r="LO15" s="82"/>
      <c r="LQ15" s="84"/>
      <c r="LR15" s="87"/>
      <c r="LS15" s="87"/>
      <c r="LT15" s="87">
        <f t="shared" si="39"/>
        <v>0</v>
      </c>
      <c r="LU15" s="96">
        <v>46142</v>
      </c>
      <c r="LV15" s="89"/>
      <c r="LW15" s="82"/>
      <c r="LY15" s="84"/>
      <c r="LZ15" s="87"/>
      <c r="MA15" s="87"/>
      <c r="MB15" s="87">
        <f t="shared" si="40"/>
        <v>0</v>
      </c>
      <c r="MC15" s="96">
        <v>46142</v>
      </c>
      <c r="MD15" s="89"/>
      <c r="ME15" s="82"/>
      <c r="MG15" s="84"/>
      <c r="MH15" s="87"/>
      <c r="MI15" s="87"/>
      <c r="MJ15" s="87">
        <f t="shared" si="41"/>
        <v>0</v>
      </c>
      <c r="MK15" s="96">
        <v>46142</v>
      </c>
      <c r="ML15" s="89"/>
      <c r="MM15" s="82"/>
      <c r="MN15"/>
      <c r="MO15" s="103"/>
      <c r="MP15" s="86"/>
      <c r="MQ15" s="86"/>
      <c r="MR15" s="86">
        <f t="shared" si="42"/>
        <v>0</v>
      </c>
      <c r="MS15" s="107">
        <v>46142</v>
      </c>
      <c r="MT15" s="91"/>
      <c r="MU15" s="82"/>
      <c r="MW15" s="84"/>
      <c r="MX15" s="87"/>
      <c r="MY15" s="87"/>
      <c r="MZ15" s="87">
        <f t="shared" si="43"/>
        <v>0</v>
      </c>
      <c r="NA15" s="96">
        <v>46142</v>
      </c>
      <c r="NB15" s="89"/>
      <c r="NC15" s="82"/>
      <c r="NE15" s="84"/>
      <c r="NF15" s="87"/>
      <c r="NG15" s="87"/>
      <c r="NH15" s="87">
        <f t="shared" si="44"/>
        <v>0</v>
      </c>
      <c r="NI15" s="96">
        <v>46142</v>
      </c>
      <c r="NJ15" s="89"/>
      <c r="NK15" s="82"/>
      <c r="NM15" s="84"/>
      <c r="NN15" s="87"/>
      <c r="NO15" s="87"/>
      <c r="NP15" s="87">
        <f t="shared" si="45"/>
        <v>0</v>
      </c>
      <c r="NQ15" s="96">
        <v>46142</v>
      </c>
      <c r="NR15" s="91"/>
      <c r="NS15" s="82"/>
      <c r="NU15" s="84"/>
      <c r="NV15" s="87"/>
      <c r="NW15" s="87"/>
      <c r="NX15" s="87">
        <f t="shared" si="46"/>
        <v>0</v>
      </c>
      <c r="NY15" s="96">
        <v>46142</v>
      </c>
      <c r="NZ15" s="89"/>
      <c r="OA15" s="82"/>
      <c r="OC15" s="84"/>
      <c r="OD15" s="87"/>
      <c r="OE15" s="87"/>
      <c r="OF15" s="87">
        <f t="shared" si="47"/>
        <v>0</v>
      </c>
      <c r="OG15" s="96">
        <v>46142</v>
      </c>
      <c r="OH15" s="89"/>
      <c r="OI15" s="82"/>
      <c r="OK15" s="103"/>
      <c r="OL15" s="87"/>
      <c r="OM15" s="86"/>
      <c r="ON15" s="87">
        <f t="shared" si="48"/>
        <v>0</v>
      </c>
      <c r="OO15" s="96">
        <v>46142</v>
      </c>
      <c r="OP15" s="91"/>
      <c r="OQ15" s="82"/>
      <c r="OS15" s="84"/>
      <c r="OT15" s="87"/>
      <c r="OU15" s="87"/>
      <c r="OV15" s="87">
        <f t="shared" si="49"/>
        <v>0</v>
      </c>
      <c r="OW15" s="96">
        <v>46142</v>
      </c>
      <c r="OX15" s="89"/>
      <c r="OY15" s="82"/>
      <c r="PA15" s="84"/>
      <c r="PB15" s="87"/>
      <c r="PC15" s="87"/>
      <c r="PD15" s="87">
        <f t="shared" si="50"/>
        <v>0</v>
      </c>
      <c r="PE15" s="96">
        <v>46142</v>
      </c>
      <c r="PF15" s="89"/>
      <c r="PG15" s="82"/>
      <c r="PH15"/>
      <c r="PI15" s="84"/>
      <c r="PJ15" s="87"/>
      <c r="PK15" s="87"/>
      <c r="PL15" s="87">
        <f t="shared" si="51"/>
        <v>0</v>
      </c>
      <c r="PM15" s="96">
        <v>46142</v>
      </c>
      <c r="PN15" s="211"/>
      <c r="PO15" s="216"/>
      <c r="PP15"/>
      <c r="PQ15" s="84"/>
      <c r="PR15" s="87"/>
      <c r="PS15" s="87"/>
      <c r="PT15" s="87">
        <f t="shared" si="52"/>
        <v>0</v>
      </c>
      <c r="PU15" s="96">
        <v>46142</v>
      </c>
      <c r="PV15" s="89"/>
      <c r="PW15" s="82"/>
      <c r="PY15" s="84"/>
      <c r="PZ15" s="87"/>
      <c r="QA15" s="87"/>
      <c r="QB15" s="87">
        <f t="shared" si="53"/>
        <v>0</v>
      </c>
      <c r="QC15" s="96">
        <v>46142</v>
      </c>
      <c r="QD15" s="91"/>
      <c r="QE15" s="82"/>
      <c r="QG15" s="84"/>
      <c r="QH15" s="87"/>
      <c r="QI15" s="87"/>
      <c r="QJ15" s="87">
        <f>SUM(QJ14,QH15,-QI15)</f>
        <v>0</v>
      </c>
      <c r="QK15" s="96">
        <v>46142</v>
      </c>
      <c r="QL15" s="91"/>
      <c r="QM15" s="82"/>
      <c r="QO15" s="84"/>
      <c r="QP15" s="87"/>
      <c r="QQ15" s="87"/>
      <c r="QR15" s="87">
        <f t="shared" si="55"/>
        <v>0</v>
      </c>
      <c r="QS15" s="96">
        <v>46142</v>
      </c>
      <c r="QT15" s="212"/>
      <c r="QU15" s="216"/>
      <c r="QW15" s="84"/>
      <c r="QX15" s="87"/>
      <c r="QY15" s="87"/>
      <c r="QZ15" s="87">
        <f t="shared" si="56"/>
        <v>0</v>
      </c>
      <c r="RA15" s="96">
        <v>46142</v>
      </c>
      <c r="RB15" s="89"/>
      <c r="RC15" s="82"/>
      <c r="RE15" s="84"/>
      <c r="RF15" s="87"/>
      <c r="RG15" s="87"/>
      <c r="RH15" s="87">
        <f t="shared" si="57"/>
        <v>0</v>
      </c>
      <c r="RI15" s="96">
        <v>46142</v>
      </c>
      <c r="RJ15" s="89"/>
      <c r="RK15" s="170"/>
      <c r="RM15" s="84"/>
      <c r="RN15" s="87"/>
      <c r="RO15" s="87"/>
      <c r="RP15" s="87">
        <f t="shared" si="58"/>
        <v>0</v>
      </c>
      <c r="RQ15" s="96">
        <v>46142</v>
      </c>
      <c r="RR15" s="89"/>
      <c r="RS15" s="82"/>
      <c r="RU15" s="84"/>
      <c r="RV15" s="87"/>
      <c r="RW15" s="87"/>
      <c r="RX15" s="87">
        <f t="shared" si="59"/>
        <v>0</v>
      </c>
      <c r="RY15" s="96">
        <v>46142</v>
      </c>
      <c r="RZ15" s="89"/>
      <c r="SA15" s="82"/>
      <c r="SC15" s="84"/>
      <c r="SD15" s="87"/>
      <c r="SE15" s="87"/>
      <c r="SF15" s="87">
        <f t="shared" si="60"/>
        <v>0</v>
      </c>
      <c r="SG15" s="96">
        <v>46142</v>
      </c>
      <c r="SH15" s="89"/>
      <c r="SI15" s="82"/>
      <c r="SK15" s="103"/>
      <c r="SL15" s="86"/>
      <c r="SM15" s="86"/>
      <c r="SN15" s="87">
        <f t="shared" si="61"/>
        <v>0</v>
      </c>
      <c r="SO15" s="96">
        <v>46142</v>
      </c>
      <c r="SP15" s="91"/>
      <c r="SQ15" s="82"/>
      <c r="SS15" s="84"/>
      <c r="ST15" s="87"/>
      <c r="SU15" s="87"/>
      <c r="SV15" s="87">
        <f t="shared" si="62"/>
        <v>0</v>
      </c>
      <c r="SW15" s="96">
        <v>46142</v>
      </c>
      <c r="SX15" s="89"/>
      <c r="SY15" s="82"/>
      <c r="TA15" s="84"/>
      <c r="TB15" s="87"/>
      <c r="TC15" s="87"/>
      <c r="TD15" s="87">
        <f t="shared" si="63"/>
        <v>0</v>
      </c>
      <c r="TE15" s="96">
        <v>46142</v>
      </c>
      <c r="TF15" s="91"/>
      <c r="TG15" s="82"/>
      <c r="TI15" s="84"/>
      <c r="TJ15" s="87"/>
      <c r="TK15" s="87"/>
      <c r="TL15" s="87">
        <f t="shared" si="64"/>
        <v>0</v>
      </c>
      <c r="TM15" s="96">
        <v>46142</v>
      </c>
      <c r="TN15" s="89"/>
      <c r="TO15" s="82"/>
      <c r="TQ15" s="84"/>
      <c r="TR15" s="87"/>
      <c r="TS15" s="87"/>
      <c r="TT15" s="87">
        <f t="shared" si="65"/>
        <v>0</v>
      </c>
      <c r="TU15" s="96">
        <v>46142</v>
      </c>
      <c r="TV15" s="173"/>
      <c r="TW15" s="82"/>
      <c r="TY15" s="84"/>
      <c r="TZ15" s="87"/>
      <c r="UA15" s="87"/>
      <c r="UB15" s="87">
        <f t="shared" si="66"/>
        <v>0</v>
      </c>
      <c r="UC15" s="96">
        <v>46142</v>
      </c>
      <c r="UD15" s="89"/>
      <c r="UE15" s="82"/>
      <c r="UG15" s="84"/>
      <c r="UH15" s="87"/>
      <c r="UI15" s="87"/>
      <c r="UJ15" s="87">
        <f t="shared" si="67"/>
        <v>0</v>
      </c>
      <c r="UK15" s="96">
        <v>46142</v>
      </c>
      <c r="UL15" s="89"/>
      <c r="UM15" s="82"/>
      <c r="UO15" s="84"/>
      <c r="UP15" s="87"/>
      <c r="UQ15" s="87"/>
      <c r="UR15" s="87">
        <f t="shared" si="68"/>
        <v>0</v>
      </c>
      <c r="US15" s="96">
        <v>46142</v>
      </c>
      <c r="UT15" s="89"/>
      <c r="UU15" s="82"/>
      <c r="UW15" s="84"/>
      <c r="UX15" s="87"/>
      <c r="UY15" s="87"/>
      <c r="UZ15" s="87">
        <f t="shared" si="69"/>
        <v>0</v>
      </c>
      <c r="VA15" s="96">
        <v>46142</v>
      </c>
      <c r="VB15" s="89"/>
      <c r="VC15" s="82"/>
      <c r="VE15" s="84"/>
      <c r="VF15" s="87"/>
      <c r="VG15" s="87"/>
      <c r="VH15" s="87">
        <f t="shared" si="70"/>
        <v>0</v>
      </c>
      <c r="VI15" s="96">
        <v>46142</v>
      </c>
      <c r="VJ15" s="89"/>
      <c r="VK15" s="82"/>
      <c r="VM15" s="84"/>
      <c r="VN15" s="87"/>
      <c r="VO15" s="87"/>
      <c r="VP15" s="87">
        <f t="shared" si="71"/>
        <v>0</v>
      </c>
      <c r="VQ15" s="96">
        <v>46142</v>
      </c>
      <c r="VR15" s="89"/>
      <c r="VS15" s="82"/>
      <c r="VU15" s="10"/>
      <c r="VV15" s="87"/>
      <c r="VW15" s="87"/>
      <c r="VX15" s="87">
        <f t="shared" si="72"/>
        <v>0</v>
      </c>
      <c r="VY15" s="96">
        <v>46142</v>
      </c>
      <c r="VZ15" s="89"/>
      <c r="WA15" s="82"/>
      <c r="WC15" s="84"/>
      <c r="WD15" s="87"/>
      <c r="WE15" s="87"/>
      <c r="WF15" s="87">
        <f t="shared" si="73"/>
        <v>0</v>
      </c>
      <c r="WG15" s="96">
        <v>46142</v>
      </c>
      <c r="WH15" s="89"/>
      <c r="WI15" s="82"/>
      <c r="WK15" s="84"/>
      <c r="WL15" s="87"/>
      <c r="WM15" s="87"/>
      <c r="WN15" s="87">
        <f t="shared" si="74"/>
        <v>0</v>
      </c>
      <c r="WO15" s="96">
        <v>46142</v>
      </c>
      <c r="WP15" s="89"/>
      <c r="WQ15" s="82"/>
      <c r="WS15" s="84"/>
      <c r="WT15" s="87"/>
      <c r="WU15" s="87"/>
      <c r="WV15" s="87">
        <f t="shared" si="75"/>
        <v>0</v>
      </c>
      <c r="WW15" s="96">
        <v>46142</v>
      </c>
      <c r="WX15" s="91"/>
      <c r="WY15" s="82"/>
      <c r="XA15" s="84"/>
      <c r="XB15" s="87"/>
      <c r="XC15" s="87"/>
      <c r="XD15" s="87">
        <f t="shared" si="76"/>
        <v>0</v>
      </c>
      <c r="XE15" s="96">
        <v>46142</v>
      </c>
      <c r="XF15" s="91"/>
      <c r="XG15" s="82"/>
      <c r="XI15" s="84"/>
      <c r="XJ15" s="87"/>
      <c r="XK15" s="87"/>
      <c r="XL15" s="87">
        <f t="shared" si="77"/>
        <v>0</v>
      </c>
      <c r="XM15" s="96">
        <v>46142</v>
      </c>
      <c r="XN15" s="91"/>
      <c r="XO15" s="82"/>
      <c r="XQ15" s="185"/>
      <c r="XR15" s="87"/>
      <c r="XS15" s="87"/>
      <c r="XT15" s="87">
        <f t="shared" si="78"/>
        <v>0</v>
      </c>
      <c r="XU15" s="96">
        <v>46142</v>
      </c>
      <c r="XV15" s="91"/>
      <c r="XW15" s="82"/>
      <c r="XY15" s="84"/>
      <c r="XZ15" s="87"/>
      <c r="YA15" s="87"/>
      <c r="YB15" s="87">
        <f t="shared" si="79"/>
        <v>0</v>
      </c>
      <c r="YC15" s="96">
        <v>46142</v>
      </c>
      <c r="YD15" s="89"/>
      <c r="YE15" s="82"/>
      <c r="YG15" s="84"/>
      <c r="YH15" s="87"/>
      <c r="YI15" s="87"/>
      <c r="YJ15" s="87">
        <f t="shared" si="80"/>
        <v>0</v>
      </c>
      <c r="YK15" s="96">
        <v>46142</v>
      </c>
      <c r="YL15" s="89"/>
      <c r="YM15" s="82"/>
      <c r="YO15" s="84"/>
      <c r="YP15" s="87"/>
      <c r="YQ15" s="87"/>
      <c r="YR15" s="87">
        <f t="shared" si="81"/>
        <v>0</v>
      </c>
      <c r="YS15" s="96">
        <v>46142</v>
      </c>
      <c r="YT15" s="89"/>
      <c r="YU15" s="82"/>
      <c r="YW15" s="84"/>
      <c r="YX15" s="87"/>
      <c r="YY15" s="87"/>
      <c r="YZ15" s="87">
        <f t="shared" si="82"/>
        <v>0</v>
      </c>
      <c r="ZA15" s="96">
        <v>46142</v>
      </c>
      <c r="ZB15" s="89"/>
      <c r="ZC15" s="82"/>
      <c r="ZE15" s="84"/>
      <c r="ZF15" s="87"/>
      <c r="ZG15" s="87"/>
      <c r="ZH15" s="87">
        <f t="shared" si="83"/>
        <v>0</v>
      </c>
      <c r="ZI15" s="96">
        <v>46142</v>
      </c>
      <c r="ZJ15" s="89"/>
      <c r="ZK15" s="82"/>
      <c r="ZM15" s="84"/>
      <c r="ZN15" s="87"/>
      <c r="ZO15" s="87"/>
      <c r="ZP15" s="87">
        <f t="shared" si="84"/>
        <v>0</v>
      </c>
      <c r="ZQ15" s="96">
        <v>46142</v>
      </c>
      <c r="ZR15" s="89"/>
      <c r="ZS15" s="82"/>
      <c r="ZU15" s="84"/>
      <c r="ZV15" s="87"/>
      <c r="ZW15" s="87"/>
      <c r="ZX15" s="87">
        <f t="shared" si="85"/>
        <v>0</v>
      </c>
      <c r="ZY15" s="96">
        <v>46142</v>
      </c>
      <c r="ZZ15" s="89"/>
      <c r="AAA15" s="82"/>
      <c r="AAC15" s="84"/>
      <c r="AAD15" s="87"/>
      <c r="AAE15" s="87"/>
      <c r="AAF15" s="87">
        <f t="shared" si="86"/>
        <v>0</v>
      </c>
      <c r="AAG15" s="96">
        <v>46142</v>
      </c>
      <c r="AAH15" s="89"/>
      <c r="AAI15" s="82"/>
      <c r="AAK15" s="84"/>
      <c r="AAL15" s="87"/>
      <c r="AAM15" s="87"/>
      <c r="AAN15" s="87">
        <f t="shared" si="87"/>
        <v>0</v>
      </c>
      <c r="AAO15" s="96">
        <v>46142</v>
      </c>
      <c r="AAP15" s="89"/>
      <c r="AAQ15" s="82"/>
      <c r="AAS15" s="84"/>
      <c r="AAT15" s="87"/>
      <c r="AAU15" s="87"/>
      <c r="AAV15" s="87">
        <f t="shared" si="88"/>
        <v>0</v>
      </c>
      <c r="AAW15" s="96">
        <v>46142</v>
      </c>
      <c r="AAX15" s="89"/>
      <c r="AAY15" s="82"/>
      <c r="ABA15" s="84"/>
      <c r="ABB15" s="87"/>
      <c r="ABC15" s="87"/>
      <c r="ABD15" s="87">
        <f t="shared" si="89"/>
        <v>0</v>
      </c>
      <c r="ABE15" s="96">
        <v>46142</v>
      </c>
      <c r="ABF15" s="89"/>
      <c r="ABG15" s="82"/>
      <c r="ABI15" s="84"/>
      <c r="ABJ15" s="87"/>
      <c r="ABK15" s="87"/>
      <c r="ABL15" s="87">
        <f t="shared" si="90"/>
        <v>0</v>
      </c>
      <c r="ABM15" s="96">
        <v>46142</v>
      </c>
      <c r="ABN15" s="89"/>
      <c r="ABO15" s="82"/>
      <c r="ABQ15" s="84"/>
      <c r="ABR15" s="87"/>
      <c r="ABS15" s="87"/>
      <c r="ABT15" s="87">
        <f t="shared" si="91"/>
        <v>0</v>
      </c>
      <c r="ABU15" s="96">
        <v>46142</v>
      </c>
      <c r="ABV15" s="89"/>
      <c r="ABW15" s="82"/>
      <c r="ABY15" s="84"/>
      <c r="ABZ15" s="87"/>
      <c r="ACA15" s="87"/>
      <c r="ACB15" s="87">
        <f t="shared" si="92"/>
        <v>0</v>
      </c>
      <c r="ACC15" s="96">
        <v>46142</v>
      </c>
      <c r="ACD15" s="89"/>
      <c r="ACE15" s="82"/>
    </row>
    <row r="16" spans="1:759" ht="12" customHeight="1" thickBot="1" x14ac:dyDescent="0.3">
      <c r="A16" s="84"/>
      <c r="B16" s="350"/>
      <c r="C16" s="222"/>
      <c r="D16" s="87">
        <f t="shared" si="2"/>
        <v>1700</v>
      </c>
      <c r="E16" s="96">
        <v>46142</v>
      </c>
      <c r="F16" s="374"/>
      <c r="G16" s="382"/>
      <c r="H16" s="108"/>
      <c r="I16" s="84"/>
      <c r="J16" s="87"/>
      <c r="K16" s="87"/>
      <c r="L16" s="87">
        <f t="shared" si="0"/>
        <v>1000</v>
      </c>
      <c r="M16" s="164">
        <v>46142</v>
      </c>
      <c r="N16" s="220"/>
      <c r="O16" s="82"/>
      <c r="P16" s="198"/>
      <c r="Q16" s="84"/>
      <c r="R16" s="222"/>
      <c r="S16" s="222"/>
      <c r="T16" s="87">
        <f t="shared" si="1"/>
        <v>4000</v>
      </c>
      <c r="U16" s="96">
        <v>46142</v>
      </c>
      <c r="V16" s="220"/>
      <c r="W16" s="82"/>
      <c r="X16" s="162"/>
      <c r="Y16" s="84"/>
      <c r="Z16" s="222"/>
      <c r="AA16" s="222"/>
      <c r="AB16" s="222">
        <f t="shared" si="3"/>
        <v>1000</v>
      </c>
      <c r="AC16" s="96">
        <v>46142</v>
      </c>
      <c r="AD16" s="220"/>
      <c r="AE16" s="82"/>
      <c r="AF16" s="162"/>
      <c r="AG16" s="10"/>
      <c r="AH16" s="222"/>
      <c r="AI16" s="222"/>
      <c r="AJ16" s="87">
        <f t="shared" si="4"/>
        <v>2000</v>
      </c>
      <c r="AK16" s="96">
        <v>46142</v>
      </c>
      <c r="AL16" s="220"/>
      <c r="AM16" s="389"/>
      <c r="AN16" s="413"/>
      <c r="AO16" s="84"/>
      <c r="AP16" s="222"/>
      <c r="AQ16" s="222"/>
      <c r="AR16" s="87">
        <f t="shared" si="5"/>
        <v>1000</v>
      </c>
      <c r="AS16" s="96">
        <v>46142</v>
      </c>
      <c r="AT16" s="220"/>
      <c r="AU16" s="109"/>
      <c r="AV16" s="72"/>
      <c r="AW16" s="84"/>
      <c r="AX16" s="87"/>
      <c r="AY16" s="87"/>
      <c r="AZ16" s="87">
        <f t="shared" si="6"/>
        <v>1150</v>
      </c>
      <c r="BA16" s="96">
        <v>46142</v>
      </c>
      <c r="BB16" s="374"/>
      <c r="BC16" s="82"/>
      <c r="BE16" s="84"/>
      <c r="BF16" s="87"/>
      <c r="BG16" s="86"/>
      <c r="BH16" s="87">
        <f t="shared" si="7"/>
        <v>7000</v>
      </c>
      <c r="BI16" s="96">
        <v>46142</v>
      </c>
      <c r="BJ16" s="220"/>
      <c r="BK16" s="82"/>
      <c r="BM16" s="84"/>
      <c r="BN16" s="222"/>
      <c r="BO16" s="222"/>
      <c r="BP16" s="87">
        <f t="shared" si="8"/>
        <v>1000</v>
      </c>
      <c r="BQ16" s="96">
        <v>46142</v>
      </c>
      <c r="BR16" s="220"/>
      <c r="BS16" s="82"/>
      <c r="BT16" s="162"/>
      <c r="BU16" s="84"/>
      <c r="BV16" s="87"/>
      <c r="BW16" s="87"/>
      <c r="BX16" s="87">
        <f t="shared" si="9"/>
        <v>0</v>
      </c>
      <c r="BY16" s="96">
        <v>46142</v>
      </c>
      <c r="BZ16" s="220"/>
      <c r="CA16" s="82"/>
      <c r="CB16" s="72"/>
      <c r="CC16" s="84"/>
      <c r="CD16" s="222"/>
      <c r="CE16" s="222"/>
      <c r="CF16" s="87">
        <f t="shared" si="10"/>
        <v>0</v>
      </c>
      <c r="CG16" s="80">
        <v>46157</v>
      </c>
      <c r="CH16" s="220"/>
      <c r="CI16" s="82"/>
      <c r="CJ16" s="72"/>
      <c r="CK16" s="84"/>
      <c r="CL16" s="222"/>
      <c r="CM16" s="222"/>
      <c r="CN16" s="87">
        <f t="shared" si="11"/>
        <v>0</v>
      </c>
      <c r="CO16" s="80">
        <v>46157</v>
      </c>
      <c r="CP16" s="220"/>
      <c r="CQ16" s="82"/>
      <c r="CR16" s="72"/>
      <c r="CS16" s="84"/>
      <c r="CT16" s="222"/>
      <c r="CU16" s="222"/>
      <c r="CV16" s="87">
        <f t="shared" si="12"/>
        <v>0</v>
      </c>
      <c r="CW16" s="80">
        <v>46157</v>
      </c>
      <c r="CX16" s="220"/>
      <c r="CY16" s="82"/>
      <c r="CZ16" s="198"/>
      <c r="DA16" s="84"/>
      <c r="DB16" s="222"/>
      <c r="DC16" s="222"/>
      <c r="DD16" s="87">
        <f t="shared" si="13"/>
        <v>0</v>
      </c>
      <c r="DE16" s="80">
        <v>46157</v>
      </c>
      <c r="DF16" s="220"/>
      <c r="DG16" s="82">
        <v>0</v>
      </c>
      <c r="DI16" s="84"/>
      <c r="DJ16" s="222"/>
      <c r="DK16" s="222"/>
      <c r="DL16" s="87">
        <f t="shared" si="14"/>
        <v>0</v>
      </c>
      <c r="DM16" s="96">
        <v>46142</v>
      </c>
      <c r="DN16" s="220"/>
      <c r="DO16" s="82"/>
      <c r="DQ16" s="10"/>
      <c r="DR16" s="222"/>
      <c r="DS16" s="222"/>
      <c r="DT16" s="87">
        <f t="shared" si="15"/>
        <v>0</v>
      </c>
      <c r="DU16" s="96">
        <v>46142</v>
      </c>
      <c r="DV16" s="220"/>
      <c r="DW16" s="82"/>
      <c r="DX16" s="72"/>
      <c r="DY16" s="84"/>
      <c r="DZ16" s="222"/>
      <c r="EA16" s="222"/>
      <c r="EB16" s="87">
        <f t="shared" si="16"/>
        <v>0</v>
      </c>
      <c r="EC16" s="96">
        <v>46142</v>
      </c>
      <c r="ED16" s="220"/>
      <c r="EE16" s="82"/>
      <c r="EF16" s="72"/>
      <c r="EG16" s="84"/>
      <c r="EH16" s="87"/>
      <c r="EI16" s="87"/>
      <c r="EJ16" s="87">
        <f t="shared" si="17"/>
        <v>0</v>
      </c>
      <c r="EK16" s="96">
        <v>46142</v>
      </c>
      <c r="EL16" s="220"/>
      <c r="EM16" s="82"/>
      <c r="EN16" s="198"/>
      <c r="EO16" s="84"/>
      <c r="EP16" s="87"/>
      <c r="EQ16" s="222"/>
      <c r="ER16" s="87">
        <f t="shared" si="18"/>
        <v>0</v>
      </c>
      <c r="ES16" s="96">
        <v>46142</v>
      </c>
      <c r="ET16" s="220"/>
      <c r="EU16" s="82"/>
      <c r="EV16" s="225"/>
      <c r="EW16" s="84"/>
      <c r="EX16" s="222"/>
      <c r="EY16" s="222"/>
      <c r="EZ16" s="87">
        <f t="shared" si="19"/>
        <v>0</v>
      </c>
      <c r="FA16" s="96">
        <v>46142</v>
      </c>
      <c r="FB16" s="220"/>
      <c r="FC16" s="82"/>
      <c r="FE16" s="84"/>
      <c r="FF16" s="87"/>
      <c r="FG16" s="87"/>
      <c r="FH16" s="87">
        <f t="shared" si="93"/>
        <v>0</v>
      </c>
      <c r="FI16" s="96">
        <v>46142</v>
      </c>
      <c r="FJ16" s="220"/>
      <c r="FK16" s="82"/>
      <c r="FL16" s="198"/>
      <c r="FM16" s="84"/>
      <c r="FN16" s="87"/>
      <c r="FO16" s="87"/>
      <c r="FP16" s="87">
        <f t="shared" si="20"/>
        <v>0</v>
      </c>
      <c r="FQ16" s="96">
        <v>46142</v>
      </c>
      <c r="FR16" s="220"/>
      <c r="FS16" s="82"/>
      <c r="FT16" s="59"/>
      <c r="FU16" s="103"/>
      <c r="FV16" s="86"/>
      <c r="FW16" s="222"/>
      <c r="FX16" s="86">
        <f t="shared" si="21"/>
        <v>0</v>
      </c>
      <c r="FY16" s="164">
        <v>46142</v>
      </c>
      <c r="FZ16" s="220"/>
      <c r="GA16" s="82"/>
      <c r="GC16" s="84"/>
      <c r="GD16" s="222"/>
      <c r="GE16" s="222"/>
      <c r="GF16" s="87">
        <f t="shared" si="22"/>
        <v>0</v>
      </c>
      <c r="GG16" s="96">
        <v>46142</v>
      </c>
      <c r="GH16" s="220"/>
      <c r="GI16" s="82"/>
      <c r="GJ16"/>
      <c r="GK16" s="84"/>
      <c r="GL16" s="87"/>
      <c r="GM16" s="87"/>
      <c r="GN16" s="87">
        <f t="shared" si="23"/>
        <v>0</v>
      </c>
      <c r="GO16" s="80">
        <v>46157</v>
      </c>
      <c r="GP16" s="220"/>
      <c r="GQ16" s="82"/>
      <c r="GR16" s="198"/>
      <c r="GS16" s="84"/>
      <c r="GT16" s="222"/>
      <c r="GU16" s="222"/>
      <c r="GV16" s="87">
        <f t="shared" si="24"/>
        <v>0</v>
      </c>
      <c r="GW16" s="80">
        <v>46157</v>
      </c>
      <c r="GX16" s="220"/>
      <c r="GY16" s="82"/>
      <c r="GZ16" s="346"/>
      <c r="HA16" s="84"/>
      <c r="HB16" s="87"/>
      <c r="HC16" s="87"/>
      <c r="HD16" s="87">
        <f t="shared" si="25"/>
        <v>0</v>
      </c>
      <c r="HE16" s="80">
        <v>46157</v>
      </c>
      <c r="HF16" s="220"/>
      <c r="HG16" s="82"/>
      <c r="HH16" s="355"/>
      <c r="HI16" s="84"/>
      <c r="HJ16" s="222"/>
      <c r="HK16" s="222"/>
      <c r="HL16" s="87">
        <f t="shared" si="26"/>
        <v>0</v>
      </c>
      <c r="HM16" s="80">
        <v>46157</v>
      </c>
      <c r="HN16" s="220"/>
      <c r="HO16" s="82"/>
      <c r="HQ16" s="84"/>
      <c r="HR16" s="87"/>
      <c r="HS16" s="222"/>
      <c r="HT16" s="87">
        <f t="shared" si="27"/>
        <v>0</v>
      </c>
      <c r="HU16" s="80">
        <v>46157</v>
      </c>
      <c r="HV16" s="220"/>
      <c r="HW16" s="82"/>
      <c r="HX16"/>
      <c r="HY16" s="84"/>
      <c r="HZ16" s="87"/>
      <c r="IA16" s="87"/>
      <c r="IB16" s="87">
        <f t="shared" si="28"/>
        <v>0</v>
      </c>
      <c r="IC16" s="80">
        <v>46157</v>
      </c>
      <c r="ID16" s="89"/>
      <c r="IE16" s="82"/>
      <c r="IG16" s="10"/>
      <c r="IH16" s="87"/>
      <c r="II16" s="87"/>
      <c r="IJ16" s="87">
        <f t="shared" si="29"/>
        <v>0</v>
      </c>
      <c r="IK16" s="80">
        <v>46157</v>
      </c>
      <c r="IL16" s="91"/>
      <c r="IM16" s="82"/>
      <c r="IO16" s="84"/>
      <c r="IP16" s="87"/>
      <c r="IQ16" s="87"/>
      <c r="IR16" s="87">
        <f t="shared" si="30"/>
        <v>0</v>
      </c>
      <c r="IS16" s="80">
        <v>46157</v>
      </c>
      <c r="IT16" s="91"/>
      <c r="IU16" s="82"/>
      <c r="IW16" s="84"/>
      <c r="IX16" s="87"/>
      <c r="IY16" s="87"/>
      <c r="IZ16" s="87">
        <f t="shared" si="31"/>
        <v>0</v>
      </c>
      <c r="JA16" s="80">
        <v>46157</v>
      </c>
      <c r="JB16" s="89"/>
      <c r="JC16" s="82"/>
      <c r="JE16" s="84"/>
      <c r="JF16" s="87"/>
      <c r="JG16" s="87"/>
      <c r="JH16" s="87">
        <f t="shared" si="32"/>
        <v>0</v>
      </c>
      <c r="JI16" s="80">
        <v>46157</v>
      </c>
      <c r="JJ16" s="220"/>
      <c r="JK16" s="82"/>
      <c r="JM16" s="84"/>
      <c r="JN16" s="87"/>
      <c r="JO16" s="87"/>
      <c r="JP16" s="87">
        <f t="shared" si="33"/>
        <v>0</v>
      </c>
      <c r="JQ16" s="163">
        <v>46157</v>
      </c>
      <c r="JR16" s="91"/>
      <c r="JS16" s="82"/>
      <c r="JU16" s="84"/>
      <c r="JV16" s="87"/>
      <c r="JW16" s="87"/>
      <c r="JX16" s="87">
        <f t="shared" si="94"/>
        <v>0</v>
      </c>
      <c r="JY16" s="163">
        <v>46157</v>
      </c>
      <c r="JZ16" s="91"/>
      <c r="KA16" s="82"/>
      <c r="KC16" s="84"/>
      <c r="KD16" s="87"/>
      <c r="KE16" s="87"/>
      <c r="KF16" s="87">
        <f t="shared" si="34"/>
        <v>0</v>
      </c>
      <c r="KG16" s="163">
        <v>46157</v>
      </c>
      <c r="KH16" s="222"/>
      <c r="KI16" s="109"/>
      <c r="KJ16" s="102"/>
      <c r="KK16" s="84"/>
      <c r="KL16" s="87"/>
      <c r="KM16" s="87"/>
      <c r="KN16" s="87">
        <f t="shared" si="35"/>
        <v>0</v>
      </c>
      <c r="KO16" s="163">
        <v>46157</v>
      </c>
      <c r="KP16" s="89"/>
      <c r="KQ16" s="82"/>
      <c r="KR16"/>
      <c r="KS16" s="84"/>
      <c r="KT16" s="87"/>
      <c r="KU16" s="87"/>
      <c r="KV16" s="87">
        <f t="shared" si="36"/>
        <v>0</v>
      </c>
      <c r="KW16" s="80">
        <v>46157</v>
      </c>
      <c r="KX16" s="89"/>
      <c r="KY16" s="82"/>
      <c r="KZ16"/>
      <c r="LA16" s="84"/>
      <c r="LB16" s="87"/>
      <c r="LC16" s="87"/>
      <c r="LD16" s="87">
        <f t="shared" si="37"/>
        <v>0</v>
      </c>
      <c r="LE16" s="163">
        <v>46157</v>
      </c>
      <c r="LF16" s="89"/>
      <c r="LG16" s="192"/>
      <c r="LH16"/>
      <c r="LI16" s="84"/>
      <c r="LJ16" s="87"/>
      <c r="LK16" s="87"/>
      <c r="LL16" s="87">
        <f t="shared" si="38"/>
        <v>0</v>
      </c>
      <c r="LM16" s="80">
        <v>46157</v>
      </c>
      <c r="LN16" s="89"/>
      <c r="LO16" s="82"/>
      <c r="LQ16" s="84"/>
      <c r="LR16" s="87"/>
      <c r="LS16" s="87"/>
      <c r="LT16" s="87">
        <f t="shared" si="39"/>
        <v>0</v>
      </c>
      <c r="LU16" s="80">
        <v>46157</v>
      </c>
      <c r="LV16" s="89"/>
      <c r="LW16" s="82"/>
      <c r="LY16" s="84"/>
      <c r="LZ16" s="87"/>
      <c r="MA16" s="87"/>
      <c r="MB16" s="87">
        <f t="shared" si="40"/>
        <v>0</v>
      </c>
      <c r="MC16" s="80">
        <v>46157</v>
      </c>
      <c r="MD16" s="89"/>
      <c r="ME16" s="82"/>
      <c r="MG16" s="84"/>
      <c r="MH16" s="87"/>
      <c r="MI16" s="87"/>
      <c r="MJ16" s="87">
        <f t="shared" si="41"/>
        <v>0</v>
      </c>
      <c r="MK16" s="80">
        <v>46157</v>
      </c>
      <c r="ML16" s="89"/>
      <c r="MM16" s="82"/>
      <c r="MN16"/>
      <c r="MO16" s="103"/>
      <c r="MP16" s="86"/>
      <c r="MQ16" s="86"/>
      <c r="MR16" s="86">
        <f t="shared" si="42"/>
        <v>0</v>
      </c>
      <c r="MS16" s="100">
        <v>46157</v>
      </c>
      <c r="MT16" s="91"/>
      <c r="MU16" s="82"/>
      <c r="MW16" s="84"/>
      <c r="MX16" s="87"/>
      <c r="MY16" s="87"/>
      <c r="MZ16" s="87">
        <f t="shared" si="43"/>
        <v>0</v>
      </c>
      <c r="NA16" s="80">
        <v>46157</v>
      </c>
      <c r="NB16" s="89"/>
      <c r="NC16" s="82"/>
      <c r="NE16" s="84"/>
      <c r="NF16" s="87"/>
      <c r="NG16" s="87"/>
      <c r="NH16" s="87">
        <f t="shared" si="44"/>
        <v>0</v>
      </c>
      <c r="NI16" s="80">
        <v>46157</v>
      </c>
      <c r="NJ16" s="89"/>
      <c r="NK16" s="82"/>
      <c r="NM16" s="84"/>
      <c r="NN16" s="87"/>
      <c r="NO16" s="87"/>
      <c r="NP16" s="87">
        <f t="shared" si="45"/>
        <v>0</v>
      </c>
      <c r="NQ16" s="80">
        <v>46157</v>
      </c>
      <c r="NR16" s="91"/>
      <c r="NS16" s="82"/>
      <c r="NU16" s="84"/>
      <c r="NV16" s="87"/>
      <c r="NW16" s="87"/>
      <c r="NX16" s="87">
        <f t="shared" si="46"/>
        <v>0</v>
      </c>
      <c r="NY16" s="80">
        <v>46157</v>
      </c>
      <c r="NZ16" s="89"/>
      <c r="OA16" s="82"/>
      <c r="OC16" s="84"/>
      <c r="OD16" s="87"/>
      <c r="OE16" s="87"/>
      <c r="OF16" s="87">
        <f t="shared" si="47"/>
        <v>0</v>
      </c>
      <c r="OG16" s="80">
        <v>46157</v>
      </c>
      <c r="OH16" s="89"/>
      <c r="OI16" s="82"/>
      <c r="OJ16" s="102"/>
      <c r="OK16" s="103"/>
      <c r="OL16" s="87"/>
      <c r="OM16" s="86"/>
      <c r="ON16" s="87">
        <f t="shared" si="48"/>
        <v>0</v>
      </c>
      <c r="OO16" s="80">
        <v>46157</v>
      </c>
      <c r="OP16" s="91"/>
      <c r="OQ16" s="82"/>
      <c r="OS16" s="84"/>
      <c r="OT16" s="87"/>
      <c r="OU16" s="87"/>
      <c r="OV16" s="87">
        <f t="shared" si="49"/>
        <v>0</v>
      </c>
      <c r="OW16" s="80">
        <v>46157</v>
      </c>
      <c r="OX16" s="89"/>
      <c r="OY16" s="82"/>
      <c r="PA16" s="84"/>
      <c r="PB16" s="161"/>
      <c r="PC16" s="87"/>
      <c r="PD16" s="87">
        <f t="shared" si="50"/>
        <v>0</v>
      </c>
      <c r="PE16" s="80">
        <v>46157</v>
      </c>
      <c r="PF16" s="89"/>
      <c r="PG16" s="82"/>
      <c r="PH16"/>
      <c r="PI16" s="84"/>
      <c r="PJ16" s="87"/>
      <c r="PK16" s="87"/>
      <c r="PL16" s="87">
        <f t="shared" si="51"/>
        <v>0</v>
      </c>
      <c r="PM16" s="80">
        <v>46157</v>
      </c>
      <c r="PN16" s="211"/>
      <c r="PO16" s="216"/>
      <c r="PP16"/>
      <c r="PQ16" s="84"/>
      <c r="PR16" s="87"/>
      <c r="PS16" s="87"/>
      <c r="PT16" s="87">
        <f t="shared" si="52"/>
        <v>0</v>
      </c>
      <c r="PU16" s="80">
        <v>46157</v>
      </c>
      <c r="PV16" s="89"/>
      <c r="PW16" s="82"/>
      <c r="PY16" s="84"/>
      <c r="PZ16" s="87"/>
      <c r="QA16" s="87"/>
      <c r="QB16" s="87">
        <f t="shared" si="53"/>
        <v>0</v>
      </c>
      <c r="QC16" s="80">
        <v>46157</v>
      </c>
      <c r="QD16" s="91"/>
      <c r="QE16" s="82"/>
      <c r="QG16" s="84"/>
      <c r="QH16" s="87"/>
      <c r="QI16" s="87"/>
      <c r="QJ16" s="87">
        <f t="shared" si="54"/>
        <v>0</v>
      </c>
      <c r="QK16" s="80">
        <v>46157</v>
      </c>
      <c r="QL16" s="89"/>
      <c r="QM16" s="82"/>
      <c r="QO16" s="84"/>
      <c r="QP16" s="87"/>
      <c r="QQ16" s="87"/>
      <c r="QR16" s="87">
        <f t="shared" si="55"/>
        <v>0</v>
      </c>
      <c r="QS16" s="80">
        <v>46157</v>
      </c>
      <c r="QT16" s="212"/>
      <c r="QU16" s="216"/>
      <c r="QW16" s="84"/>
      <c r="QX16" s="87"/>
      <c r="QY16" s="87"/>
      <c r="QZ16" s="87">
        <f t="shared" si="56"/>
        <v>0</v>
      </c>
      <c r="RA16" s="80">
        <v>46157</v>
      </c>
      <c r="RB16" s="89"/>
      <c r="RC16" s="82"/>
      <c r="RE16" s="84"/>
      <c r="RF16" s="87"/>
      <c r="RG16" s="87"/>
      <c r="RH16" s="87">
        <f t="shared" si="57"/>
        <v>0</v>
      </c>
      <c r="RI16" s="80">
        <v>46157</v>
      </c>
      <c r="RJ16" s="89"/>
      <c r="RK16" s="170"/>
      <c r="RM16" s="84"/>
      <c r="RN16" s="87"/>
      <c r="RO16" s="87"/>
      <c r="RP16" s="87">
        <f t="shared" si="58"/>
        <v>0</v>
      </c>
      <c r="RQ16" s="80">
        <v>46157</v>
      </c>
      <c r="RR16" s="89"/>
      <c r="RS16" s="191"/>
      <c r="RU16" s="84"/>
      <c r="RV16" s="87"/>
      <c r="RW16" s="87"/>
      <c r="RX16" s="87">
        <f t="shared" si="59"/>
        <v>0</v>
      </c>
      <c r="RY16" s="80">
        <v>46157</v>
      </c>
      <c r="RZ16" s="89"/>
      <c r="SA16" s="82"/>
      <c r="SC16" s="84"/>
      <c r="SD16" s="87"/>
      <c r="SE16" s="87"/>
      <c r="SF16" s="87">
        <f t="shared" si="60"/>
        <v>0</v>
      </c>
      <c r="SG16" s="80">
        <v>46157</v>
      </c>
      <c r="SH16" s="89"/>
      <c r="SI16" s="82"/>
      <c r="SK16" s="103"/>
      <c r="SL16" s="86"/>
      <c r="SM16" s="86"/>
      <c r="SN16" s="87">
        <f t="shared" si="61"/>
        <v>0</v>
      </c>
      <c r="SO16" s="80">
        <v>46157</v>
      </c>
      <c r="SP16" s="91"/>
      <c r="SQ16" s="82"/>
      <c r="SS16" s="84"/>
      <c r="ST16" s="87"/>
      <c r="SU16" s="87"/>
      <c r="SV16" s="87">
        <f t="shared" si="62"/>
        <v>0</v>
      </c>
      <c r="SW16" s="80">
        <v>46157</v>
      </c>
      <c r="SX16" s="89"/>
      <c r="SY16" s="82"/>
      <c r="TA16" s="10"/>
      <c r="TB16" s="87"/>
      <c r="TC16" s="87"/>
      <c r="TD16" s="87">
        <f t="shared" si="63"/>
        <v>0</v>
      </c>
      <c r="TE16" s="80">
        <v>46157</v>
      </c>
      <c r="TF16" s="91"/>
      <c r="TG16" s="82"/>
      <c r="TI16" s="84"/>
      <c r="TJ16" s="87"/>
      <c r="TK16" s="87"/>
      <c r="TL16" s="87">
        <f t="shared" si="64"/>
        <v>0</v>
      </c>
      <c r="TM16" s="80">
        <v>46157</v>
      </c>
      <c r="TN16" s="89"/>
      <c r="TO16" s="82"/>
      <c r="TQ16" s="84"/>
      <c r="TR16" s="87"/>
      <c r="TS16" s="87"/>
      <c r="TT16" s="87">
        <f t="shared" si="65"/>
        <v>0</v>
      </c>
      <c r="TU16" s="80">
        <v>46157</v>
      </c>
      <c r="TV16" s="173"/>
      <c r="TW16" s="82"/>
      <c r="TY16" s="84"/>
      <c r="TZ16" s="87"/>
      <c r="UA16" s="87"/>
      <c r="UB16" s="87">
        <f t="shared" si="66"/>
        <v>0</v>
      </c>
      <c r="UC16" s="80">
        <v>46157</v>
      </c>
      <c r="UD16" s="89"/>
      <c r="UE16" s="82"/>
      <c r="UG16" s="84"/>
      <c r="UH16" s="87"/>
      <c r="UI16" s="87"/>
      <c r="UJ16" s="87">
        <f t="shared" si="67"/>
        <v>0</v>
      </c>
      <c r="UK16" s="80">
        <v>46157</v>
      </c>
      <c r="UL16" s="89"/>
      <c r="UM16" s="82"/>
      <c r="UO16" s="10"/>
      <c r="UP16" s="87"/>
      <c r="UQ16" s="87"/>
      <c r="UR16" s="87">
        <f t="shared" si="68"/>
        <v>0</v>
      </c>
      <c r="US16" s="80">
        <v>46157</v>
      </c>
      <c r="UT16" s="89"/>
      <c r="UU16" s="82"/>
      <c r="UW16" s="84"/>
      <c r="UX16" s="87"/>
      <c r="UY16" s="87"/>
      <c r="UZ16" s="87">
        <f t="shared" si="69"/>
        <v>0</v>
      </c>
      <c r="VA16" s="80">
        <v>46157</v>
      </c>
      <c r="VB16" s="89"/>
      <c r="VC16" s="82"/>
      <c r="VE16" s="84"/>
      <c r="VF16" s="87"/>
      <c r="VG16" s="87"/>
      <c r="VH16" s="87">
        <f t="shared" si="70"/>
        <v>0</v>
      </c>
      <c r="VI16" s="80">
        <v>46157</v>
      </c>
      <c r="VJ16" s="89"/>
      <c r="VK16" s="82"/>
      <c r="VM16" s="84"/>
      <c r="VN16" s="87"/>
      <c r="VO16" s="87"/>
      <c r="VP16" s="87">
        <f t="shared" si="71"/>
        <v>0</v>
      </c>
      <c r="VQ16" s="80">
        <v>46157</v>
      </c>
      <c r="VR16" s="89"/>
      <c r="VS16" s="82"/>
      <c r="VU16" s="84"/>
      <c r="VV16" s="87"/>
      <c r="VW16" s="87"/>
      <c r="VX16" s="87">
        <f t="shared" si="72"/>
        <v>0</v>
      </c>
      <c r="VY16" s="80">
        <v>46157</v>
      </c>
      <c r="VZ16" s="89"/>
      <c r="WA16" s="82"/>
      <c r="WC16" s="84"/>
      <c r="WD16" s="87"/>
      <c r="WE16" s="87"/>
      <c r="WF16" s="87">
        <f t="shared" si="73"/>
        <v>0</v>
      </c>
      <c r="WG16" s="80">
        <v>46157</v>
      </c>
      <c r="WH16" s="89"/>
      <c r="WI16" s="82"/>
      <c r="WK16" s="84"/>
      <c r="WL16" s="87"/>
      <c r="WM16" s="87"/>
      <c r="WN16" s="87">
        <f t="shared" si="74"/>
        <v>0</v>
      </c>
      <c r="WO16" s="80">
        <v>46157</v>
      </c>
      <c r="WP16" s="89"/>
      <c r="WQ16" s="82"/>
      <c r="WR16"/>
      <c r="WS16" s="84"/>
      <c r="WT16" s="87"/>
      <c r="WU16" s="87"/>
      <c r="WV16" s="87">
        <f t="shared" si="75"/>
        <v>0</v>
      </c>
      <c r="WW16" s="80">
        <v>46157</v>
      </c>
      <c r="WX16" s="91"/>
      <c r="WY16" s="82"/>
      <c r="XA16" s="84"/>
      <c r="XB16" s="87"/>
      <c r="XC16" s="87"/>
      <c r="XD16" s="87">
        <f t="shared" si="76"/>
        <v>0</v>
      </c>
      <c r="XE16" s="80">
        <v>46157</v>
      </c>
      <c r="XF16" s="91"/>
      <c r="XG16" s="82"/>
      <c r="XI16" s="84"/>
      <c r="XJ16" s="87"/>
      <c r="XK16" s="87"/>
      <c r="XL16" s="87">
        <f t="shared" si="77"/>
        <v>0</v>
      </c>
      <c r="XM16" s="80">
        <v>46157</v>
      </c>
      <c r="XN16" s="91"/>
      <c r="XO16" s="82"/>
      <c r="XQ16" s="84"/>
      <c r="XR16" s="87"/>
      <c r="XS16" s="87"/>
      <c r="XT16" s="87">
        <f t="shared" si="78"/>
        <v>0</v>
      </c>
      <c r="XU16" s="80">
        <v>46157</v>
      </c>
      <c r="XV16" s="91"/>
      <c r="XW16" s="82"/>
      <c r="XY16" s="84"/>
      <c r="XZ16" s="87"/>
      <c r="YA16" s="87"/>
      <c r="YB16" s="87">
        <f t="shared" si="79"/>
        <v>0</v>
      </c>
      <c r="YC16" s="80">
        <v>46157</v>
      </c>
      <c r="YD16" s="89"/>
      <c r="YE16" s="82"/>
      <c r="YG16" s="84"/>
      <c r="YH16" s="87"/>
      <c r="YI16" s="87"/>
      <c r="YJ16" s="87">
        <f t="shared" si="80"/>
        <v>0</v>
      </c>
      <c r="YK16" s="80">
        <v>46157</v>
      </c>
      <c r="YL16" s="89"/>
      <c r="YM16" s="82"/>
      <c r="YO16" s="84"/>
      <c r="YP16" s="87"/>
      <c r="YQ16" s="87"/>
      <c r="YR16" s="87">
        <f t="shared" si="81"/>
        <v>0</v>
      </c>
      <c r="YS16" s="80">
        <v>46157</v>
      </c>
      <c r="YT16" s="89"/>
      <c r="YU16" s="82"/>
      <c r="YW16" s="10"/>
      <c r="YX16" s="87"/>
      <c r="YY16" s="87"/>
      <c r="YZ16" s="87">
        <f t="shared" si="82"/>
        <v>0</v>
      </c>
      <c r="ZA16" s="80">
        <v>46157</v>
      </c>
      <c r="ZB16" s="89"/>
      <c r="ZC16" s="82"/>
      <c r="ZE16" s="84"/>
      <c r="ZF16" s="87"/>
      <c r="ZG16" s="87"/>
      <c r="ZH16" s="87">
        <f t="shared" si="83"/>
        <v>0</v>
      </c>
      <c r="ZI16" s="80">
        <v>46157</v>
      </c>
      <c r="ZJ16" s="89"/>
      <c r="ZK16" s="82"/>
      <c r="ZM16" s="84"/>
      <c r="ZN16" s="87"/>
      <c r="ZO16" s="87"/>
      <c r="ZP16" s="87">
        <f t="shared" si="84"/>
        <v>0</v>
      </c>
      <c r="ZQ16" s="80">
        <v>46157</v>
      </c>
      <c r="ZR16" s="89"/>
      <c r="ZS16" s="82"/>
      <c r="ZU16" s="84"/>
      <c r="ZV16" s="87"/>
      <c r="ZW16" s="87"/>
      <c r="ZX16" s="87">
        <f t="shared" si="85"/>
        <v>0</v>
      </c>
      <c r="ZY16" s="80">
        <v>46157</v>
      </c>
      <c r="ZZ16" s="89"/>
      <c r="AAA16" s="82"/>
      <c r="AAC16" s="84"/>
      <c r="AAD16" s="87"/>
      <c r="AAE16" s="87"/>
      <c r="AAF16" s="87">
        <f t="shared" si="86"/>
        <v>0</v>
      </c>
      <c r="AAG16" s="80">
        <v>46157</v>
      </c>
      <c r="AAH16" s="89"/>
      <c r="AAI16" s="82"/>
      <c r="AAK16" s="84"/>
      <c r="AAL16" s="87"/>
      <c r="AAM16" s="87"/>
      <c r="AAN16" s="87">
        <f t="shared" si="87"/>
        <v>0</v>
      </c>
      <c r="AAO16" s="80">
        <v>46157</v>
      </c>
      <c r="AAP16" s="89"/>
      <c r="AAQ16" s="82"/>
      <c r="AAS16" s="84"/>
      <c r="AAT16" s="87"/>
      <c r="AAU16" s="87"/>
      <c r="AAV16" s="87">
        <f t="shared" si="88"/>
        <v>0</v>
      </c>
      <c r="AAW16" s="80">
        <v>46157</v>
      </c>
      <c r="AAX16" s="89"/>
      <c r="AAY16" s="82"/>
      <c r="ABA16" s="84"/>
      <c r="ABB16" s="87"/>
      <c r="ABC16" s="87"/>
      <c r="ABD16" s="87">
        <f t="shared" si="89"/>
        <v>0</v>
      </c>
      <c r="ABE16" s="80">
        <v>46157</v>
      </c>
      <c r="ABF16" s="89"/>
      <c r="ABG16" s="82"/>
      <c r="ABI16" s="84"/>
      <c r="ABJ16" s="87"/>
      <c r="ABK16" s="87"/>
      <c r="ABL16" s="87">
        <f t="shared" si="90"/>
        <v>0</v>
      </c>
      <c r="ABM16" s="80">
        <v>46157</v>
      </c>
      <c r="ABN16" s="89"/>
      <c r="ABO16" s="82"/>
      <c r="ABQ16" s="84"/>
      <c r="ABR16" s="87"/>
      <c r="ABS16" s="87"/>
      <c r="ABT16" s="87">
        <f t="shared" si="91"/>
        <v>0</v>
      </c>
      <c r="ABU16" s="80">
        <v>46157</v>
      </c>
      <c r="ABV16" s="89"/>
      <c r="ABW16" s="82"/>
      <c r="ABY16" s="84"/>
      <c r="ABZ16" s="87"/>
      <c r="ACA16" s="87"/>
      <c r="ACB16" s="87">
        <f t="shared" si="92"/>
        <v>0</v>
      </c>
      <c r="ACC16" s="80">
        <v>46157</v>
      </c>
      <c r="ACD16" s="89"/>
      <c r="ACE16" s="82"/>
    </row>
    <row r="17" spans="1:759" ht="12" customHeight="1" thickBot="1" x14ac:dyDescent="0.3">
      <c r="A17" s="84"/>
      <c r="B17" s="350"/>
      <c r="C17" s="222"/>
      <c r="D17" s="87">
        <f t="shared" si="2"/>
        <v>1700</v>
      </c>
      <c r="E17" s="80">
        <v>46157</v>
      </c>
      <c r="F17" s="374"/>
      <c r="G17" s="382"/>
      <c r="H17" s="108"/>
      <c r="I17" s="84"/>
      <c r="J17" s="87"/>
      <c r="K17" s="87"/>
      <c r="L17" s="87">
        <f t="shared" si="0"/>
        <v>1000</v>
      </c>
      <c r="M17" s="163">
        <v>46157</v>
      </c>
      <c r="N17" s="220"/>
      <c r="O17" s="82"/>
      <c r="Q17" s="84"/>
      <c r="R17" s="222"/>
      <c r="S17" s="222"/>
      <c r="T17" s="87">
        <f t="shared" si="1"/>
        <v>4000</v>
      </c>
      <c r="U17" s="80">
        <v>46157</v>
      </c>
      <c r="V17" s="220"/>
      <c r="W17" s="82"/>
      <c r="X17" s="388"/>
      <c r="Y17" s="84"/>
      <c r="Z17" s="222"/>
      <c r="AA17" s="222"/>
      <c r="AB17" s="222">
        <f t="shared" si="3"/>
        <v>1000</v>
      </c>
      <c r="AC17" s="80">
        <v>46157</v>
      </c>
      <c r="AD17" s="220"/>
      <c r="AE17" s="82"/>
      <c r="AG17" s="84"/>
      <c r="AH17" s="222"/>
      <c r="AI17" s="222"/>
      <c r="AJ17" s="87">
        <f t="shared" si="4"/>
        <v>2000</v>
      </c>
      <c r="AK17" s="80">
        <v>46157</v>
      </c>
      <c r="AL17" s="220"/>
      <c r="AM17" s="389"/>
      <c r="AN17" s="390"/>
      <c r="AO17" s="84"/>
      <c r="AP17" s="222"/>
      <c r="AQ17" s="222"/>
      <c r="AR17" s="87">
        <f t="shared" si="5"/>
        <v>1000</v>
      </c>
      <c r="AS17" s="80">
        <v>46157</v>
      </c>
      <c r="AT17" s="220"/>
      <c r="AU17" s="82"/>
      <c r="AV17" s="72"/>
      <c r="AW17" s="84"/>
      <c r="AX17" s="222"/>
      <c r="AY17" s="222"/>
      <c r="AZ17" s="87">
        <f t="shared" si="6"/>
        <v>1150</v>
      </c>
      <c r="BA17" s="80">
        <v>46157</v>
      </c>
      <c r="BB17" s="374"/>
      <c r="BC17" s="82"/>
      <c r="BE17" s="84"/>
      <c r="BF17" s="87"/>
      <c r="BG17" s="87"/>
      <c r="BH17" s="87">
        <f t="shared" si="7"/>
        <v>7000</v>
      </c>
      <c r="BI17" s="80">
        <v>46157</v>
      </c>
      <c r="BJ17" s="220"/>
      <c r="BK17" s="82"/>
      <c r="BM17" s="84"/>
      <c r="BN17" s="222"/>
      <c r="BO17" s="222"/>
      <c r="BP17" s="87">
        <f t="shared" si="8"/>
        <v>1000</v>
      </c>
      <c r="BQ17" s="80">
        <v>46157</v>
      </c>
      <c r="BR17" s="220"/>
      <c r="BS17" s="82"/>
      <c r="BT17" s="162"/>
      <c r="BU17" s="99"/>
      <c r="BV17" s="87"/>
      <c r="BW17" s="87"/>
      <c r="BX17" s="87">
        <f t="shared" si="9"/>
        <v>0</v>
      </c>
      <c r="BY17" s="80">
        <v>46157</v>
      </c>
      <c r="BZ17" s="220"/>
      <c r="CA17" s="82"/>
      <c r="CB17" s="72"/>
      <c r="CC17" s="84"/>
      <c r="CD17" s="222"/>
      <c r="CE17" s="222"/>
      <c r="CF17" s="87">
        <f t="shared" si="10"/>
        <v>0</v>
      </c>
      <c r="CG17" s="88">
        <v>46172</v>
      </c>
      <c r="CH17" s="220"/>
      <c r="CI17" s="82"/>
      <c r="CJ17" s="41"/>
      <c r="CK17" s="10"/>
      <c r="CL17" s="222"/>
      <c r="CM17" s="222"/>
      <c r="CN17" s="87">
        <f t="shared" si="11"/>
        <v>0</v>
      </c>
      <c r="CO17" s="88">
        <v>46172</v>
      </c>
      <c r="CP17" s="220"/>
      <c r="CQ17" s="82"/>
      <c r="CR17" s="59"/>
      <c r="CS17" s="99"/>
      <c r="CT17" s="222"/>
      <c r="CU17" s="222"/>
      <c r="CV17" s="87">
        <f>SUM(CV16,CT17,-CU17)</f>
        <v>0</v>
      </c>
      <c r="CW17" s="88">
        <v>46172</v>
      </c>
      <c r="CX17" s="220"/>
      <c r="CY17" s="82"/>
      <c r="CZ17" s="198"/>
      <c r="DA17" s="10"/>
      <c r="DB17" s="222"/>
      <c r="DC17" s="222"/>
      <c r="DD17" s="87">
        <f t="shared" si="13"/>
        <v>0</v>
      </c>
      <c r="DE17" s="88">
        <v>46172</v>
      </c>
      <c r="DF17" s="220"/>
      <c r="DG17" s="82"/>
      <c r="DI17" s="84"/>
      <c r="DJ17" s="222"/>
      <c r="DK17" s="222"/>
      <c r="DL17" s="87">
        <f t="shared" si="14"/>
        <v>0</v>
      </c>
      <c r="DM17" s="80">
        <v>46157</v>
      </c>
      <c r="DN17" s="220"/>
      <c r="DO17" s="82"/>
      <c r="DQ17" s="84"/>
      <c r="DR17" s="222"/>
      <c r="DS17" s="222"/>
      <c r="DT17" s="87">
        <f t="shared" si="15"/>
        <v>0</v>
      </c>
      <c r="DU17" s="80">
        <v>46157</v>
      </c>
      <c r="DV17" s="220"/>
      <c r="DW17" s="82"/>
      <c r="DY17" s="84"/>
      <c r="DZ17" s="222"/>
      <c r="EA17" s="222"/>
      <c r="EB17" s="87">
        <f t="shared" si="16"/>
        <v>0</v>
      </c>
      <c r="EC17" s="80">
        <v>46157</v>
      </c>
      <c r="ED17" s="220"/>
      <c r="EE17" s="82"/>
      <c r="EF17" s="72"/>
      <c r="EG17" s="84"/>
      <c r="EH17" s="87"/>
      <c r="EI17" s="87"/>
      <c r="EJ17" s="87">
        <f t="shared" si="17"/>
        <v>0</v>
      </c>
      <c r="EK17" s="80">
        <v>46157</v>
      </c>
      <c r="EL17" s="220"/>
      <c r="EM17" s="82"/>
      <c r="EO17" s="84"/>
      <c r="EP17" s="87"/>
      <c r="EQ17" s="222"/>
      <c r="ER17" s="87">
        <f t="shared" si="18"/>
        <v>0</v>
      </c>
      <c r="ES17" s="80">
        <v>46157</v>
      </c>
      <c r="ET17" s="220"/>
      <c r="EU17" s="82"/>
      <c r="EW17" s="84"/>
      <c r="EX17" s="222"/>
      <c r="EY17" s="222"/>
      <c r="EZ17" s="87">
        <f t="shared" si="19"/>
        <v>0</v>
      </c>
      <c r="FA17" s="80">
        <v>46157</v>
      </c>
      <c r="FB17" s="220"/>
      <c r="FC17" s="82"/>
      <c r="FD17" s="102"/>
      <c r="FE17" s="84"/>
      <c r="FF17" s="87"/>
      <c r="FG17" s="87"/>
      <c r="FH17" s="87">
        <f t="shared" si="93"/>
        <v>0</v>
      </c>
      <c r="FI17" s="80">
        <v>46157</v>
      </c>
      <c r="FJ17" s="220"/>
      <c r="FK17" s="82"/>
      <c r="FM17" s="84"/>
      <c r="FN17" s="87"/>
      <c r="FO17" s="87"/>
      <c r="FP17" s="87">
        <f t="shared" si="20"/>
        <v>0</v>
      </c>
      <c r="FQ17" s="80">
        <v>46157</v>
      </c>
      <c r="FR17" s="220"/>
      <c r="FS17" s="82"/>
      <c r="FT17" s="59"/>
      <c r="FU17" s="103"/>
      <c r="FV17" s="86"/>
      <c r="FW17" s="86"/>
      <c r="FX17" s="86">
        <f t="shared" si="21"/>
        <v>0</v>
      </c>
      <c r="FY17" s="166">
        <v>46157</v>
      </c>
      <c r="FZ17" s="220"/>
      <c r="GA17" s="82"/>
      <c r="GC17" s="84"/>
      <c r="GD17" s="222"/>
      <c r="GE17" s="222"/>
      <c r="GF17" s="87">
        <f t="shared" si="22"/>
        <v>0</v>
      </c>
      <c r="GG17" s="80">
        <v>46157</v>
      </c>
      <c r="GH17" s="220"/>
      <c r="GI17" s="82"/>
      <c r="GJ17"/>
      <c r="GK17" s="84"/>
      <c r="GL17" s="87"/>
      <c r="GM17" s="87"/>
      <c r="GN17" s="87">
        <f t="shared" si="23"/>
        <v>0</v>
      </c>
      <c r="GO17" s="88">
        <v>46172</v>
      </c>
      <c r="GP17" s="220"/>
      <c r="GQ17" s="82"/>
      <c r="GS17" s="84"/>
      <c r="GT17" s="222"/>
      <c r="GU17" s="222"/>
      <c r="GV17" s="87">
        <f t="shared" si="24"/>
        <v>0</v>
      </c>
      <c r="GW17" s="88">
        <v>46172</v>
      </c>
      <c r="GX17" s="220"/>
      <c r="GY17" s="82"/>
      <c r="GZ17"/>
      <c r="HA17" s="84"/>
      <c r="HB17" s="87"/>
      <c r="HC17" s="87"/>
      <c r="HD17" s="87">
        <f t="shared" si="25"/>
        <v>0</v>
      </c>
      <c r="HE17" s="88">
        <v>46172</v>
      </c>
      <c r="HF17" s="220"/>
      <c r="HG17" s="82"/>
      <c r="HH17" s="72"/>
      <c r="HI17" s="84"/>
      <c r="HJ17" s="222"/>
      <c r="HK17" s="222"/>
      <c r="HL17" s="87">
        <f t="shared" si="26"/>
        <v>0</v>
      </c>
      <c r="HM17" s="88">
        <v>46172</v>
      </c>
      <c r="HN17" s="220"/>
      <c r="HO17" s="82"/>
      <c r="HQ17" s="84"/>
      <c r="HR17" s="87"/>
      <c r="HS17" s="222"/>
      <c r="HT17" s="87">
        <f t="shared" si="27"/>
        <v>0</v>
      </c>
      <c r="HU17" s="88">
        <v>46172</v>
      </c>
      <c r="HV17" s="220"/>
      <c r="HW17" s="82"/>
      <c r="HX17"/>
      <c r="HY17" s="84"/>
      <c r="HZ17" s="87"/>
      <c r="IA17" s="87"/>
      <c r="IB17" s="87">
        <f t="shared" si="28"/>
        <v>0</v>
      </c>
      <c r="IC17" s="88">
        <v>46172</v>
      </c>
      <c r="ID17" s="89"/>
      <c r="IE17" s="82"/>
      <c r="IG17" s="84"/>
      <c r="IH17" s="87"/>
      <c r="II17" s="87"/>
      <c r="IJ17" s="87">
        <f t="shared" si="29"/>
        <v>0</v>
      </c>
      <c r="IK17" s="88">
        <v>46172</v>
      </c>
      <c r="IL17" s="91"/>
      <c r="IM17" s="82"/>
      <c r="IO17" s="84"/>
      <c r="IP17" s="87"/>
      <c r="IQ17" s="87"/>
      <c r="IR17" s="87">
        <f t="shared" si="30"/>
        <v>0</v>
      </c>
      <c r="IS17" s="88">
        <v>46172</v>
      </c>
      <c r="IT17" s="91"/>
      <c r="IU17" s="82"/>
      <c r="IW17" s="84"/>
      <c r="IX17" s="87"/>
      <c r="IY17" s="87"/>
      <c r="IZ17" s="87">
        <f t="shared" si="31"/>
        <v>0</v>
      </c>
      <c r="JA17" s="88">
        <v>46172</v>
      </c>
      <c r="JB17" s="89"/>
      <c r="JC17" s="82"/>
      <c r="JE17" s="84"/>
      <c r="JF17" s="87"/>
      <c r="JG17" s="87"/>
      <c r="JH17" s="87">
        <f t="shared" si="32"/>
        <v>0</v>
      </c>
      <c r="JI17" s="88">
        <v>46172</v>
      </c>
      <c r="JJ17" s="220"/>
      <c r="JK17" s="82"/>
      <c r="JM17" s="84"/>
      <c r="JN17" s="87"/>
      <c r="JO17" s="87"/>
      <c r="JP17" s="87">
        <f t="shared" si="33"/>
        <v>0</v>
      </c>
      <c r="JQ17" s="163">
        <v>46172</v>
      </c>
      <c r="JR17" s="91"/>
      <c r="JS17" s="82"/>
      <c r="JU17" s="84"/>
      <c r="JV17" s="161"/>
      <c r="JW17" s="87"/>
      <c r="JX17" s="87">
        <f t="shared" si="94"/>
        <v>0</v>
      </c>
      <c r="JY17" s="163">
        <v>46172</v>
      </c>
      <c r="JZ17" s="91"/>
      <c r="KA17" s="82"/>
      <c r="KC17" s="84"/>
      <c r="KD17" s="87"/>
      <c r="KE17" s="87"/>
      <c r="KF17" s="87">
        <f t="shared" si="34"/>
        <v>0</v>
      </c>
      <c r="KG17" s="163">
        <v>46172</v>
      </c>
      <c r="KH17" s="222"/>
      <c r="KI17" s="109"/>
      <c r="KJ17" s="102"/>
      <c r="KK17" s="84"/>
      <c r="KL17" s="87"/>
      <c r="KM17" s="87"/>
      <c r="KN17" s="87">
        <f t="shared" si="35"/>
        <v>0</v>
      </c>
      <c r="KO17" s="163">
        <v>46172</v>
      </c>
      <c r="KP17" s="89"/>
      <c r="KQ17" s="82"/>
      <c r="KR17"/>
      <c r="KS17" s="84"/>
      <c r="KT17" s="87"/>
      <c r="KU17" s="87"/>
      <c r="KV17" s="87">
        <f t="shared" si="36"/>
        <v>0</v>
      </c>
      <c r="KW17" s="88">
        <v>46172</v>
      </c>
      <c r="KX17" s="91"/>
      <c r="KY17" s="82"/>
      <c r="LA17" s="84"/>
      <c r="LB17" s="87"/>
      <c r="LC17" s="87"/>
      <c r="LD17" s="87">
        <f t="shared" si="37"/>
        <v>0</v>
      </c>
      <c r="LE17" s="163">
        <v>46172</v>
      </c>
      <c r="LF17" s="89"/>
      <c r="LG17" s="192"/>
      <c r="LH17"/>
      <c r="LI17" s="84"/>
      <c r="LJ17" s="87"/>
      <c r="LK17" s="87"/>
      <c r="LL17" s="87">
        <f t="shared" si="38"/>
        <v>0</v>
      </c>
      <c r="LM17" s="88">
        <v>46172</v>
      </c>
      <c r="LN17" s="89"/>
      <c r="LO17" s="82"/>
      <c r="LQ17" s="84"/>
      <c r="LR17" s="87"/>
      <c r="LS17" s="87"/>
      <c r="LT17" s="87">
        <f t="shared" si="39"/>
        <v>0</v>
      </c>
      <c r="LU17" s="88">
        <v>46172</v>
      </c>
      <c r="LV17" s="89"/>
      <c r="LW17" s="82"/>
      <c r="LY17" s="84"/>
      <c r="LZ17" s="87"/>
      <c r="MA17" s="87"/>
      <c r="MB17" s="87">
        <f t="shared" si="40"/>
        <v>0</v>
      </c>
      <c r="MC17" s="88">
        <v>46172</v>
      </c>
      <c r="MD17" s="89"/>
      <c r="ME17" s="82"/>
      <c r="MG17" s="84"/>
      <c r="MH17" s="87"/>
      <c r="MI17" s="87"/>
      <c r="MJ17" s="87">
        <f t="shared" si="41"/>
        <v>0</v>
      </c>
      <c r="MK17" s="88">
        <v>46172</v>
      </c>
      <c r="ML17" s="89"/>
      <c r="MM17" s="82"/>
      <c r="MN17"/>
      <c r="MO17" s="103"/>
      <c r="MP17" s="86"/>
      <c r="MQ17" s="86"/>
      <c r="MR17" s="86">
        <f t="shared" si="42"/>
        <v>0</v>
      </c>
      <c r="MS17" s="104">
        <v>46172</v>
      </c>
      <c r="MT17" s="91"/>
      <c r="MU17" s="82"/>
      <c r="MW17" s="84"/>
      <c r="MX17" s="87"/>
      <c r="MY17" s="87"/>
      <c r="MZ17" s="87">
        <f t="shared" si="43"/>
        <v>0</v>
      </c>
      <c r="NA17" s="88">
        <v>46172</v>
      </c>
      <c r="NB17" s="89"/>
      <c r="NC17" s="82"/>
      <c r="NE17" s="84"/>
      <c r="NF17" s="87"/>
      <c r="NG17" s="87"/>
      <c r="NH17" s="87">
        <f t="shared" si="44"/>
        <v>0</v>
      </c>
      <c r="NI17" s="88">
        <v>46172</v>
      </c>
      <c r="NJ17" s="89"/>
      <c r="NK17" s="82"/>
      <c r="NM17" s="84"/>
      <c r="NN17" s="161"/>
      <c r="NO17" s="87"/>
      <c r="NP17" s="87">
        <f t="shared" si="45"/>
        <v>0</v>
      </c>
      <c r="NQ17" s="88">
        <v>46172</v>
      </c>
      <c r="NR17" s="91"/>
      <c r="NS17" s="82"/>
      <c r="NU17" s="84"/>
      <c r="NV17" s="87"/>
      <c r="NW17" s="87"/>
      <c r="NX17" s="87">
        <f t="shared" si="46"/>
        <v>0</v>
      </c>
      <c r="NY17" s="88">
        <v>46172</v>
      </c>
      <c r="NZ17" s="89"/>
      <c r="OA17" s="82"/>
      <c r="OC17" s="84"/>
      <c r="OD17" s="87"/>
      <c r="OE17" s="87"/>
      <c r="OF17" s="87">
        <f t="shared" si="47"/>
        <v>0</v>
      </c>
      <c r="OG17" s="88">
        <v>46172</v>
      </c>
      <c r="OH17" s="89"/>
      <c r="OI17" s="82"/>
      <c r="OK17" s="84"/>
      <c r="OL17" s="87"/>
      <c r="OM17" s="87"/>
      <c r="ON17" s="87">
        <f t="shared" si="48"/>
        <v>0</v>
      </c>
      <c r="OO17" s="88">
        <v>46172</v>
      </c>
      <c r="OP17" s="91"/>
      <c r="OQ17" s="82"/>
      <c r="OS17" s="84"/>
      <c r="OT17" s="87"/>
      <c r="OU17" s="87"/>
      <c r="OV17" s="87">
        <f t="shared" si="49"/>
        <v>0</v>
      </c>
      <c r="OW17" s="88">
        <v>46172</v>
      </c>
      <c r="OX17" s="89"/>
      <c r="OY17" s="82"/>
      <c r="PA17" s="84"/>
      <c r="PB17" s="87"/>
      <c r="PC17" s="87"/>
      <c r="PD17" s="87">
        <f t="shared" si="50"/>
        <v>0</v>
      </c>
      <c r="PE17" s="88">
        <v>46172</v>
      </c>
      <c r="PF17" s="89"/>
      <c r="PG17" s="82"/>
      <c r="PH17"/>
      <c r="PI17" s="84"/>
      <c r="PJ17" s="87"/>
      <c r="PK17" s="87"/>
      <c r="PL17" s="87">
        <f t="shared" si="51"/>
        <v>0</v>
      </c>
      <c r="PM17" s="88">
        <v>46172</v>
      </c>
      <c r="PN17" s="211"/>
      <c r="PO17" s="216"/>
      <c r="PP17"/>
      <c r="PQ17" s="84"/>
      <c r="PR17" s="87"/>
      <c r="PS17" s="87"/>
      <c r="PT17" s="87">
        <f t="shared" si="52"/>
        <v>0</v>
      </c>
      <c r="PU17" s="88">
        <v>46172</v>
      </c>
      <c r="PV17" s="89"/>
      <c r="PW17" s="82"/>
      <c r="PY17" s="84"/>
      <c r="PZ17" s="87"/>
      <c r="QA17" s="87"/>
      <c r="QB17" s="87">
        <f t="shared" si="53"/>
        <v>0</v>
      </c>
      <c r="QC17" s="88">
        <v>46172</v>
      </c>
      <c r="QD17" s="91"/>
      <c r="QE17" s="82"/>
      <c r="QF17"/>
      <c r="QG17" s="84"/>
      <c r="QH17" s="87"/>
      <c r="QI17" s="87"/>
      <c r="QJ17" s="87">
        <f t="shared" si="54"/>
        <v>0</v>
      </c>
      <c r="QK17" s="88">
        <v>46172</v>
      </c>
      <c r="QL17" s="89"/>
      <c r="QM17" s="82"/>
      <c r="QO17" s="84"/>
      <c r="QP17" s="87"/>
      <c r="QQ17" s="87"/>
      <c r="QR17" s="87">
        <f t="shared" si="55"/>
        <v>0</v>
      </c>
      <c r="QS17" s="88">
        <v>46172</v>
      </c>
      <c r="QT17" s="212"/>
      <c r="QU17" s="216"/>
      <c r="QW17" s="84"/>
      <c r="QX17" s="87"/>
      <c r="QY17" s="87"/>
      <c r="QZ17" s="87">
        <f t="shared" si="56"/>
        <v>0</v>
      </c>
      <c r="RA17" s="88">
        <v>46172</v>
      </c>
      <c r="RB17" s="89"/>
      <c r="RC17" s="82"/>
      <c r="RE17" s="84"/>
      <c r="RF17" s="87"/>
      <c r="RG17" s="87"/>
      <c r="RH17" s="87">
        <f t="shared" si="57"/>
        <v>0</v>
      </c>
      <c r="RI17" s="88">
        <v>46172</v>
      </c>
      <c r="RJ17" s="89"/>
      <c r="RK17" s="170"/>
      <c r="RM17" s="84"/>
      <c r="RN17" s="87"/>
      <c r="RO17" s="87"/>
      <c r="RP17" s="87">
        <f t="shared" si="58"/>
        <v>0</v>
      </c>
      <c r="RQ17" s="88">
        <v>46172</v>
      </c>
      <c r="RR17" s="89"/>
      <c r="RS17" s="191"/>
      <c r="RU17" s="84"/>
      <c r="RV17" s="87"/>
      <c r="RW17" s="87"/>
      <c r="RX17" s="87">
        <f t="shared" si="59"/>
        <v>0</v>
      </c>
      <c r="RY17" s="88">
        <v>46172</v>
      </c>
      <c r="RZ17" s="89"/>
      <c r="SA17" s="82"/>
      <c r="SC17" s="84"/>
      <c r="SD17" s="87"/>
      <c r="SE17" s="87"/>
      <c r="SF17" s="87">
        <f t="shared" si="60"/>
        <v>0</v>
      </c>
      <c r="SG17" s="88">
        <v>46172</v>
      </c>
      <c r="SH17" s="89"/>
      <c r="SI17" s="82"/>
      <c r="SK17" s="103"/>
      <c r="SL17" s="86"/>
      <c r="SM17" s="86"/>
      <c r="SN17" s="87">
        <f t="shared" si="61"/>
        <v>0</v>
      </c>
      <c r="SO17" s="88">
        <v>46172</v>
      </c>
      <c r="SP17" s="91"/>
      <c r="SQ17" s="82"/>
      <c r="SS17" s="84"/>
      <c r="ST17" s="87"/>
      <c r="SU17" s="87"/>
      <c r="SV17" s="87">
        <f t="shared" si="62"/>
        <v>0</v>
      </c>
      <c r="SW17" s="88">
        <v>46172</v>
      </c>
      <c r="SX17" s="89"/>
      <c r="SY17" s="82"/>
      <c r="TA17" s="84"/>
      <c r="TB17" s="87"/>
      <c r="TC17" s="87"/>
      <c r="TD17" s="87">
        <f t="shared" si="63"/>
        <v>0</v>
      </c>
      <c r="TE17" s="88">
        <v>46172</v>
      </c>
      <c r="TF17" s="91"/>
      <c r="TG17" s="82"/>
      <c r="TI17" s="84"/>
      <c r="TJ17" s="87"/>
      <c r="TK17" s="87"/>
      <c r="TL17" s="87">
        <f t="shared" si="64"/>
        <v>0</v>
      </c>
      <c r="TM17" s="88">
        <v>46172</v>
      </c>
      <c r="TN17" s="89"/>
      <c r="TO17" s="82"/>
      <c r="TQ17" s="84"/>
      <c r="TR17" s="87"/>
      <c r="TS17" s="87"/>
      <c r="TT17" s="87">
        <f t="shared" si="65"/>
        <v>0</v>
      </c>
      <c r="TU17" s="88">
        <v>46172</v>
      </c>
      <c r="TV17" s="173"/>
      <c r="TW17" s="82"/>
      <c r="TY17" s="84"/>
      <c r="TZ17" s="87"/>
      <c r="UA17" s="87"/>
      <c r="UB17" s="87">
        <f t="shared" si="66"/>
        <v>0</v>
      </c>
      <c r="UC17" s="88">
        <v>46172</v>
      </c>
      <c r="UD17" s="89"/>
      <c r="UE17" s="82"/>
      <c r="UG17" s="84"/>
      <c r="UH17" s="87"/>
      <c r="UI17" s="87"/>
      <c r="UJ17" s="87">
        <f t="shared" si="67"/>
        <v>0</v>
      </c>
      <c r="UK17" s="88">
        <v>46172</v>
      </c>
      <c r="UL17" s="89"/>
      <c r="UM17" s="82"/>
      <c r="UO17" s="84"/>
      <c r="UP17" s="87"/>
      <c r="UQ17" s="87"/>
      <c r="UR17" s="87">
        <f>SUM(UR16,UP17,-UQ17)</f>
        <v>0</v>
      </c>
      <c r="US17" s="88">
        <v>46172</v>
      </c>
      <c r="UT17" s="89"/>
      <c r="UU17" s="82"/>
      <c r="UW17" s="84"/>
      <c r="UX17" s="87"/>
      <c r="UY17" s="87"/>
      <c r="UZ17" s="87">
        <f t="shared" si="69"/>
        <v>0</v>
      </c>
      <c r="VA17" s="88">
        <v>46172</v>
      </c>
      <c r="VB17" s="89"/>
      <c r="VC17" s="82"/>
      <c r="VE17" s="84"/>
      <c r="VF17" s="87"/>
      <c r="VG17" s="87"/>
      <c r="VH17" s="87">
        <f t="shared" si="70"/>
        <v>0</v>
      </c>
      <c r="VI17" s="88">
        <v>46172</v>
      </c>
      <c r="VJ17" s="89"/>
      <c r="VK17" s="82"/>
      <c r="VM17" s="84"/>
      <c r="VN17" s="87"/>
      <c r="VO17" s="87"/>
      <c r="VP17" s="87">
        <f t="shared" si="71"/>
        <v>0</v>
      </c>
      <c r="VQ17" s="88">
        <v>46172</v>
      </c>
      <c r="VR17" s="89"/>
      <c r="VS17" s="82"/>
      <c r="VU17" s="84"/>
      <c r="VV17" s="87"/>
      <c r="VW17" s="87"/>
      <c r="VX17" s="87">
        <f t="shared" si="72"/>
        <v>0</v>
      </c>
      <c r="VY17" s="88">
        <v>46172</v>
      </c>
      <c r="VZ17" s="89"/>
      <c r="WA17" s="82"/>
      <c r="WC17" s="84"/>
      <c r="WD17" s="87"/>
      <c r="WE17" s="87"/>
      <c r="WF17" s="87">
        <f t="shared" si="73"/>
        <v>0</v>
      </c>
      <c r="WG17" s="88">
        <v>46172</v>
      </c>
      <c r="WH17" s="89"/>
      <c r="WI17" s="82"/>
      <c r="WJ17"/>
      <c r="WK17" s="84"/>
      <c r="WL17" s="87"/>
      <c r="WM17" s="87"/>
      <c r="WN17" s="87">
        <f t="shared" si="74"/>
        <v>0</v>
      </c>
      <c r="WO17" s="88">
        <v>46172</v>
      </c>
      <c r="WP17" s="89"/>
      <c r="WQ17" s="82"/>
      <c r="WR17"/>
      <c r="WS17" s="84"/>
      <c r="WT17" s="87"/>
      <c r="WU17" s="87"/>
      <c r="WV17" s="87">
        <f t="shared" si="75"/>
        <v>0</v>
      </c>
      <c r="WW17" s="88">
        <v>46172</v>
      </c>
      <c r="WX17" s="91"/>
      <c r="WY17" s="82"/>
      <c r="XA17" s="84"/>
      <c r="XB17" s="87"/>
      <c r="XC17" s="87"/>
      <c r="XD17" s="87">
        <f t="shared" si="76"/>
        <v>0</v>
      </c>
      <c r="XE17" s="88">
        <v>46172</v>
      </c>
      <c r="XF17" s="91"/>
      <c r="XG17" s="82"/>
      <c r="XI17" s="84"/>
      <c r="XJ17" s="87"/>
      <c r="XK17" s="87"/>
      <c r="XL17" s="87">
        <f t="shared" si="77"/>
        <v>0</v>
      </c>
      <c r="XM17" s="88">
        <v>46172</v>
      </c>
      <c r="XN17" s="91"/>
      <c r="XO17" s="82"/>
      <c r="XQ17" s="84"/>
      <c r="XR17" s="87"/>
      <c r="XS17" s="87"/>
      <c r="XT17" s="87">
        <f t="shared" si="78"/>
        <v>0</v>
      </c>
      <c r="XU17" s="88">
        <v>46172</v>
      </c>
      <c r="XV17" s="91"/>
      <c r="XW17" s="82"/>
      <c r="XY17" s="84"/>
      <c r="XZ17" s="87"/>
      <c r="YA17" s="87"/>
      <c r="YB17" s="87">
        <f t="shared" si="79"/>
        <v>0</v>
      </c>
      <c r="YC17" s="88">
        <v>46172</v>
      </c>
      <c r="YD17" s="89"/>
      <c r="YE17" s="82"/>
      <c r="YG17" s="84"/>
      <c r="YH17" s="87"/>
      <c r="YI17" s="87"/>
      <c r="YJ17" s="87">
        <f t="shared" si="80"/>
        <v>0</v>
      </c>
      <c r="YK17" s="88">
        <v>46172</v>
      </c>
      <c r="YL17" s="89"/>
      <c r="YM17" s="82"/>
      <c r="YO17" s="84"/>
      <c r="YP17" s="87"/>
      <c r="YQ17" s="87"/>
      <c r="YR17" s="87">
        <f t="shared" si="81"/>
        <v>0</v>
      </c>
      <c r="YS17" s="88">
        <v>46172</v>
      </c>
      <c r="YT17" s="89"/>
      <c r="YU17" s="82"/>
      <c r="YW17" s="84"/>
      <c r="YX17" s="87"/>
      <c r="YY17" s="87"/>
      <c r="YZ17" s="87">
        <f t="shared" si="82"/>
        <v>0</v>
      </c>
      <c r="ZA17" s="88">
        <v>46172</v>
      </c>
      <c r="ZB17" s="89"/>
      <c r="ZC17" s="82"/>
      <c r="ZE17" s="84"/>
      <c r="ZF17" s="87"/>
      <c r="ZG17" s="87"/>
      <c r="ZH17" s="87">
        <f t="shared" si="83"/>
        <v>0</v>
      </c>
      <c r="ZI17" s="88">
        <v>46172</v>
      </c>
      <c r="ZJ17" s="89"/>
      <c r="ZK17" s="82"/>
      <c r="ZM17" s="84"/>
      <c r="ZN17" s="87"/>
      <c r="ZO17" s="87"/>
      <c r="ZP17" s="87">
        <f t="shared" si="84"/>
        <v>0</v>
      </c>
      <c r="ZQ17" s="88">
        <v>46172</v>
      </c>
      <c r="ZR17" s="89"/>
      <c r="ZS17" s="82"/>
      <c r="ZU17" s="84"/>
      <c r="ZV17" s="87"/>
      <c r="ZW17" s="87"/>
      <c r="ZX17" s="87">
        <f t="shared" si="85"/>
        <v>0</v>
      </c>
      <c r="ZY17" s="88">
        <v>46172</v>
      </c>
      <c r="ZZ17" s="89"/>
      <c r="AAA17" s="82"/>
      <c r="AAC17" s="84"/>
      <c r="AAD17" s="87"/>
      <c r="AAE17" s="87"/>
      <c r="AAF17" s="87">
        <f t="shared" si="86"/>
        <v>0</v>
      </c>
      <c r="AAG17" s="88">
        <v>46172</v>
      </c>
      <c r="AAH17" s="89"/>
      <c r="AAI17" s="82"/>
      <c r="AAK17" s="84"/>
      <c r="AAL17" s="87"/>
      <c r="AAM17" s="87"/>
      <c r="AAN17" s="87">
        <f t="shared" si="87"/>
        <v>0</v>
      </c>
      <c r="AAO17" s="88">
        <v>46172</v>
      </c>
      <c r="AAP17" s="89"/>
      <c r="AAQ17" s="82"/>
      <c r="AAS17" s="84"/>
      <c r="AAT17" s="87"/>
      <c r="AAU17" s="87"/>
      <c r="AAV17" s="87">
        <f t="shared" si="88"/>
        <v>0</v>
      </c>
      <c r="AAW17" s="88">
        <v>46172</v>
      </c>
      <c r="AAX17" s="89"/>
      <c r="AAY17" s="82"/>
      <c r="ABA17" s="84"/>
      <c r="ABB17" s="87"/>
      <c r="ABC17" s="87"/>
      <c r="ABD17" s="87">
        <f t="shared" si="89"/>
        <v>0</v>
      </c>
      <c r="ABE17" s="88">
        <v>46172</v>
      </c>
      <c r="ABF17" s="89"/>
      <c r="ABG17" s="82"/>
      <c r="ABI17" s="84"/>
      <c r="ABJ17" s="87"/>
      <c r="ABK17" s="87"/>
      <c r="ABL17" s="87">
        <f t="shared" si="90"/>
        <v>0</v>
      </c>
      <c r="ABM17" s="88">
        <v>46172</v>
      </c>
      <c r="ABN17" s="89"/>
      <c r="ABO17" s="82"/>
      <c r="ABQ17" s="84"/>
      <c r="ABR17" s="87"/>
      <c r="ABS17" s="87"/>
      <c r="ABT17" s="87">
        <f t="shared" si="91"/>
        <v>0</v>
      </c>
      <c r="ABU17" s="88">
        <v>46172</v>
      </c>
      <c r="ABV17" s="89"/>
      <c r="ABW17" s="82"/>
      <c r="ABY17" s="84"/>
      <c r="ABZ17" s="87"/>
      <c r="ACA17" s="87"/>
      <c r="ACB17" s="87">
        <f t="shared" si="92"/>
        <v>0</v>
      </c>
      <c r="ACC17" s="88">
        <v>46172</v>
      </c>
      <c r="ACD17" s="89"/>
      <c r="ACE17" s="82"/>
    </row>
    <row r="18" spans="1:759" ht="12" customHeight="1" thickBot="1" x14ac:dyDescent="0.3">
      <c r="A18" s="84"/>
      <c r="B18" s="350"/>
      <c r="C18" s="222"/>
      <c r="D18" s="87">
        <f t="shared" si="2"/>
        <v>1700</v>
      </c>
      <c r="E18" s="88">
        <v>46172</v>
      </c>
      <c r="F18" s="374"/>
      <c r="G18" s="382"/>
      <c r="H18" s="108"/>
      <c r="I18" s="84"/>
      <c r="J18" s="87"/>
      <c r="K18" s="87"/>
      <c r="L18" s="87">
        <f t="shared" si="0"/>
        <v>1000</v>
      </c>
      <c r="M18" s="163">
        <v>46172</v>
      </c>
      <c r="N18" s="220"/>
      <c r="O18" s="82"/>
      <c r="P18" s="72"/>
      <c r="Q18" s="84"/>
      <c r="R18" s="222"/>
      <c r="S18" s="222"/>
      <c r="T18" s="87">
        <f t="shared" si="1"/>
        <v>4000</v>
      </c>
      <c r="U18" s="88">
        <v>46172</v>
      </c>
      <c r="V18" s="220"/>
      <c r="W18" s="82"/>
      <c r="X18" s="162"/>
      <c r="Y18" s="84"/>
      <c r="Z18" s="222"/>
      <c r="AA18" s="222"/>
      <c r="AB18" s="222">
        <f t="shared" si="3"/>
        <v>1000</v>
      </c>
      <c r="AC18" s="88">
        <v>46172</v>
      </c>
      <c r="AD18" s="220"/>
      <c r="AE18" s="82"/>
      <c r="AF18" s="198"/>
      <c r="AG18" s="84"/>
      <c r="AH18" s="222"/>
      <c r="AI18" s="222"/>
      <c r="AJ18" s="87">
        <f t="shared" si="4"/>
        <v>2000</v>
      </c>
      <c r="AK18" s="88">
        <v>46172</v>
      </c>
      <c r="AL18" s="220"/>
      <c r="AM18" s="389"/>
      <c r="AN18" s="390"/>
      <c r="AO18" s="84"/>
      <c r="AP18" s="222"/>
      <c r="AQ18" s="222"/>
      <c r="AR18" s="87">
        <f t="shared" si="5"/>
        <v>1000</v>
      </c>
      <c r="AS18" s="88">
        <v>46172</v>
      </c>
      <c r="AT18" s="220"/>
      <c r="AU18" s="82"/>
      <c r="AV18" s="72"/>
      <c r="AW18" s="84"/>
      <c r="AX18" s="222"/>
      <c r="AY18" s="222"/>
      <c r="AZ18" s="87">
        <f t="shared" si="6"/>
        <v>1150</v>
      </c>
      <c r="BA18" s="88">
        <v>46172</v>
      </c>
      <c r="BB18" s="374"/>
      <c r="BC18" s="82"/>
      <c r="BD18" s="341"/>
      <c r="BE18" s="84"/>
      <c r="BF18" s="87"/>
      <c r="BG18" s="87"/>
      <c r="BH18" s="87">
        <f t="shared" si="7"/>
        <v>7000</v>
      </c>
      <c r="BI18" s="88">
        <v>46172</v>
      </c>
      <c r="BJ18" s="220"/>
      <c r="BK18" s="82"/>
      <c r="BM18" s="84"/>
      <c r="BN18" s="222"/>
      <c r="BO18" s="222"/>
      <c r="BP18" s="87">
        <f t="shared" si="8"/>
        <v>1000</v>
      </c>
      <c r="BQ18" s="88">
        <v>46172</v>
      </c>
      <c r="BR18" s="220"/>
      <c r="BS18" s="82"/>
      <c r="BT18" s="60"/>
      <c r="BU18" s="84"/>
      <c r="BV18" s="87"/>
      <c r="BW18" s="87"/>
      <c r="BX18" s="87">
        <f t="shared" si="9"/>
        <v>0</v>
      </c>
      <c r="BY18" s="88">
        <v>46172</v>
      </c>
      <c r="BZ18" s="220"/>
      <c r="CA18" s="82"/>
      <c r="CB18" s="72"/>
      <c r="CC18" s="10"/>
      <c r="CD18" s="87"/>
      <c r="CE18" s="87"/>
      <c r="CF18" s="87">
        <f t="shared" si="10"/>
        <v>0</v>
      </c>
      <c r="CG18" s="93">
        <v>46188</v>
      </c>
      <c r="CH18" s="220"/>
      <c r="CI18" s="82"/>
      <c r="CJ18" s="72"/>
      <c r="CK18" s="84"/>
      <c r="CL18" s="222"/>
      <c r="CM18" s="222"/>
      <c r="CN18" s="87">
        <f t="shared" si="11"/>
        <v>0</v>
      </c>
      <c r="CO18" s="93">
        <v>46188</v>
      </c>
      <c r="CP18" s="220"/>
      <c r="CQ18" s="82"/>
      <c r="CR18" s="72"/>
      <c r="CS18" s="84"/>
      <c r="CT18" s="222"/>
      <c r="CU18" s="222"/>
      <c r="CV18" s="87">
        <f>SUM(CV17,CT18,-CU18)</f>
        <v>0</v>
      </c>
      <c r="CW18" s="93">
        <v>46188</v>
      </c>
      <c r="CX18" s="220"/>
      <c r="CY18" s="82"/>
      <c r="DA18" s="84"/>
      <c r="DB18" s="222"/>
      <c r="DC18" s="222"/>
      <c r="DD18" s="87">
        <f t="shared" si="13"/>
        <v>0</v>
      </c>
      <c r="DE18" s="93">
        <v>46188</v>
      </c>
      <c r="DF18" s="220"/>
      <c r="DG18" s="82"/>
      <c r="DI18" s="84"/>
      <c r="DJ18" s="87"/>
      <c r="DK18" s="87"/>
      <c r="DL18" s="87">
        <f t="shared" si="14"/>
        <v>0</v>
      </c>
      <c r="DM18" s="88">
        <v>46172</v>
      </c>
      <c r="DN18" s="220"/>
      <c r="DO18" s="82"/>
      <c r="DQ18" s="84"/>
      <c r="DR18" s="222"/>
      <c r="DS18" s="222"/>
      <c r="DT18" s="87">
        <f t="shared" si="15"/>
        <v>0</v>
      </c>
      <c r="DU18" s="88">
        <v>46172</v>
      </c>
      <c r="DV18" s="220"/>
      <c r="DW18" s="82"/>
      <c r="DX18" s="72"/>
      <c r="DY18" s="99"/>
      <c r="DZ18" s="222"/>
      <c r="EA18" s="222"/>
      <c r="EB18" s="87">
        <f t="shared" si="16"/>
        <v>0</v>
      </c>
      <c r="EC18" s="88">
        <v>46172</v>
      </c>
      <c r="ED18" s="220"/>
      <c r="EE18" s="82"/>
      <c r="EF18" s="72"/>
      <c r="EG18" s="90"/>
      <c r="EH18" s="87"/>
      <c r="EI18" s="87"/>
      <c r="EJ18" s="87">
        <f t="shared" si="17"/>
        <v>0</v>
      </c>
      <c r="EK18" s="88">
        <v>46172</v>
      </c>
      <c r="EL18" s="220"/>
      <c r="EM18" s="82"/>
      <c r="EO18" s="84"/>
      <c r="EP18" s="87"/>
      <c r="EQ18" s="222"/>
      <c r="ER18" s="87">
        <f t="shared" si="18"/>
        <v>0</v>
      </c>
      <c r="ES18" s="88">
        <v>46172</v>
      </c>
      <c r="ET18" s="220"/>
      <c r="EU18" s="82"/>
      <c r="EW18" s="99"/>
      <c r="EX18" s="222"/>
      <c r="EY18" s="222"/>
      <c r="EZ18" s="87">
        <f t="shared" si="19"/>
        <v>0</v>
      </c>
      <c r="FA18" s="88">
        <v>46172</v>
      </c>
      <c r="FB18" s="220"/>
      <c r="FC18" s="82"/>
      <c r="FE18" s="84"/>
      <c r="FF18" s="87"/>
      <c r="FG18" s="87"/>
      <c r="FH18" s="87">
        <f t="shared" si="93"/>
        <v>0</v>
      </c>
      <c r="FI18" s="88">
        <v>46172</v>
      </c>
      <c r="FJ18" s="220"/>
      <c r="FK18" s="82"/>
      <c r="FL18" s="198"/>
      <c r="FM18" s="84"/>
      <c r="FN18" s="87"/>
      <c r="FO18" s="87"/>
      <c r="FP18" s="87">
        <f t="shared" si="20"/>
        <v>0</v>
      </c>
      <c r="FQ18" s="88">
        <v>46172</v>
      </c>
      <c r="FR18" s="220"/>
      <c r="FS18" s="82"/>
      <c r="FT18" s="59"/>
      <c r="FU18" s="103"/>
      <c r="FV18" s="86"/>
      <c r="FW18" s="86"/>
      <c r="FX18" s="86">
        <f t="shared" si="21"/>
        <v>0</v>
      </c>
      <c r="FY18" s="166">
        <v>46172</v>
      </c>
      <c r="FZ18" s="220"/>
      <c r="GA18" s="82"/>
      <c r="GC18" s="84"/>
      <c r="GD18" s="222"/>
      <c r="GE18" s="222"/>
      <c r="GF18" s="87">
        <f t="shared" si="22"/>
        <v>0</v>
      </c>
      <c r="GG18" s="88">
        <v>46172</v>
      </c>
      <c r="GH18" s="220"/>
      <c r="GI18" s="82"/>
      <c r="GJ18"/>
      <c r="GK18" s="90"/>
      <c r="GL18" s="87"/>
      <c r="GM18" s="87"/>
      <c r="GN18" s="87">
        <f t="shared" si="23"/>
        <v>0</v>
      </c>
      <c r="GO18" s="93">
        <v>46188</v>
      </c>
      <c r="GP18" s="220"/>
      <c r="GQ18" s="82"/>
      <c r="GR18" s="72"/>
      <c r="GS18" s="84"/>
      <c r="GT18" s="222"/>
      <c r="GU18" s="222"/>
      <c r="GV18" s="87">
        <f t="shared" si="24"/>
        <v>0</v>
      </c>
      <c r="GW18" s="93">
        <v>46188</v>
      </c>
      <c r="GX18" s="220"/>
      <c r="GY18" s="82"/>
      <c r="GZ18" s="41"/>
      <c r="HA18" s="99"/>
      <c r="HB18" s="87"/>
      <c r="HC18" s="87"/>
      <c r="HD18" s="87">
        <f t="shared" si="25"/>
        <v>0</v>
      </c>
      <c r="HE18" s="93">
        <v>46188</v>
      </c>
      <c r="HF18" s="220"/>
      <c r="HG18" s="82"/>
      <c r="HH18" s="59"/>
      <c r="HI18" s="99"/>
      <c r="HJ18" s="87"/>
      <c r="HK18" s="87"/>
      <c r="HL18" s="87">
        <f t="shared" si="26"/>
        <v>0</v>
      </c>
      <c r="HM18" s="93">
        <v>46188</v>
      </c>
      <c r="HN18" s="220"/>
      <c r="HO18" s="82"/>
      <c r="HQ18" s="84"/>
      <c r="HR18" s="87"/>
      <c r="HS18" s="222"/>
      <c r="HT18" s="87">
        <f t="shared" si="27"/>
        <v>0</v>
      </c>
      <c r="HU18" s="93">
        <v>46188</v>
      </c>
      <c r="HV18" s="220"/>
      <c r="HW18" s="82"/>
      <c r="HY18" s="99"/>
      <c r="HZ18" s="87"/>
      <c r="IA18" s="87"/>
      <c r="IB18" s="87">
        <f t="shared" si="28"/>
        <v>0</v>
      </c>
      <c r="IC18" s="93">
        <v>46188</v>
      </c>
      <c r="ID18" s="89"/>
      <c r="IE18" s="82"/>
      <c r="IG18" s="99"/>
      <c r="IH18" s="87"/>
      <c r="II18" s="87"/>
      <c r="IJ18" s="87">
        <f t="shared" si="29"/>
        <v>0</v>
      </c>
      <c r="IK18" s="93">
        <v>46188</v>
      </c>
      <c r="IL18" s="91"/>
      <c r="IM18" s="42"/>
      <c r="IO18" s="84"/>
      <c r="IP18" s="87"/>
      <c r="IQ18" s="87"/>
      <c r="IR18" s="87">
        <f t="shared" si="30"/>
        <v>0</v>
      </c>
      <c r="IS18" s="93">
        <v>46188</v>
      </c>
      <c r="IT18" s="91"/>
      <c r="IU18" s="82"/>
      <c r="IW18" s="84"/>
      <c r="IX18" s="87"/>
      <c r="IY18" s="87"/>
      <c r="IZ18" s="87">
        <f t="shared" si="31"/>
        <v>0</v>
      </c>
      <c r="JA18" s="93">
        <v>46188</v>
      </c>
      <c r="JB18" s="89"/>
      <c r="JC18" s="82"/>
      <c r="JE18" s="84"/>
      <c r="JF18" s="87"/>
      <c r="JG18" s="87"/>
      <c r="JH18" s="87">
        <f t="shared" si="32"/>
        <v>0</v>
      </c>
      <c r="JI18" s="93">
        <v>46188</v>
      </c>
      <c r="JJ18" s="220"/>
      <c r="JK18" s="82"/>
      <c r="JM18" s="84"/>
      <c r="JN18" s="87"/>
      <c r="JO18" s="87"/>
      <c r="JP18" s="87">
        <f t="shared" si="33"/>
        <v>0</v>
      </c>
      <c r="JQ18" s="164">
        <v>46188</v>
      </c>
      <c r="JR18" s="89"/>
      <c r="JS18" s="82"/>
      <c r="JU18" s="90"/>
      <c r="JV18" s="87"/>
      <c r="JW18" s="87"/>
      <c r="JX18" s="87">
        <f t="shared" si="94"/>
        <v>0</v>
      </c>
      <c r="JY18" s="164">
        <v>46188</v>
      </c>
      <c r="JZ18" s="91"/>
      <c r="KA18" s="82"/>
      <c r="KC18" s="84"/>
      <c r="KD18" s="87"/>
      <c r="KE18" s="87"/>
      <c r="KF18" s="87">
        <f t="shared" si="34"/>
        <v>0</v>
      </c>
      <c r="KG18" s="164">
        <v>46188</v>
      </c>
      <c r="KH18" s="222"/>
      <c r="KI18" s="109"/>
      <c r="KJ18" s="102"/>
      <c r="KK18" s="99"/>
      <c r="KL18" s="87"/>
      <c r="KM18" s="87"/>
      <c r="KN18" s="87">
        <f t="shared" si="35"/>
        <v>0</v>
      </c>
      <c r="KO18" s="164">
        <v>46188</v>
      </c>
      <c r="KP18" s="89"/>
      <c r="KQ18" s="82"/>
      <c r="KR18"/>
      <c r="KS18" s="84"/>
      <c r="KT18" s="87"/>
      <c r="KU18" s="87"/>
      <c r="KV18" s="87">
        <f t="shared" si="36"/>
        <v>0</v>
      </c>
      <c r="KW18" s="93">
        <v>46188</v>
      </c>
      <c r="KX18" s="89"/>
      <c r="KY18" s="82"/>
      <c r="KZ18" s="102"/>
      <c r="LA18" s="90"/>
      <c r="LB18" s="87"/>
      <c r="LC18" s="87"/>
      <c r="LD18" s="87">
        <f t="shared" si="37"/>
        <v>0</v>
      </c>
      <c r="LE18" s="164">
        <v>46188</v>
      </c>
      <c r="LF18" s="89"/>
      <c r="LG18" s="192"/>
      <c r="LH18"/>
      <c r="LI18" s="84"/>
      <c r="LJ18" s="87"/>
      <c r="LK18" s="87"/>
      <c r="LL18" s="87">
        <f t="shared" si="38"/>
        <v>0</v>
      </c>
      <c r="LM18" s="93">
        <v>46188</v>
      </c>
      <c r="LN18" s="89"/>
      <c r="LO18" s="82"/>
      <c r="LQ18" s="84"/>
      <c r="LR18" s="87"/>
      <c r="LS18" s="87"/>
      <c r="LT18" s="87">
        <f t="shared" si="39"/>
        <v>0</v>
      </c>
      <c r="LU18" s="93">
        <v>46188</v>
      </c>
      <c r="LV18" s="89"/>
      <c r="LW18" s="82"/>
      <c r="LX18" s="102"/>
      <c r="LY18" s="84"/>
      <c r="LZ18" s="87"/>
      <c r="MA18" s="87"/>
      <c r="MB18" s="87">
        <f t="shared" si="40"/>
        <v>0</v>
      </c>
      <c r="MC18" s="93">
        <v>46188</v>
      </c>
      <c r="MD18" s="89"/>
      <c r="ME18" s="82"/>
      <c r="MG18" s="90"/>
      <c r="MH18" s="87"/>
      <c r="MI18" s="87"/>
      <c r="MJ18" s="87">
        <f t="shared" si="41"/>
        <v>0</v>
      </c>
      <c r="MK18" s="93">
        <v>46188</v>
      </c>
      <c r="ML18" s="89"/>
      <c r="MM18" s="82"/>
      <c r="MN18"/>
      <c r="MO18" s="111"/>
      <c r="MP18" s="86"/>
      <c r="MQ18" s="86"/>
      <c r="MR18" s="86">
        <f t="shared" si="42"/>
        <v>0</v>
      </c>
      <c r="MS18" s="106">
        <v>46188</v>
      </c>
      <c r="MT18" s="91"/>
      <c r="MU18" s="82"/>
      <c r="MW18" s="10"/>
      <c r="MX18" s="87"/>
      <c r="MY18" s="87"/>
      <c r="MZ18" s="87">
        <f t="shared" si="43"/>
        <v>0</v>
      </c>
      <c r="NA18" s="93">
        <v>46188</v>
      </c>
      <c r="NB18" s="89"/>
      <c r="NC18" s="82"/>
      <c r="NE18" s="84"/>
      <c r="NF18" s="87"/>
      <c r="NG18" s="87"/>
      <c r="NH18" s="87">
        <f t="shared" si="44"/>
        <v>0</v>
      </c>
      <c r="NI18" s="93">
        <v>46188</v>
      </c>
      <c r="NJ18" s="89"/>
      <c r="NK18" s="82"/>
      <c r="NM18" s="84"/>
      <c r="NN18" s="87"/>
      <c r="NO18" s="87"/>
      <c r="NP18" s="87">
        <f t="shared" si="45"/>
        <v>0</v>
      </c>
      <c r="NQ18" s="93">
        <v>46188</v>
      </c>
      <c r="NR18" s="91"/>
      <c r="NS18" s="82"/>
      <c r="NU18" s="84"/>
      <c r="NV18" s="87"/>
      <c r="NW18" s="87"/>
      <c r="NX18" s="87">
        <f t="shared" si="46"/>
        <v>0</v>
      </c>
      <c r="NY18" s="93">
        <v>46188</v>
      </c>
      <c r="NZ18" s="89"/>
      <c r="OA18" s="82"/>
      <c r="OC18" s="84"/>
      <c r="OD18" s="87"/>
      <c r="OE18" s="87"/>
      <c r="OF18" s="87">
        <f t="shared" si="47"/>
        <v>0</v>
      </c>
      <c r="OG18" s="93">
        <v>46188</v>
      </c>
      <c r="OH18" s="89"/>
      <c r="OI18" s="82"/>
      <c r="OK18" s="84"/>
      <c r="OL18" s="87"/>
      <c r="OM18" s="87"/>
      <c r="ON18" s="87">
        <f t="shared" si="48"/>
        <v>0</v>
      </c>
      <c r="OO18" s="93">
        <v>46188</v>
      </c>
      <c r="OP18" s="91"/>
      <c r="OQ18" s="82"/>
      <c r="OS18" s="84"/>
      <c r="OT18" s="87"/>
      <c r="OU18" s="87"/>
      <c r="OV18" s="87">
        <f t="shared" si="49"/>
        <v>0</v>
      </c>
      <c r="OW18" s="93">
        <v>46188</v>
      </c>
      <c r="OX18" s="89"/>
      <c r="OY18" s="82"/>
      <c r="PA18" s="84"/>
      <c r="PB18" s="87"/>
      <c r="PC18" s="87"/>
      <c r="PD18" s="87">
        <f t="shared" si="50"/>
        <v>0</v>
      </c>
      <c r="PE18" s="93">
        <v>46188</v>
      </c>
      <c r="PF18" s="89"/>
      <c r="PG18" s="82"/>
      <c r="PH18"/>
      <c r="PI18" s="84"/>
      <c r="PJ18" s="87"/>
      <c r="PK18" s="87"/>
      <c r="PL18" s="87">
        <f t="shared" si="51"/>
        <v>0</v>
      </c>
      <c r="PM18" s="93">
        <v>46188</v>
      </c>
      <c r="PN18" s="211"/>
      <c r="PO18" s="216"/>
      <c r="PQ18" s="99"/>
      <c r="PR18" s="87"/>
      <c r="PS18" s="87"/>
      <c r="PT18" s="87">
        <f t="shared" si="52"/>
        <v>0</v>
      </c>
      <c r="PU18" s="93">
        <v>46188</v>
      </c>
      <c r="PV18" s="89"/>
      <c r="PW18" s="82"/>
      <c r="PY18" s="84"/>
      <c r="PZ18" s="87"/>
      <c r="QA18" s="87"/>
      <c r="QB18" s="87">
        <f t="shared" si="53"/>
        <v>0</v>
      </c>
      <c r="QC18" s="93">
        <v>46188</v>
      </c>
      <c r="QD18" s="91"/>
      <c r="QE18" s="82"/>
      <c r="QF18"/>
      <c r="QG18" s="84"/>
      <c r="QH18" s="87"/>
      <c r="QI18" s="87"/>
      <c r="QJ18" s="87">
        <f t="shared" si="54"/>
        <v>0</v>
      </c>
      <c r="QK18" s="93">
        <v>46188</v>
      </c>
      <c r="QL18" s="89"/>
      <c r="QM18" s="82"/>
      <c r="QO18" s="90"/>
      <c r="QP18" s="87"/>
      <c r="QQ18" s="87"/>
      <c r="QR18" s="87">
        <f t="shared" si="55"/>
        <v>0</v>
      </c>
      <c r="QS18" s="93">
        <v>46188</v>
      </c>
      <c r="QT18" s="212"/>
      <c r="QU18" s="216"/>
      <c r="QW18" s="90"/>
      <c r="QX18" s="87"/>
      <c r="QY18" s="87"/>
      <c r="QZ18" s="87">
        <f t="shared" si="56"/>
        <v>0</v>
      </c>
      <c r="RA18" s="93">
        <v>46188</v>
      </c>
      <c r="RB18" s="89"/>
      <c r="RC18" s="82"/>
      <c r="RE18" s="84"/>
      <c r="RF18" s="87"/>
      <c r="RG18" s="87"/>
      <c r="RH18" s="87">
        <f t="shared" si="57"/>
        <v>0</v>
      </c>
      <c r="RI18" s="93">
        <v>46188</v>
      </c>
      <c r="RJ18" s="89"/>
      <c r="RK18" s="170"/>
      <c r="RM18" s="84"/>
      <c r="RN18" s="87"/>
      <c r="RO18" s="87"/>
      <c r="RP18" s="87">
        <f t="shared" si="58"/>
        <v>0</v>
      </c>
      <c r="RQ18" s="93">
        <v>46188</v>
      </c>
      <c r="RR18" s="89"/>
      <c r="RS18" s="191"/>
      <c r="RU18" s="99"/>
      <c r="RV18" s="87"/>
      <c r="RW18" s="87"/>
      <c r="RX18" s="87">
        <f t="shared" si="59"/>
        <v>0</v>
      </c>
      <c r="RY18" s="93">
        <v>46188</v>
      </c>
      <c r="RZ18" s="89"/>
      <c r="SA18" s="82"/>
      <c r="SC18" s="84"/>
      <c r="SD18" s="87"/>
      <c r="SE18" s="87"/>
      <c r="SF18" s="87">
        <f t="shared" si="60"/>
        <v>0</v>
      </c>
      <c r="SG18" s="93">
        <v>46188</v>
      </c>
      <c r="SH18" s="89"/>
      <c r="SI18" s="82"/>
      <c r="SK18" s="103"/>
      <c r="SL18" s="86"/>
      <c r="SM18" s="86"/>
      <c r="SN18" s="87">
        <f t="shared" si="61"/>
        <v>0</v>
      </c>
      <c r="SO18" s="93">
        <v>46188</v>
      </c>
      <c r="SP18" s="91"/>
      <c r="SQ18" s="82"/>
      <c r="SS18" s="84"/>
      <c r="ST18" s="87"/>
      <c r="SU18" s="87"/>
      <c r="SV18" s="87">
        <f t="shared" si="62"/>
        <v>0</v>
      </c>
      <c r="SW18" s="93">
        <v>46188</v>
      </c>
      <c r="SX18" s="89"/>
      <c r="SY18" s="82"/>
      <c r="TA18" s="84"/>
      <c r="TB18" s="87"/>
      <c r="TC18" s="87"/>
      <c r="TD18" s="87">
        <f t="shared" si="63"/>
        <v>0</v>
      </c>
      <c r="TE18" s="93">
        <v>46188</v>
      </c>
      <c r="TF18" s="91"/>
      <c r="TG18" s="82"/>
      <c r="TI18" s="84"/>
      <c r="TJ18" s="87"/>
      <c r="TK18" s="87"/>
      <c r="TL18" s="87">
        <f t="shared" si="64"/>
        <v>0</v>
      </c>
      <c r="TM18" s="93">
        <v>46188</v>
      </c>
      <c r="TN18" s="89"/>
      <c r="TO18" s="82"/>
      <c r="TQ18" s="99"/>
      <c r="TR18" s="87"/>
      <c r="TS18" s="87"/>
      <c r="TT18" s="87">
        <f t="shared" si="65"/>
        <v>0</v>
      </c>
      <c r="TU18" s="93">
        <v>46188</v>
      </c>
      <c r="TV18" s="173"/>
      <c r="TW18" s="82"/>
      <c r="TY18" s="99"/>
      <c r="TZ18" s="87"/>
      <c r="UA18" s="87"/>
      <c r="UB18" s="87">
        <f t="shared" si="66"/>
        <v>0</v>
      </c>
      <c r="UC18" s="93">
        <v>46188</v>
      </c>
      <c r="UD18" s="89"/>
      <c r="UE18" s="82"/>
      <c r="UG18" s="90"/>
      <c r="UH18" s="87"/>
      <c r="UI18" s="87"/>
      <c r="UJ18" s="87">
        <f t="shared" si="67"/>
        <v>0</v>
      </c>
      <c r="UK18" s="93">
        <v>46188</v>
      </c>
      <c r="UL18" s="89"/>
      <c r="UM18" s="82"/>
      <c r="UO18" s="99"/>
      <c r="UP18" s="87"/>
      <c r="UQ18" s="87"/>
      <c r="UR18" s="87">
        <f t="shared" si="68"/>
        <v>0</v>
      </c>
      <c r="US18" s="93">
        <v>46188</v>
      </c>
      <c r="UT18" s="89"/>
      <c r="UU18" s="82"/>
      <c r="UW18" s="99"/>
      <c r="UX18" s="87"/>
      <c r="UY18" s="87"/>
      <c r="UZ18" s="87">
        <f t="shared" si="69"/>
        <v>0</v>
      </c>
      <c r="VA18" s="93">
        <v>46188</v>
      </c>
      <c r="VB18" s="89"/>
      <c r="VC18" s="82"/>
      <c r="VE18" s="99"/>
      <c r="VF18" s="87"/>
      <c r="VG18" s="87"/>
      <c r="VH18" s="87">
        <f t="shared" si="70"/>
        <v>0</v>
      </c>
      <c r="VI18" s="93">
        <v>46188</v>
      </c>
      <c r="VJ18" s="89"/>
      <c r="VK18" s="82"/>
      <c r="VM18" s="99"/>
      <c r="VN18" s="87"/>
      <c r="VO18" s="87"/>
      <c r="VP18" s="87">
        <f t="shared" si="71"/>
        <v>0</v>
      </c>
      <c r="VQ18" s="93">
        <v>46188</v>
      </c>
      <c r="VR18" s="89"/>
      <c r="VS18" s="82"/>
      <c r="VU18" s="99"/>
      <c r="VV18" s="87"/>
      <c r="VW18" s="87"/>
      <c r="VX18" s="87">
        <f t="shared" si="72"/>
        <v>0</v>
      </c>
      <c r="VY18" s="93">
        <v>46188</v>
      </c>
      <c r="VZ18" s="89"/>
      <c r="WA18" s="82"/>
      <c r="WB18" s="43"/>
      <c r="WC18" s="84"/>
      <c r="WD18" s="87"/>
      <c r="WE18" s="87"/>
      <c r="WF18" s="87">
        <f t="shared" si="73"/>
        <v>0</v>
      </c>
      <c r="WG18" s="93">
        <v>46188</v>
      </c>
      <c r="WH18" s="89"/>
      <c r="WI18" s="82"/>
      <c r="WJ18"/>
      <c r="WK18" s="90"/>
      <c r="WL18" s="87"/>
      <c r="WM18" s="87"/>
      <c r="WN18" s="87">
        <f t="shared" si="74"/>
        <v>0</v>
      </c>
      <c r="WO18" s="93">
        <v>46188</v>
      </c>
      <c r="WP18" s="89"/>
      <c r="WQ18" s="82"/>
      <c r="WS18" s="84"/>
      <c r="WT18" s="87"/>
      <c r="WU18" s="87"/>
      <c r="WV18" s="87">
        <f t="shared" si="75"/>
        <v>0</v>
      </c>
      <c r="WW18" s="93">
        <v>46188</v>
      </c>
      <c r="WX18" s="91"/>
      <c r="WY18" s="82"/>
      <c r="XA18" s="90"/>
      <c r="XB18" s="87"/>
      <c r="XC18" s="87"/>
      <c r="XD18" s="87">
        <f t="shared" si="76"/>
        <v>0</v>
      </c>
      <c r="XE18" s="93">
        <v>46188</v>
      </c>
      <c r="XF18" s="91"/>
      <c r="XG18" s="82"/>
      <c r="XI18" s="90"/>
      <c r="XJ18" s="87"/>
      <c r="XK18" s="87"/>
      <c r="XL18" s="87">
        <f t="shared" si="77"/>
        <v>0</v>
      </c>
      <c r="XM18" s="93">
        <v>46188</v>
      </c>
      <c r="XN18" s="91"/>
      <c r="XO18" s="82"/>
      <c r="XQ18" s="99"/>
      <c r="XR18" s="87"/>
      <c r="XS18" s="87"/>
      <c r="XT18" s="87">
        <f t="shared" si="78"/>
        <v>0</v>
      </c>
      <c r="XU18" s="93">
        <v>46188</v>
      </c>
      <c r="XV18" s="91"/>
      <c r="XW18" s="82"/>
      <c r="XY18" s="99"/>
      <c r="XZ18" s="87"/>
      <c r="YA18" s="87"/>
      <c r="YB18" s="87">
        <f t="shared" si="79"/>
        <v>0</v>
      </c>
      <c r="YC18" s="93">
        <v>46188</v>
      </c>
      <c r="YD18" s="89"/>
      <c r="YE18" s="82"/>
      <c r="YG18" s="99"/>
      <c r="YH18" s="87"/>
      <c r="YI18" s="87"/>
      <c r="YJ18" s="87">
        <f t="shared" si="80"/>
        <v>0</v>
      </c>
      <c r="YK18" s="93">
        <v>46188</v>
      </c>
      <c r="YL18" s="89"/>
      <c r="YM18" s="82"/>
      <c r="YO18" s="99"/>
      <c r="YP18" s="87"/>
      <c r="YQ18" s="87"/>
      <c r="YR18" s="87">
        <f t="shared" si="81"/>
        <v>0</v>
      </c>
      <c r="YS18" s="93">
        <v>46188</v>
      </c>
      <c r="YT18" s="89"/>
      <c r="YU18" s="82"/>
      <c r="YW18" s="99"/>
      <c r="YX18" s="87"/>
      <c r="YY18" s="87"/>
      <c r="YZ18" s="87">
        <f t="shared" si="82"/>
        <v>0</v>
      </c>
      <c r="ZA18" s="93">
        <v>46188</v>
      </c>
      <c r="ZB18" s="89"/>
      <c r="ZC18" s="82"/>
      <c r="ZE18" s="99"/>
      <c r="ZF18" s="87"/>
      <c r="ZG18" s="87"/>
      <c r="ZH18" s="87">
        <f t="shared" si="83"/>
        <v>0</v>
      </c>
      <c r="ZI18" s="93">
        <v>46188</v>
      </c>
      <c r="ZJ18" s="89"/>
      <c r="ZK18" s="82"/>
      <c r="ZM18" s="99"/>
      <c r="ZN18" s="87"/>
      <c r="ZO18" s="87"/>
      <c r="ZP18" s="87">
        <f t="shared" si="84"/>
        <v>0</v>
      </c>
      <c r="ZQ18" s="93">
        <v>46188</v>
      </c>
      <c r="ZR18" s="89"/>
      <c r="ZS18" s="82"/>
      <c r="ZU18" s="99"/>
      <c r="ZV18" s="87"/>
      <c r="ZW18" s="87"/>
      <c r="ZX18" s="87">
        <f t="shared" si="85"/>
        <v>0</v>
      </c>
      <c r="ZY18" s="93">
        <v>46188</v>
      </c>
      <c r="ZZ18" s="89"/>
      <c r="AAA18" s="82"/>
      <c r="AAC18" s="99"/>
      <c r="AAD18" s="87"/>
      <c r="AAE18" s="87"/>
      <c r="AAF18" s="87">
        <f t="shared" si="86"/>
        <v>0</v>
      </c>
      <c r="AAG18" s="93">
        <v>46188</v>
      </c>
      <c r="AAH18" s="89"/>
      <c r="AAI18" s="82"/>
      <c r="AAK18" s="99"/>
      <c r="AAL18" s="87"/>
      <c r="AAM18" s="87"/>
      <c r="AAN18" s="87">
        <f t="shared" si="87"/>
        <v>0</v>
      </c>
      <c r="AAO18" s="93">
        <v>46188</v>
      </c>
      <c r="AAP18" s="89"/>
      <c r="AAQ18" s="82"/>
      <c r="AAS18" s="99"/>
      <c r="AAT18" s="87"/>
      <c r="AAU18" s="87"/>
      <c r="AAV18" s="87">
        <f t="shared" si="88"/>
        <v>0</v>
      </c>
      <c r="AAW18" s="93">
        <v>46188</v>
      </c>
      <c r="AAX18" s="89"/>
      <c r="AAY18" s="82"/>
      <c r="ABA18" s="99"/>
      <c r="ABB18" s="87"/>
      <c r="ABC18" s="87"/>
      <c r="ABD18" s="87">
        <f t="shared" si="89"/>
        <v>0</v>
      </c>
      <c r="ABE18" s="93">
        <v>46188</v>
      </c>
      <c r="ABF18" s="89"/>
      <c r="ABG18" s="82"/>
      <c r="ABI18" s="99"/>
      <c r="ABJ18" s="87"/>
      <c r="ABK18" s="87"/>
      <c r="ABL18" s="87">
        <f t="shared" si="90"/>
        <v>0</v>
      </c>
      <c r="ABM18" s="93">
        <v>46188</v>
      </c>
      <c r="ABN18" s="89"/>
      <c r="ABO18" s="82"/>
      <c r="ABQ18" s="99"/>
      <c r="ABR18" s="87"/>
      <c r="ABS18" s="87"/>
      <c r="ABT18" s="87">
        <f t="shared" si="91"/>
        <v>0</v>
      </c>
      <c r="ABU18" s="93">
        <v>46188</v>
      </c>
      <c r="ABV18" s="89"/>
      <c r="ABW18" s="82"/>
      <c r="ABY18" s="99"/>
      <c r="ABZ18" s="87"/>
      <c r="ACA18" s="87"/>
      <c r="ACB18" s="87">
        <f t="shared" si="92"/>
        <v>0</v>
      </c>
      <c r="ACC18" s="93">
        <v>46188</v>
      </c>
      <c r="ACD18" s="89"/>
      <c r="ACE18" s="82"/>
    </row>
    <row r="19" spans="1:759" ht="12" customHeight="1" thickBot="1" x14ac:dyDescent="0.3">
      <c r="A19" s="84"/>
      <c r="B19" s="350"/>
      <c r="C19" s="222"/>
      <c r="D19" s="87">
        <f t="shared" si="2"/>
        <v>1700</v>
      </c>
      <c r="E19" s="93">
        <v>46188</v>
      </c>
      <c r="F19" s="374"/>
      <c r="G19" s="382"/>
      <c r="H19" s="72"/>
      <c r="I19" s="84"/>
      <c r="J19" s="87"/>
      <c r="K19" s="87"/>
      <c r="L19" s="87">
        <f t="shared" si="0"/>
        <v>1000</v>
      </c>
      <c r="M19" s="164">
        <v>46188</v>
      </c>
      <c r="N19" s="220"/>
      <c r="O19" s="82"/>
      <c r="P19" s="72"/>
      <c r="Q19" s="84"/>
      <c r="R19" s="222"/>
      <c r="S19" s="222"/>
      <c r="T19" s="87">
        <f t="shared" si="1"/>
        <v>4000</v>
      </c>
      <c r="U19" s="93">
        <v>46188</v>
      </c>
      <c r="V19" s="220"/>
      <c r="W19" s="82"/>
      <c r="X19" s="388"/>
      <c r="Y19" s="10"/>
      <c r="Z19" s="222"/>
      <c r="AA19" s="222"/>
      <c r="AB19" s="222">
        <f t="shared" si="3"/>
        <v>1000</v>
      </c>
      <c r="AC19" s="93">
        <v>46188</v>
      </c>
      <c r="AD19" s="220"/>
      <c r="AE19" s="82"/>
      <c r="AG19" s="84"/>
      <c r="AH19" s="222"/>
      <c r="AI19" s="222"/>
      <c r="AJ19" s="87">
        <f t="shared" si="4"/>
        <v>2000</v>
      </c>
      <c r="AK19" s="93">
        <v>46188</v>
      </c>
      <c r="AL19" s="220"/>
      <c r="AM19" s="389"/>
      <c r="AN19" s="390"/>
      <c r="AO19" s="84"/>
      <c r="AP19" s="222"/>
      <c r="AQ19" s="222"/>
      <c r="AR19" s="87">
        <f t="shared" si="5"/>
        <v>1000</v>
      </c>
      <c r="AS19" s="93">
        <v>46188</v>
      </c>
      <c r="AT19" s="220"/>
      <c r="AU19" s="82"/>
      <c r="AV19" s="72"/>
      <c r="AW19" s="84"/>
      <c r="AX19" s="222"/>
      <c r="AY19" s="222"/>
      <c r="AZ19" s="87">
        <f t="shared" si="6"/>
        <v>1150</v>
      </c>
      <c r="BA19" s="93">
        <v>46188</v>
      </c>
      <c r="BB19" s="374"/>
      <c r="BC19" s="82"/>
      <c r="BD19" s="341"/>
      <c r="BE19" s="84"/>
      <c r="BF19" s="87"/>
      <c r="BG19" s="87"/>
      <c r="BH19" s="87">
        <f t="shared" si="7"/>
        <v>7000</v>
      </c>
      <c r="BI19" s="93">
        <v>46188</v>
      </c>
      <c r="BJ19" s="220"/>
      <c r="BK19" s="82"/>
      <c r="BM19" s="84"/>
      <c r="BN19" s="222"/>
      <c r="BO19" s="222"/>
      <c r="BP19" s="87">
        <f t="shared" si="8"/>
        <v>1000</v>
      </c>
      <c r="BQ19" s="93">
        <v>46188</v>
      </c>
      <c r="BR19" s="220"/>
      <c r="BS19" s="82"/>
      <c r="BT19" s="162"/>
      <c r="BU19" s="84"/>
      <c r="BV19" s="87"/>
      <c r="BW19" s="87"/>
      <c r="BX19" s="87">
        <f t="shared" si="9"/>
        <v>0</v>
      </c>
      <c r="BY19" s="93">
        <v>46188</v>
      </c>
      <c r="BZ19" s="220"/>
      <c r="CA19" s="82"/>
      <c r="CB19" s="187"/>
      <c r="CC19" s="84"/>
      <c r="CD19" s="87"/>
      <c r="CE19" s="87"/>
      <c r="CF19" s="87">
        <f t="shared" si="10"/>
        <v>0</v>
      </c>
      <c r="CG19" s="96">
        <v>46203</v>
      </c>
      <c r="CH19" s="220"/>
      <c r="CI19" s="82"/>
      <c r="CJ19" s="198"/>
      <c r="CK19" s="84"/>
      <c r="CL19" s="222"/>
      <c r="CM19" s="222"/>
      <c r="CN19" s="87">
        <f t="shared" si="11"/>
        <v>0</v>
      </c>
      <c r="CO19" s="96">
        <v>46203</v>
      </c>
      <c r="CP19" s="220"/>
      <c r="CQ19" s="82"/>
      <c r="CR19" s="72"/>
      <c r="CS19" s="84"/>
      <c r="CT19" s="222"/>
      <c r="CU19" s="222"/>
      <c r="CV19" s="87">
        <f t="shared" si="12"/>
        <v>0</v>
      </c>
      <c r="CW19" s="96">
        <v>46203</v>
      </c>
      <c r="CX19" s="220"/>
      <c r="CY19" s="82"/>
      <c r="DA19" s="84"/>
      <c r="DB19" s="222"/>
      <c r="DC19" s="222"/>
      <c r="DD19" s="87">
        <f t="shared" si="13"/>
        <v>0</v>
      </c>
      <c r="DE19" s="96">
        <v>46203</v>
      </c>
      <c r="DF19" s="220"/>
      <c r="DG19" s="82"/>
      <c r="DI19" s="84"/>
      <c r="DJ19" s="87"/>
      <c r="DK19" s="87"/>
      <c r="DL19" s="87">
        <f t="shared" si="14"/>
        <v>0</v>
      </c>
      <c r="DM19" s="93">
        <v>46188</v>
      </c>
      <c r="DN19" s="220"/>
      <c r="DO19" s="82"/>
      <c r="DQ19" s="84"/>
      <c r="DR19" s="222"/>
      <c r="DS19" s="222"/>
      <c r="DT19" s="87">
        <f t="shared" si="15"/>
        <v>0</v>
      </c>
      <c r="DU19" s="93">
        <v>46188</v>
      </c>
      <c r="DV19" s="220"/>
      <c r="DW19" s="82"/>
      <c r="DX19" s="72"/>
      <c r="DY19" s="99"/>
      <c r="DZ19" s="222"/>
      <c r="EA19" s="222"/>
      <c r="EB19" s="87">
        <f t="shared" si="16"/>
        <v>0</v>
      </c>
      <c r="EC19" s="93">
        <v>46188</v>
      </c>
      <c r="ED19" s="220"/>
      <c r="EE19" s="82"/>
      <c r="EF19" s="72"/>
      <c r="EG19" s="90"/>
      <c r="EH19" s="87"/>
      <c r="EI19" s="87"/>
      <c r="EJ19" s="87">
        <f t="shared" si="17"/>
        <v>0</v>
      </c>
      <c r="EK19" s="93">
        <v>46188</v>
      </c>
      <c r="EL19" s="220"/>
      <c r="EM19" s="82"/>
      <c r="EN19" s="198"/>
      <c r="EO19" s="90"/>
      <c r="EP19" s="87"/>
      <c r="EQ19" s="87"/>
      <c r="ER19" s="87">
        <f t="shared" si="18"/>
        <v>0</v>
      </c>
      <c r="ES19" s="93">
        <v>46188</v>
      </c>
      <c r="ET19" s="220"/>
      <c r="EU19" s="82"/>
      <c r="EW19" s="99"/>
      <c r="EX19" s="222"/>
      <c r="EY19" s="222"/>
      <c r="EZ19" s="87">
        <f t="shared" si="19"/>
        <v>0</v>
      </c>
      <c r="FA19" s="93">
        <v>46188</v>
      </c>
      <c r="FB19" s="220"/>
      <c r="FC19" s="82"/>
      <c r="FD19" s="102"/>
      <c r="FE19" s="84"/>
      <c r="FF19" s="87"/>
      <c r="FG19" s="87"/>
      <c r="FH19" s="87">
        <f t="shared" si="93"/>
        <v>0</v>
      </c>
      <c r="FI19" s="93">
        <v>46188</v>
      </c>
      <c r="FJ19" s="220"/>
      <c r="FK19" s="82"/>
      <c r="FL19" s="198"/>
      <c r="FM19" s="84"/>
      <c r="FN19" s="87"/>
      <c r="FO19" s="87"/>
      <c r="FP19" s="87">
        <f t="shared" si="20"/>
        <v>0</v>
      </c>
      <c r="FQ19" s="93">
        <v>46188</v>
      </c>
      <c r="FR19" s="220"/>
      <c r="FS19" s="82"/>
      <c r="FT19" s="59"/>
      <c r="FU19" s="103"/>
      <c r="FV19" s="86"/>
      <c r="FW19" s="86"/>
      <c r="FX19" s="86">
        <f t="shared" si="21"/>
        <v>0</v>
      </c>
      <c r="FY19" s="167">
        <v>46188</v>
      </c>
      <c r="FZ19" s="220"/>
      <c r="GA19" s="82"/>
      <c r="GB19"/>
      <c r="GC19" s="84"/>
      <c r="GD19" s="87"/>
      <c r="GE19" s="87"/>
      <c r="GF19" s="87">
        <f t="shared" si="22"/>
        <v>0</v>
      </c>
      <c r="GG19" s="93">
        <v>46188</v>
      </c>
      <c r="GH19" s="220"/>
      <c r="GI19" s="82"/>
      <c r="GJ19"/>
      <c r="GK19" s="90"/>
      <c r="GL19" s="87"/>
      <c r="GM19" s="87"/>
      <c r="GN19" s="87">
        <f t="shared" si="23"/>
        <v>0</v>
      </c>
      <c r="GO19" s="96">
        <v>46203</v>
      </c>
      <c r="GP19" s="220"/>
      <c r="GQ19" s="82"/>
      <c r="GS19" s="84"/>
      <c r="GT19" s="222"/>
      <c r="GU19" s="222"/>
      <c r="GV19" s="87">
        <f t="shared" si="24"/>
        <v>0</v>
      </c>
      <c r="GW19" s="96">
        <v>46203</v>
      </c>
      <c r="GX19" s="220"/>
      <c r="GY19" s="82"/>
      <c r="GZ19"/>
      <c r="HA19" s="99"/>
      <c r="HB19" s="87"/>
      <c r="HC19" s="87"/>
      <c r="HD19" s="87">
        <f t="shared" si="25"/>
        <v>0</v>
      </c>
      <c r="HE19" s="96">
        <v>46203</v>
      </c>
      <c r="HF19" s="220"/>
      <c r="HG19" s="82"/>
      <c r="HI19" s="10"/>
      <c r="HJ19" s="87"/>
      <c r="HK19" s="87"/>
      <c r="HL19" s="87">
        <f t="shared" si="26"/>
        <v>0</v>
      </c>
      <c r="HM19" s="96">
        <v>46203</v>
      </c>
      <c r="HN19" s="220"/>
      <c r="HO19" s="82"/>
      <c r="HQ19" s="84"/>
      <c r="HR19" s="87"/>
      <c r="HS19" s="222"/>
      <c r="HT19" s="87">
        <f t="shared" si="27"/>
        <v>0</v>
      </c>
      <c r="HU19" s="96">
        <v>46203</v>
      </c>
      <c r="HV19" s="220"/>
      <c r="HW19" s="82"/>
      <c r="HY19" s="90"/>
      <c r="HZ19" s="87"/>
      <c r="IA19" s="87"/>
      <c r="IB19" s="87">
        <f t="shared" si="28"/>
        <v>0</v>
      </c>
      <c r="IC19" s="96">
        <v>46203</v>
      </c>
      <c r="ID19" s="89"/>
      <c r="IE19" s="82"/>
      <c r="IG19" s="84"/>
      <c r="IH19" s="87"/>
      <c r="II19" s="87"/>
      <c r="IJ19" s="87">
        <f t="shared" si="29"/>
        <v>0</v>
      </c>
      <c r="IK19" s="96">
        <v>46203</v>
      </c>
      <c r="IL19" s="91"/>
      <c r="IM19" s="82"/>
      <c r="IO19" s="84"/>
      <c r="IP19" s="87"/>
      <c r="IQ19" s="87"/>
      <c r="IR19" s="87">
        <f t="shared" si="30"/>
        <v>0</v>
      </c>
      <c r="IS19" s="96">
        <v>46203</v>
      </c>
      <c r="IT19" s="91"/>
      <c r="IU19" s="82"/>
      <c r="IV19" s="72"/>
      <c r="IW19" s="84"/>
      <c r="IX19" s="87"/>
      <c r="IY19" s="87"/>
      <c r="IZ19" s="87">
        <f t="shared" si="31"/>
        <v>0</v>
      </c>
      <c r="JA19" s="96">
        <v>46203</v>
      </c>
      <c r="JB19" s="89"/>
      <c r="JC19" s="82"/>
      <c r="JE19" s="84"/>
      <c r="JF19" s="87"/>
      <c r="JG19" s="87"/>
      <c r="JH19" s="87">
        <f t="shared" si="32"/>
        <v>0</v>
      </c>
      <c r="JI19" s="96">
        <v>46203</v>
      </c>
      <c r="JJ19" s="220"/>
      <c r="JK19" s="82"/>
      <c r="JL19"/>
      <c r="JM19" s="84"/>
      <c r="JN19" s="87"/>
      <c r="JO19" s="87"/>
      <c r="JP19" s="87">
        <f t="shared" si="33"/>
        <v>0</v>
      </c>
      <c r="JQ19" s="164">
        <v>46203</v>
      </c>
      <c r="JR19" s="89"/>
      <c r="JS19" s="82"/>
      <c r="JU19" s="90"/>
      <c r="JV19" s="87"/>
      <c r="JW19" s="87"/>
      <c r="JX19" s="87">
        <f t="shared" si="94"/>
        <v>0</v>
      </c>
      <c r="JY19" s="164">
        <v>46203</v>
      </c>
      <c r="JZ19" s="91"/>
      <c r="KA19" s="82"/>
      <c r="KC19" s="84"/>
      <c r="KD19" s="87"/>
      <c r="KE19" s="87"/>
      <c r="KF19" s="87">
        <f t="shared" si="34"/>
        <v>0</v>
      </c>
      <c r="KG19" s="164">
        <v>46203</v>
      </c>
      <c r="KH19" s="222"/>
      <c r="KI19" s="109"/>
      <c r="KK19" s="99"/>
      <c r="KL19" s="87"/>
      <c r="KM19" s="87"/>
      <c r="KN19" s="87">
        <f t="shared" si="35"/>
        <v>0</v>
      </c>
      <c r="KO19" s="164">
        <v>46203</v>
      </c>
      <c r="KP19" s="89"/>
      <c r="KQ19" s="82"/>
      <c r="KS19" s="84"/>
      <c r="KT19" s="87"/>
      <c r="KU19" s="87"/>
      <c r="KV19" s="87">
        <f t="shared" si="36"/>
        <v>0</v>
      </c>
      <c r="KW19" s="96">
        <v>46203</v>
      </c>
      <c r="KX19" s="89"/>
      <c r="KY19" s="82"/>
      <c r="LA19" s="90"/>
      <c r="LB19" s="87"/>
      <c r="LC19" s="87"/>
      <c r="LD19" s="87">
        <f t="shared" si="37"/>
        <v>0</v>
      </c>
      <c r="LE19" s="164">
        <v>46203</v>
      </c>
      <c r="LF19" s="89"/>
      <c r="LG19" s="192"/>
      <c r="LH19"/>
      <c r="LI19" s="84"/>
      <c r="LJ19" s="87"/>
      <c r="LK19" s="87"/>
      <c r="LL19" s="87">
        <f t="shared" si="38"/>
        <v>0</v>
      </c>
      <c r="LM19" s="96">
        <v>46203</v>
      </c>
      <c r="LN19" s="89"/>
      <c r="LO19" s="82"/>
      <c r="LQ19" s="84"/>
      <c r="LR19" s="87"/>
      <c r="LS19" s="87"/>
      <c r="LT19" s="87">
        <f t="shared" si="39"/>
        <v>0</v>
      </c>
      <c r="LU19" s="96">
        <v>46203</v>
      </c>
      <c r="LV19" s="89"/>
      <c r="LW19" s="82"/>
      <c r="LY19" s="84"/>
      <c r="LZ19" s="87"/>
      <c r="MA19" s="87"/>
      <c r="MB19" s="87">
        <f t="shared" si="40"/>
        <v>0</v>
      </c>
      <c r="MC19" s="96">
        <v>46203</v>
      </c>
      <c r="MD19" s="89"/>
      <c r="ME19" s="82"/>
      <c r="MG19" s="90"/>
      <c r="MH19" s="87"/>
      <c r="MI19" s="87"/>
      <c r="MJ19" s="87">
        <f t="shared" si="41"/>
        <v>0</v>
      </c>
      <c r="MK19" s="96">
        <v>46203</v>
      </c>
      <c r="ML19" s="89"/>
      <c r="MM19" s="82"/>
      <c r="MN19" s="102"/>
      <c r="MO19" s="111"/>
      <c r="MP19" s="86"/>
      <c r="MQ19" s="86"/>
      <c r="MR19" s="86">
        <f t="shared" si="42"/>
        <v>0</v>
      </c>
      <c r="MS19" s="107">
        <v>46203</v>
      </c>
      <c r="MT19" s="91"/>
      <c r="MU19" s="82"/>
      <c r="MW19" s="84"/>
      <c r="MX19" s="87"/>
      <c r="MY19" s="87"/>
      <c r="MZ19" s="87">
        <f t="shared" si="43"/>
        <v>0</v>
      </c>
      <c r="NA19" s="96">
        <v>46203</v>
      </c>
      <c r="NB19" s="89"/>
      <c r="NC19" s="82"/>
      <c r="NE19" s="84"/>
      <c r="NF19" s="87"/>
      <c r="NG19" s="87"/>
      <c r="NH19" s="87">
        <f t="shared" si="44"/>
        <v>0</v>
      </c>
      <c r="NI19" s="96">
        <v>46203</v>
      </c>
      <c r="NJ19" s="89"/>
      <c r="NK19" s="82"/>
      <c r="NM19" s="84"/>
      <c r="NN19" s="87"/>
      <c r="NO19" s="87"/>
      <c r="NP19" s="87">
        <f t="shared" si="45"/>
        <v>0</v>
      </c>
      <c r="NQ19" s="96">
        <v>46203</v>
      </c>
      <c r="NR19" s="91"/>
      <c r="NS19" s="82"/>
      <c r="NU19" s="84"/>
      <c r="NV19" s="87"/>
      <c r="NW19" s="87"/>
      <c r="NX19" s="87">
        <f t="shared" si="46"/>
        <v>0</v>
      </c>
      <c r="NY19" s="96">
        <v>46203</v>
      </c>
      <c r="NZ19" s="89"/>
      <c r="OA19" s="82"/>
      <c r="OC19" s="84"/>
      <c r="OD19" s="87"/>
      <c r="OE19" s="87"/>
      <c r="OF19" s="87">
        <f t="shared" si="47"/>
        <v>0</v>
      </c>
      <c r="OG19" s="96">
        <v>46203</v>
      </c>
      <c r="OH19" s="89"/>
      <c r="OI19" s="82"/>
      <c r="OK19" s="84"/>
      <c r="OL19" s="87"/>
      <c r="OM19" s="87"/>
      <c r="ON19" s="87">
        <f t="shared" si="48"/>
        <v>0</v>
      </c>
      <c r="OO19" s="96">
        <v>46203</v>
      </c>
      <c r="OP19" s="91"/>
      <c r="OQ19" s="82"/>
      <c r="OS19" s="84"/>
      <c r="OT19" s="87"/>
      <c r="OU19" s="87"/>
      <c r="OV19" s="87">
        <f t="shared" si="49"/>
        <v>0</v>
      </c>
      <c r="OW19" s="96">
        <v>46203</v>
      </c>
      <c r="OX19" s="89"/>
      <c r="OY19" s="82"/>
      <c r="PA19" s="84"/>
      <c r="PB19" s="87"/>
      <c r="PC19" s="87"/>
      <c r="PD19" s="87">
        <f t="shared" si="50"/>
        <v>0</v>
      </c>
      <c r="PE19" s="96">
        <v>46203</v>
      </c>
      <c r="PF19" s="89"/>
      <c r="PG19" s="82"/>
      <c r="PH19"/>
      <c r="PI19" s="84"/>
      <c r="PJ19" s="87"/>
      <c r="PK19" s="87"/>
      <c r="PL19" s="87">
        <f t="shared" si="51"/>
        <v>0</v>
      </c>
      <c r="PM19" s="96">
        <v>46203</v>
      </c>
      <c r="PN19" s="211"/>
      <c r="PO19" s="216"/>
      <c r="PQ19" s="99"/>
      <c r="PR19" s="87"/>
      <c r="PS19" s="86"/>
      <c r="PT19" s="87">
        <f t="shared" si="52"/>
        <v>0</v>
      </c>
      <c r="PU19" s="96">
        <v>46203</v>
      </c>
      <c r="PV19" s="86"/>
      <c r="PW19" s="109"/>
      <c r="PY19" s="84"/>
      <c r="PZ19" s="87"/>
      <c r="QA19" s="87"/>
      <c r="QB19" s="87">
        <f t="shared" si="53"/>
        <v>0</v>
      </c>
      <c r="QC19" s="96">
        <v>46203</v>
      </c>
      <c r="QD19" s="91"/>
      <c r="QE19" s="82"/>
      <c r="QG19" s="90"/>
      <c r="QH19" s="87"/>
      <c r="QI19" s="87"/>
      <c r="QJ19" s="87">
        <f t="shared" si="54"/>
        <v>0</v>
      </c>
      <c r="QK19" s="96">
        <v>46203</v>
      </c>
      <c r="QL19" s="89"/>
      <c r="QM19" s="82"/>
      <c r="QN19" s="102"/>
      <c r="QO19" s="90"/>
      <c r="QP19" s="87"/>
      <c r="QQ19" s="87"/>
      <c r="QR19" s="87">
        <f t="shared" si="55"/>
        <v>0</v>
      </c>
      <c r="QS19" s="96">
        <v>46203</v>
      </c>
      <c r="QT19" s="212"/>
      <c r="QU19" s="216"/>
      <c r="QW19" s="90"/>
      <c r="QX19" s="87"/>
      <c r="QY19" s="87"/>
      <c r="QZ19" s="87">
        <f t="shared" si="56"/>
        <v>0</v>
      </c>
      <c r="RA19" s="96">
        <v>46203</v>
      </c>
      <c r="RB19" s="89"/>
      <c r="RC19" s="82"/>
      <c r="RE19" s="84"/>
      <c r="RF19" s="87"/>
      <c r="RG19" s="87"/>
      <c r="RH19" s="87">
        <f t="shared" si="57"/>
        <v>0</v>
      </c>
      <c r="RI19" s="96">
        <v>46203</v>
      </c>
      <c r="RJ19" s="89"/>
      <c r="RK19" s="178"/>
      <c r="RM19" s="84"/>
      <c r="RN19" s="87"/>
      <c r="RO19" s="87"/>
      <c r="RP19" s="87">
        <f t="shared" si="58"/>
        <v>0</v>
      </c>
      <c r="RQ19" s="96">
        <v>46203</v>
      </c>
      <c r="RR19" s="89"/>
      <c r="RS19" s="192"/>
      <c r="RT19"/>
      <c r="RU19" s="99"/>
      <c r="RV19" s="87"/>
      <c r="RW19" s="87"/>
      <c r="RX19" s="87">
        <f t="shared" si="59"/>
        <v>0</v>
      </c>
      <c r="RY19" s="96">
        <v>46203</v>
      </c>
      <c r="RZ19" s="89"/>
      <c r="SA19" s="82"/>
      <c r="SC19" s="84"/>
      <c r="SD19" s="87"/>
      <c r="SE19" s="87"/>
      <c r="SF19" s="87">
        <f t="shared" si="60"/>
        <v>0</v>
      </c>
      <c r="SG19" s="96">
        <v>46203</v>
      </c>
      <c r="SH19" s="89"/>
      <c r="SI19" s="82"/>
      <c r="SK19" s="103"/>
      <c r="SL19" s="86"/>
      <c r="SM19" s="86"/>
      <c r="SN19" s="87">
        <f t="shared" si="61"/>
        <v>0</v>
      </c>
      <c r="SO19" s="96">
        <v>46203</v>
      </c>
      <c r="SP19" s="91"/>
      <c r="SQ19" s="82"/>
      <c r="SS19" s="84"/>
      <c r="ST19" s="87"/>
      <c r="SU19" s="87"/>
      <c r="SV19" s="87">
        <f t="shared" si="62"/>
        <v>0</v>
      </c>
      <c r="SW19" s="96">
        <v>46203</v>
      </c>
      <c r="SX19" s="89"/>
      <c r="SY19" s="82"/>
      <c r="TA19" s="84"/>
      <c r="TB19" s="87"/>
      <c r="TC19" s="87"/>
      <c r="TD19" s="87">
        <f t="shared" si="63"/>
        <v>0</v>
      </c>
      <c r="TE19" s="96">
        <v>46203</v>
      </c>
      <c r="TF19" s="91"/>
      <c r="TG19" s="82"/>
      <c r="TI19" s="84"/>
      <c r="TJ19" s="87"/>
      <c r="TK19" s="87"/>
      <c r="TL19" s="87">
        <f t="shared" si="64"/>
        <v>0</v>
      </c>
      <c r="TM19" s="96">
        <v>46203</v>
      </c>
      <c r="TN19" s="89"/>
      <c r="TO19" s="82"/>
      <c r="TQ19" s="99"/>
      <c r="TR19" s="87"/>
      <c r="TS19" s="87"/>
      <c r="TT19" s="87">
        <f t="shared" si="65"/>
        <v>0</v>
      </c>
      <c r="TU19" s="96">
        <v>46203</v>
      </c>
      <c r="TV19" s="91"/>
      <c r="TW19" s="82"/>
      <c r="TY19" s="84"/>
      <c r="TZ19" s="87"/>
      <c r="UA19" s="87"/>
      <c r="UB19" s="87">
        <f t="shared" si="66"/>
        <v>0</v>
      </c>
      <c r="UC19" s="96">
        <v>46203</v>
      </c>
      <c r="UD19" s="89"/>
      <c r="UE19" s="82"/>
      <c r="UG19" s="90"/>
      <c r="UH19" s="87"/>
      <c r="UI19" s="87"/>
      <c r="UJ19" s="87">
        <f t="shared" si="67"/>
        <v>0</v>
      </c>
      <c r="UK19" s="96">
        <v>46203</v>
      </c>
      <c r="UL19" s="89"/>
      <c r="UM19" s="82"/>
      <c r="UO19" s="84"/>
      <c r="UP19" s="87"/>
      <c r="UQ19" s="87"/>
      <c r="UR19" s="87">
        <f t="shared" si="68"/>
        <v>0</v>
      </c>
      <c r="US19" s="96">
        <v>46203</v>
      </c>
      <c r="UT19" s="89"/>
      <c r="UU19" s="82"/>
      <c r="UW19" s="99"/>
      <c r="UX19" s="87"/>
      <c r="UY19" s="87"/>
      <c r="UZ19" s="87">
        <f t="shared" si="69"/>
        <v>0</v>
      </c>
      <c r="VA19" s="96">
        <v>46203</v>
      </c>
      <c r="VB19" s="89"/>
      <c r="VC19" s="82"/>
      <c r="VE19" s="99"/>
      <c r="VF19" s="87"/>
      <c r="VG19" s="87"/>
      <c r="VH19" s="87">
        <f t="shared" si="70"/>
        <v>0</v>
      </c>
      <c r="VI19" s="96">
        <v>46203</v>
      </c>
      <c r="VJ19" s="89"/>
      <c r="VK19" s="82"/>
      <c r="VM19" s="99"/>
      <c r="VN19" s="87"/>
      <c r="VO19" s="87"/>
      <c r="VP19" s="87">
        <f t="shared" si="71"/>
        <v>0</v>
      </c>
      <c r="VQ19" s="96">
        <v>46203</v>
      </c>
      <c r="VR19" s="89"/>
      <c r="VS19" s="82"/>
      <c r="VU19" s="99"/>
      <c r="VV19" s="87"/>
      <c r="VW19" s="87"/>
      <c r="VX19" s="87">
        <f t="shared" si="72"/>
        <v>0</v>
      </c>
      <c r="VY19" s="96">
        <v>46203</v>
      </c>
      <c r="VZ19" s="89"/>
      <c r="WA19" s="82"/>
      <c r="WC19" s="84"/>
      <c r="WD19" s="87"/>
      <c r="WE19" s="87"/>
      <c r="WF19" s="87">
        <f t="shared" si="73"/>
        <v>0</v>
      </c>
      <c r="WG19" s="96">
        <v>46203</v>
      </c>
      <c r="WH19" s="89"/>
      <c r="WI19" s="82"/>
      <c r="WJ19"/>
      <c r="WK19" s="90"/>
      <c r="WL19" s="87"/>
      <c r="WM19" s="87"/>
      <c r="WN19" s="87">
        <f t="shared" si="74"/>
        <v>0</v>
      </c>
      <c r="WO19" s="96">
        <v>46203</v>
      </c>
      <c r="WP19" s="89"/>
      <c r="WQ19" s="82"/>
      <c r="WS19" s="10"/>
      <c r="WT19" s="87"/>
      <c r="WU19" s="87"/>
      <c r="WV19" s="87">
        <f t="shared" si="75"/>
        <v>0</v>
      </c>
      <c r="WW19" s="96">
        <v>46203</v>
      </c>
      <c r="WX19" s="91"/>
      <c r="WY19" s="82"/>
      <c r="XA19" s="90"/>
      <c r="XB19" s="87"/>
      <c r="XC19" s="87"/>
      <c r="XD19" s="87">
        <f t="shared" si="76"/>
        <v>0</v>
      </c>
      <c r="XE19" s="96">
        <v>46203</v>
      </c>
      <c r="XF19" s="91"/>
      <c r="XG19" s="82"/>
      <c r="XH19" s="32"/>
      <c r="XI19" s="90"/>
      <c r="XJ19" s="87"/>
      <c r="XK19" s="87"/>
      <c r="XL19" s="87">
        <f t="shared" si="77"/>
        <v>0</v>
      </c>
      <c r="XM19" s="96">
        <v>46203</v>
      </c>
      <c r="XN19" s="91"/>
      <c r="XO19" s="82"/>
      <c r="XQ19" s="99"/>
      <c r="XR19" s="87"/>
      <c r="XS19" s="87"/>
      <c r="XT19" s="87">
        <f t="shared" si="78"/>
        <v>0</v>
      </c>
      <c r="XU19" s="96">
        <v>46203</v>
      </c>
      <c r="XV19" s="91"/>
      <c r="XW19" s="82"/>
      <c r="XY19" s="90"/>
      <c r="XZ19" s="87"/>
      <c r="YA19" s="87"/>
      <c r="YB19" s="87">
        <f t="shared" si="79"/>
        <v>0</v>
      </c>
      <c r="YC19" s="96">
        <v>46203</v>
      </c>
      <c r="YD19" s="89"/>
      <c r="YE19" s="82"/>
      <c r="YG19" s="90"/>
      <c r="YH19" s="87"/>
      <c r="YI19" s="87"/>
      <c r="YJ19" s="87">
        <f t="shared" si="80"/>
        <v>0</v>
      </c>
      <c r="YK19" s="96">
        <v>46203</v>
      </c>
      <c r="YL19" s="89"/>
      <c r="YM19" s="82"/>
      <c r="YO19" s="90"/>
      <c r="YP19" s="87"/>
      <c r="YQ19" s="87"/>
      <c r="YR19" s="87">
        <f t="shared" si="81"/>
        <v>0</v>
      </c>
      <c r="YS19" s="96">
        <v>46203</v>
      </c>
      <c r="YT19" s="89"/>
      <c r="YU19" s="82"/>
      <c r="YV19"/>
      <c r="YW19" s="99"/>
      <c r="YX19" s="87"/>
      <c r="YY19" s="87"/>
      <c r="YZ19" s="87">
        <f t="shared" si="82"/>
        <v>0</v>
      </c>
      <c r="ZA19" s="96">
        <v>46203</v>
      </c>
      <c r="ZB19" s="89"/>
      <c r="ZC19" s="82"/>
      <c r="ZE19" s="90"/>
      <c r="ZF19" s="87"/>
      <c r="ZG19" s="87"/>
      <c r="ZH19" s="87">
        <f t="shared" si="83"/>
        <v>0</v>
      </c>
      <c r="ZI19" s="96">
        <v>46203</v>
      </c>
      <c r="ZJ19" s="89"/>
      <c r="ZK19" s="82"/>
      <c r="ZM19" s="84"/>
      <c r="ZN19" s="87"/>
      <c r="ZO19" s="87"/>
      <c r="ZP19" s="87">
        <f t="shared" si="84"/>
        <v>0</v>
      </c>
      <c r="ZQ19" s="96">
        <v>46203</v>
      </c>
      <c r="ZR19" s="89"/>
      <c r="ZS19" s="82"/>
      <c r="ZU19" s="90"/>
      <c r="ZV19" s="87"/>
      <c r="ZW19" s="87"/>
      <c r="ZX19" s="87">
        <f t="shared" si="85"/>
        <v>0</v>
      </c>
      <c r="ZY19" s="96">
        <v>46203</v>
      </c>
      <c r="ZZ19" s="89"/>
      <c r="AAA19" s="82"/>
      <c r="AAC19" s="90"/>
      <c r="AAD19" s="87"/>
      <c r="AAE19" s="87"/>
      <c r="AAF19" s="87">
        <f t="shared" si="86"/>
        <v>0</v>
      </c>
      <c r="AAG19" s="96">
        <v>46203</v>
      </c>
      <c r="AAH19" s="89"/>
      <c r="AAI19" s="82"/>
      <c r="AAK19" s="90"/>
      <c r="AAL19" s="87"/>
      <c r="AAM19" s="87"/>
      <c r="AAN19" s="87">
        <f t="shared" si="87"/>
        <v>0</v>
      </c>
      <c r="AAO19" s="96">
        <v>46203</v>
      </c>
      <c r="AAP19" s="89"/>
      <c r="AAQ19" s="82"/>
      <c r="AAS19" s="99"/>
      <c r="AAT19" s="87"/>
      <c r="AAU19" s="87"/>
      <c r="AAV19" s="87">
        <f t="shared" si="88"/>
        <v>0</v>
      </c>
      <c r="AAW19" s="96">
        <v>46203</v>
      </c>
      <c r="AAX19" s="89"/>
      <c r="AAY19" s="82"/>
      <c r="ABA19" s="90"/>
      <c r="ABB19" s="87"/>
      <c r="ABC19" s="87"/>
      <c r="ABD19" s="87">
        <f t="shared" si="89"/>
        <v>0</v>
      </c>
      <c r="ABE19" s="96">
        <v>46203</v>
      </c>
      <c r="ABF19" s="89"/>
      <c r="ABG19" s="82"/>
      <c r="ABI19" s="90"/>
      <c r="ABJ19" s="87"/>
      <c r="ABK19" s="87"/>
      <c r="ABL19" s="87">
        <f t="shared" si="90"/>
        <v>0</v>
      </c>
      <c r="ABM19" s="96">
        <v>46203</v>
      </c>
      <c r="ABN19" s="89"/>
      <c r="ABO19" s="82"/>
      <c r="ABQ19" s="90"/>
      <c r="ABR19" s="87"/>
      <c r="ABS19" s="87"/>
      <c r="ABT19" s="87">
        <f t="shared" si="91"/>
        <v>0</v>
      </c>
      <c r="ABU19" s="96">
        <v>46203</v>
      </c>
      <c r="ABV19" s="89"/>
      <c r="ABW19" s="82"/>
      <c r="ABY19" s="90"/>
      <c r="ABZ19" s="87"/>
      <c r="ACA19" s="87"/>
      <c r="ACB19" s="87">
        <f t="shared" si="92"/>
        <v>0</v>
      </c>
      <c r="ACC19" s="96">
        <v>46203</v>
      </c>
      <c r="ACD19" s="89"/>
      <c r="ACE19" s="82"/>
    </row>
    <row r="20" spans="1:759" ht="12" customHeight="1" thickBot="1" x14ac:dyDescent="0.3">
      <c r="A20" s="10"/>
      <c r="B20" s="350"/>
      <c r="C20" s="222"/>
      <c r="D20" s="87">
        <f t="shared" si="2"/>
        <v>1700</v>
      </c>
      <c r="E20" s="96">
        <v>46203</v>
      </c>
      <c r="F20" s="374"/>
      <c r="G20" s="384"/>
      <c r="H20" s="72"/>
      <c r="I20" s="84"/>
      <c r="J20" s="87"/>
      <c r="K20" s="87"/>
      <c r="L20" s="87">
        <f t="shared" si="0"/>
        <v>1000</v>
      </c>
      <c r="M20" s="164">
        <v>46203</v>
      </c>
      <c r="N20" s="220"/>
      <c r="O20" s="82"/>
      <c r="P20" s="59"/>
      <c r="Q20" s="10"/>
      <c r="R20" s="222"/>
      <c r="S20" s="222"/>
      <c r="T20" s="87">
        <f t="shared" si="1"/>
        <v>4000</v>
      </c>
      <c r="U20" s="96">
        <v>46203</v>
      </c>
      <c r="V20" s="220"/>
      <c r="W20" s="82"/>
      <c r="X20" s="388"/>
      <c r="Y20" s="84"/>
      <c r="Z20" s="222"/>
      <c r="AA20" s="222"/>
      <c r="AB20" s="222">
        <f t="shared" si="3"/>
        <v>1000</v>
      </c>
      <c r="AC20" s="96">
        <v>46203</v>
      </c>
      <c r="AD20" s="220"/>
      <c r="AE20" s="82"/>
      <c r="AG20" s="84"/>
      <c r="AH20" s="222"/>
      <c r="AI20" s="222"/>
      <c r="AJ20" s="87">
        <f t="shared" si="4"/>
        <v>2000</v>
      </c>
      <c r="AK20" s="96">
        <v>46203</v>
      </c>
      <c r="AL20" s="220"/>
      <c r="AM20" s="389"/>
      <c r="AN20" s="390"/>
      <c r="AO20" s="84"/>
      <c r="AP20" s="222"/>
      <c r="AQ20" s="222"/>
      <c r="AR20" s="87">
        <f t="shared" si="5"/>
        <v>1000</v>
      </c>
      <c r="AS20" s="96">
        <v>46203</v>
      </c>
      <c r="AT20" s="220"/>
      <c r="AU20" s="82"/>
      <c r="AW20" s="84"/>
      <c r="AX20" s="222"/>
      <c r="AY20" s="222"/>
      <c r="AZ20" s="87">
        <f t="shared" si="6"/>
        <v>1150</v>
      </c>
      <c r="BA20" s="96">
        <v>46203</v>
      </c>
      <c r="BB20" s="374"/>
      <c r="BC20" s="82"/>
      <c r="BD20" s="341"/>
      <c r="BE20" s="84"/>
      <c r="BF20" s="87"/>
      <c r="BG20" s="87"/>
      <c r="BH20" s="87">
        <f t="shared" si="7"/>
        <v>7000</v>
      </c>
      <c r="BI20" s="96">
        <v>46203</v>
      </c>
      <c r="BJ20" s="220"/>
      <c r="BK20" s="82"/>
      <c r="BM20" s="84"/>
      <c r="BN20" s="222"/>
      <c r="BO20" s="222"/>
      <c r="BP20" s="87">
        <f t="shared" si="8"/>
        <v>1000</v>
      </c>
      <c r="BQ20" s="96">
        <v>46203</v>
      </c>
      <c r="BR20" s="220"/>
      <c r="BS20" s="82"/>
      <c r="BT20" s="162"/>
      <c r="BU20" s="84"/>
      <c r="BV20" s="87"/>
      <c r="BW20" s="87"/>
      <c r="BX20" s="87">
        <f t="shared" si="9"/>
        <v>0</v>
      </c>
      <c r="BY20" s="96">
        <v>46203</v>
      </c>
      <c r="BZ20" s="220"/>
      <c r="CA20" s="82"/>
      <c r="CB20" s="72"/>
      <c r="CC20" s="84"/>
      <c r="CD20" s="87"/>
      <c r="CE20" s="87"/>
      <c r="CF20" s="87">
        <f t="shared" si="10"/>
        <v>0</v>
      </c>
      <c r="CG20" s="80">
        <v>46218</v>
      </c>
      <c r="CH20" s="220"/>
      <c r="CI20" s="82"/>
      <c r="CK20" s="99"/>
      <c r="CL20" s="222"/>
      <c r="CM20" s="222"/>
      <c r="CN20" s="87">
        <f t="shared" si="11"/>
        <v>0</v>
      </c>
      <c r="CO20" s="80">
        <v>46218</v>
      </c>
      <c r="CP20" s="220"/>
      <c r="CQ20" s="82"/>
      <c r="CR20" s="72"/>
      <c r="CS20" s="84"/>
      <c r="CT20" s="222"/>
      <c r="CU20" s="222"/>
      <c r="CV20" s="87">
        <f t="shared" si="12"/>
        <v>0</v>
      </c>
      <c r="CW20" s="80">
        <v>46218</v>
      </c>
      <c r="CX20" s="220"/>
      <c r="CY20" s="82"/>
      <c r="CZ20" s="198"/>
      <c r="DA20" s="84"/>
      <c r="DB20" s="222"/>
      <c r="DC20" s="222"/>
      <c r="DD20" s="87">
        <f t="shared" si="13"/>
        <v>0</v>
      </c>
      <c r="DE20" s="80">
        <v>46218</v>
      </c>
      <c r="DF20" s="220"/>
      <c r="DG20" s="82"/>
      <c r="DH20" s="198"/>
      <c r="DI20" s="84"/>
      <c r="DJ20" s="87"/>
      <c r="DK20" s="87"/>
      <c r="DL20" s="87">
        <f t="shared" si="14"/>
        <v>0</v>
      </c>
      <c r="DM20" s="96">
        <v>46203</v>
      </c>
      <c r="DN20" s="220"/>
      <c r="DO20" s="82"/>
      <c r="DQ20" s="84"/>
      <c r="DR20" s="222"/>
      <c r="DS20" s="222"/>
      <c r="DT20" s="87">
        <f t="shared" si="15"/>
        <v>0</v>
      </c>
      <c r="DU20" s="96">
        <v>46203</v>
      </c>
      <c r="DV20" s="220"/>
      <c r="DW20" s="82"/>
      <c r="DX20" s="72"/>
      <c r="DY20" s="99"/>
      <c r="DZ20" s="222"/>
      <c r="EA20" s="222"/>
      <c r="EB20" s="87">
        <f t="shared" si="16"/>
        <v>0</v>
      </c>
      <c r="EC20" s="96">
        <v>46203</v>
      </c>
      <c r="ED20" s="220"/>
      <c r="EE20" s="82"/>
      <c r="EF20" s="72"/>
      <c r="EG20" s="90"/>
      <c r="EH20" s="87"/>
      <c r="EI20" s="87"/>
      <c r="EJ20" s="87">
        <f t="shared" si="17"/>
        <v>0</v>
      </c>
      <c r="EK20" s="96">
        <v>46203</v>
      </c>
      <c r="EL20" s="220"/>
      <c r="EM20" s="82"/>
      <c r="EO20" s="90"/>
      <c r="EP20" s="87"/>
      <c r="EQ20" s="87"/>
      <c r="ER20" s="87">
        <f t="shared" si="18"/>
        <v>0</v>
      </c>
      <c r="ES20" s="96">
        <v>46203</v>
      </c>
      <c r="ET20" s="220"/>
      <c r="EU20" s="82"/>
      <c r="EW20" s="99"/>
      <c r="EX20" s="222"/>
      <c r="EY20" s="222"/>
      <c r="EZ20" s="87">
        <f t="shared" si="19"/>
        <v>0</v>
      </c>
      <c r="FA20" s="96">
        <v>46203</v>
      </c>
      <c r="FB20" s="220"/>
      <c r="FC20" s="82"/>
      <c r="FE20" s="84"/>
      <c r="FF20" s="87"/>
      <c r="FG20" s="87"/>
      <c r="FH20" s="87">
        <f t="shared" si="93"/>
        <v>0</v>
      </c>
      <c r="FI20" s="96">
        <v>46203</v>
      </c>
      <c r="FJ20" s="220"/>
      <c r="FK20" s="82"/>
      <c r="FM20" s="84"/>
      <c r="FN20" s="87"/>
      <c r="FO20" s="87"/>
      <c r="FP20" s="87">
        <f t="shared" si="20"/>
        <v>0</v>
      </c>
      <c r="FQ20" s="96">
        <v>46203</v>
      </c>
      <c r="FR20" s="220"/>
      <c r="FS20" s="82"/>
      <c r="FT20" s="59"/>
      <c r="FU20" s="103"/>
      <c r="FV20" s="86"/>
      <c r="FW20" s="86"/>
      <c r="FX20" s="86">
        <f t="shared" si="21"/>
        <v>0</v>
      </c>
      <c r="FY20" s="167">
        <v>46203</v>
      </c>
      <c r="FZ20" s="220"/>
      <c r="GA20" s="82"/>
      <c r="GB20" s="298"/>
      <c r="GC20" s="84"/>
      <c r="GD20" s="87"/>
      <c r="GE20" s="87"/>
      <c r="GF20" s="87">
        <f t="shared" si="22"/>
        <v>0</v>
      </c>
      <c r="GG20" s="96">
        <v>46203</v>
      </c>
      <c r="GH20" s="220"/>
      <c r="GI20" s="82"/>
      <c r="GJ20"/>
      <c r="GK20" s="90"/>
      <c r="GL20" s="87"/>
      <c r="GM20" s="87"/>
      <c r="GN20" s="87">
        <f t="shared" si="23"/>
        <v>0</v>
      </c>
      <c r="GO20" s="80">
        <v>46218</v>
      </c>
      <c r="GP20" s="220"/>
      <c r="GQ20" s="82"/>
      <c r="GS20" s="84"/>
      <c r="GT20" s="222"/>
      <c r="GU20" s="222"/>
      <c r="GV20" s="87">
        <f t="shared" si="24"/>
        <v>0</v>
      </c>
      <c r="GW20" s="80">
        <v>46218</v>
      </c>
      <c r="GX20" s="220"/>
      <c r="GY20" s="82"/>
      <c r="GZ20"/>
      <c r="HA20" s="99"/>
      <c r="HB20" s="87"/>
      <c r="HC20" s="87"/>
      <c r="HD20" s="87">
        <f t="shared" si="25"/>
        <v>0</v>
      </c>
      <c r="HE20" s="80">
        <v>46218</v>
      </c>
      <c r="HF20" s="220"/>
      <c r="HG20" s="82"/>
      <c r="HI20" s="84"/>
      <c r="HJ20" s="87"/>
      <c r="HK20" s="87"/>
      <c r="HL20" s="87">
        <f t="shared" si="26"/>
        <v>0</v>
      </c>
      <c r="HM20" s="80">
        <v>46218</v>
      </c>
      <c r="HN20" s="220"/>
      <c r="HO20" s="82"/>
      <c r="HQ20" s="84"/>
      <c r="HR20" s="87"/>
      <c r="HS20" s="222"/>
      <c r="HT20" s="87">
        <f t="shared" si="27"/>
        <v>0</v>
      </c>
      <c r="HU20" s="80">
        <v>46218</v>
      </c>
      <c r="HV20" s="220"/>
      <c r="HW20" s="82"/>
      <c r="HX20" s="198"/>
      <c r="HY20" s="90"/>
      <c r="HZ20" s="87"/>
      <c r="IA20" s="87"/>
      <c r="IB20" s="87">
        <f t="shared" si="28"/>
        <v>0</v>
      </c>
      <c r="IC20" s="80">
        <v>46218</v>
      </c>
      <c r="ID20" s="89"/>
      <c r="IE20" s="82"/>
      <c r="IG20" s="90"/>
      <c r="IH20" s="87"/>
      <c r="II20" s="87"/>
      <c r="IJ20" s="87">
        <f t="shared" si="29"/>
        <v>0</v>
      </c>
      <c r="IK20" s="80">
        <v>46218</v>
      </c>
      <c r="IL20" s="91"/>
      <c r="IM20" s="82"/>
      <c r="IO20" s="84"/>
      <c r="IP20" s="87"/>
      <c r="IQ20" s="87"/>
      <c r="IR20" s="87">
        <f t="shared" si="30"/>
        <v>0</v>
      </c>
      <c r="IS20" s="80">
        <v>46218</v>
      </c>
      <c r="IT20" s="91"/>
      <c r="IU20" s="82"/>
      <c r="IW20" s="84"/>
      <c r="IX20" s="87"/>
      <c r="IY20" s="87"/>
      <c r="IZ20" s="87">
        <f t="shared" si="31"/>
        <v>0</v>
      </c>
      <c r="JA20" s="80">
        <v>46218</v>
      </c>
      <c r="JB20" s="89"/>
      <c r="JC20" s="82"/>
      <c r="JE20" s="84"/>
      <c r="JF20" s="87"/>
      <c r="JG20" s="87"/>
      <c r="JH20" s="87">
        <f t="shared" si="32"/>
        <v>0</v>
      </c>
      <c r="JI20" s="80">
        <v>46218</v>
      </c>
      <c r="JJ20" s="220"/>
      <c r="JK20" s="82"/>
      <c r="JM20" s="84"/>
      <c r="JN20" s="87"/>
      <c r="JO20" s="87"/>
      <c r="JP20" s="87">
        <f t="shared" si="33"/>
        <v>0</v>
      </c>
      <c r="JQ20" s="163">
        <v>46218</v>
      </c>
      <c r="JR20" s="89"/>
      <c r="JS20" s="82"/>
      <c r="JU20" s="90"/>
      <c r="JV20" s="87"/>
      <c r="JW20" s="87"/>
      <c r="JX20" s="87">
        <f t="shared" si="94"/>
        <v>0</v>
      </c>
      <c r="JY20" s="163">
        <v>46218</v>
      </c>
      <c r="JZ20" s="91"/>
      <c r="KA20" s="82"/>
      <c r="KC20" s="84"/>
      <c r="KD20" s="87"/>
      <c r="KE20" s="87"/>
      <c r="KF20" s="87">
        <f t="shared" si="34"/>
        <v>0</v>
      </c>
      <c r="KG20" s="163">
        <v>46218</v>
      </c>
      <c r="KH20" s="222"/>
      <c r="KI20" s="109"/>
      <c r="KJ20" s="284"/>
      <c r="KK20" s="99"/>
      <c r="KL20" s="87"/>
      <c r="KM20" s="23"/>
      <c r="KN20" s="87">
        <f t="shared" si="35"/>
        <v>0</v>
      </c>
      <c r="KO20" s="163">
        <v>46218</v>
      </c>
      <c r="KP20" s="89"/>
      <c r="KQ20" s="82"/>
      <c r="KS20" s="84"/>
      <c r="KT20" s="87"/>
      <c r="KU20" s="87"/>
      <c r="KV20" s="87">
        <f t="shared" si="36"/>
        <v>0</v>
      </c>
      <c r="KW20" s="80">
        <v>46218</v>
      </c>
      <c r="KX20" s="89"/>
      <c r="KY20" s="82"/>
      <c r="LA20" s="90"/>
      <c r="LB20" s="87"/>
      <c r="LC20" s="87"/>
      <c r="LD20" s="87">
        <f t="shared" si="37"/>
        <v>0</v>
      </c>
      <c r="LE20" s="163">
        <v>46218</v>
      </c>
      <c r="LF20" s="89"/>
      <c r="LG20" s="192"/>
      <c r="LH20"/>
      <c r="LI20" s="84"/>
      <c r="LJ20" s="87"/>
      <c r="LK20" s="87"/>
      <c r="LL20" s="87">
        <f t="shared" si="38"/>
        <v>0</v>
      </c>
      <c r="LM20" s="80">
        <v>46218</v>
      </c>
      <c r="LN20" s="89"/>
      <c r="LO20" s="82"/>
      <c r="LQ20" s="84"/>
      <c r="LR20" s="87"/>
      <c r="LS20" s="87"/>
      <c r="LT20" s="87">
        <f t="shared" si="39"/>
        <v>0</v>
      </c>
      <c r="LU20" s="80">
        <v>46218</v>
      </c>
      <c r="LV20" s="89"/>
      <c r="LW20" s="82"/>
      <c r="LY20" s="84"/>
      <c r="LZ20" s="87"/>
      <c r="MA20" s="87"/>
      <c r="MB20" s="87">
        <f t="shared" si="40"/>
        <v>0</v>
      </c>
      <c r="MC20" s="80">
        <v>46218</v>
      </c>
      <c r="MD20" s="89"/>
      <c r="ME20" s="82"/>
      <c r="MG20" s="90"/>
      <c r="MH20" s="87"/>
      <c r="MI20" s="87"/>
      <c r="MJ20" s="87">
        <f t="shared" si="41"/>
        <v>0</v>
      </c>
      <c r="MK20" s="80">
        <v>46218</v>
      </c>
      <c r="ML20" s="89"/>
      <c r="MM20" s="82"/>
      <c r="MN20" s="102"/>
      <c r="MO20" s="272"/>
      <c r="MP20" s="86"/>
      <c r="MQ20" s="86"/>
      <c r="MR20" s="86">
        <f t="shared" si="42"/>
        <v>0</v>
      </c>
      <c r="MS20" s="100">
        <v>46218</v>
      </c>
      <c r="MT20" s="91"/>
      <c r="MU20" s="82"/>
      <c r="MW20" s="84"/>
      <c r="MX20" s="87"/>
      <c r="MY20" s="87"/>
      <c r="MZ20" s="86">
        <f t="shared" si="43"/>
        <v>0</v>
      </c>
      <c r="NA20" s="80">
        <v>46218</v>
      </c>
      <c r="NB20" s="89"/>
      <c r="NC20" s="82"/>
      <c r="NE20" s="84"/>
      <c r="NF20" s="87"/>
      <c r="NG20" s="87"/>
      <c r="NH20" s="87">
        <f t="shared" si="44"/>
        <v>0</v>
      </c>
      <c r="NI20" s="80">
        <v>46218</v>
      </c>
      <c r="NJ20" s="89"/>
      <c r="NK20" s="82"/>
      <c r="NM20" s="84"/>
      <c r="NN20" s="87"/>
      <c r="NO20" s="87"/>
      <c r="NP20" s="87">
        <f t="shared" si="45"/>
        <v>0</v>
      </c>
      <c r="NQ20" s="80">
        <v>46218</v>
      </c>
      <c r="NR20" s="91"/>
      <c r="NS20" s="82"/>
      <c r="NU20" s="84"/>
      <c r="NV20" s="87"/>
      <c r="NW20" s="87"/>
      <c r="NX20" s="87">
        <f t="shared" si="46"/>
        <v>0</v>
      </c>
      <c r="NY20" s="80">
        <v>46218</v>
      </c>
      <c r="NZ20" s="89"/>
      <c r="OA20" s="82"/>
      <c r="OC20" s="84"/>
      <c r="OD20" s="87"/>
      <c r="OE20" s="87"/>
      <c r="OF20" s="87">
        <f t="shared" si="47"/>
        <v>0</v>
      </c>
      <c r="OG20" s="80">
        <v>46218</v>
      </c>
      <c r="OH20" s="89"/>
      <c r="OI20" s="82"/>
      <c r="OK20" s="84"/>
      <c r="OL20" s="87"/>
      <c r="OM20" s="87"/>
      <c r="ON20" s="87">
        <f t="shared" si="48"/>
        <v>0</v>
      </c>
      <c r="OO20" s="80">
        <v>46218</v>
      </c>
      <c r="OP20" s="91"/>
      <c r="OQ20" s="82"/>
      <c r="OS20" s="90"/>
      <c r="OT20" s="87"/>
      <c r="OU20" s="87"/>
      <c r="OV20" s="87">
        <f t="shared" si="49"/>
        <v>0</v>
      </c>
      <c r="OW20" s="80">
        <v>46218</v>
      </c>
      <c r="OX20" s="89"/>
      <c r="OY20" s="82"/>
      <c r="PA20" s="84"/>
      <c r="PB20" s="87"/>
      <c r="PC20" s="87"/>
      <c r="PD20" s="87">
        <f t="shared" si="50"/>
        <v>0</v>
      </c>
      <c r="PE20" s="80">
        <v>46218</v>
      </c>
      <c r="PF20" s="89"/>
      <c r="PG20" s="82"/>
      <c r="PH20"/>
      <c r="PI20" s="84"/>
      <c r="PJ20" s="87"/>
      <c r="PK20" s="87"/>
      <c r="PL20" s="87">
        <f t="shared" si="51"/>
        <v>0</v>
      </c>
      <c r="PM20" s="80">
        <v>46218</v>
      </c>
      <c r="PN20" s="211"/>
      <c r="PO20" s="216"/>
      <c r="PQ20" s="99"/>
      <c r="PR20" s="87"/>
      <c r="PS20" s="87"/>
      <c r="PT20" s="87">
        <f t="shared" si="52"/>
        <v>0</v>
      </c>
      <c r="PU20" s="80">
        <v>46218</v>
      </c>
      <c r="PV20" s="86"/>
      <c r="PW20" s="109"/>
      <c r="PY20" s="84"/>
      <c r="PZ20" s="87"/>
      <c r="QA20" s="87"/>
      <c r="QB20" s="87">
        <f>SUM(QB19,PZ20,-QA20)</f>
        <v>0</v>
      </c>
      <c r="QC20" s="80">
        <v>46218</v>
      </c>
      <c r="QD20" s="91"/>
      <c r="QE20" s="82"/>
      <c r="QG20" s="90"/>
      <c r="QH20" s="87"/>
      <c r="QI20" s="87"/>
      <c r="QJ20" s="87">
        <f t="shared" si="54"/>
        <v>0</v>
      </c>
      <c r="QK20" s="80">
        <v>46218</v>
      </c>
      <c r="QL20" s="89"/>
      <c r="QM20" s="82"/>
      <c r="QO20" s="90"/>
      <c r="QP20" s="87"/>
      <c r="QQ20" s="87"/>
      <c r="QR20" s="87">
        <f t="shared" si="55"/>
        <v>0</v>
      </c>
      <c r="QS20" s="80">
        <v>46218</v>
      </c>
      <c r="QT20" s="212"/>
      <c r="QU20" s="216"/>
      <c r="QW20" s="90"/>
      <c r="QX20" s="87"/>
      <c r="QY20" s="87"/>
      <c r="QZ20" s="87">
        <f t="shared" si="56"/>
        <v>0</v>
      </c>
      <c r="RA20" s="80">
        <v>46218</v>
      </c>
      <c r="RB20" s="89"/>
      <c r="RC20" s="82"/>
      <c r="RE20" s="84"/>
      <c r="RF20" s="87"/>
      <c r="RG20" s="87"/>
      <c r="RH20" s="87">
        <f t="shared" si="57"/>
        <v>0</v>
      </c>
      <c r="RI20" s="80">
        <v>46218</v>
      </c>
      <c r="RJ20" s="89"/>
      <c r="RK20" s="178"/>
      <c r="RM20" s="84"/>
      <c r="RN20" s="87"/>
      <c r="RO20" s="87"/>
      <c r="RP20" s="87">
        <f t="shared" si="58"/>
        <v>0</v>
      </c>
      <c r="RQ20" s="80">
        <v>46218</v>
      </c>
      <c r="RR20" s="89"/>
      <c r="RS20" s="192"/>
      <c r="RT20"/>
      <c r="RU20" s="84"/>
      <c r="RV20" s="87"/>
      <c r="RW20" s="87"/>
      <c r="RX20" s="87">
        <f t="shared" si="59"/>
        <v>0</v>
      </c>
      <c r="RY20" s="80">
        <v>46218</v>
      </c>
      <c r="RZ20" s="89"/>
      <c r="SA20" s="82"/>
      <c r="SC20" s="90"/>
      <c r="SD20" s="87"/>
      <c r="SE20" s="87"/>
      <c r="SF20" s="87">
        <f t="shared" si="60"/>
        <v>0</v>
      </c>
      <c r="SG20" s="80">
        <v>46218</v>
      </c>
      <c r="SH20" s="89"/>
      <c r="SI20" s="82"/>
      <c r="SK20" s="84"/>
      <c r="SL20" s="87"/>
      <c r="SM20" s="87"/>
      <c r="SN20" s="87">
        <f t="shared" si="61"/>
        <v>0</v>
      </c>
      <c r="SO20" s="80">
        <v>46218</v>
      </c>
      <c r="SP20" s="91"/>
      <c r="SQ20" s="82"/>
      <c r="SS20" s="84"/>
      <c r="ST20" s="87"/>
      <c r="SU20" s="87"/>
      <c r="SV20" s="87">
        <f t="shared" si="62"/>
        <v>0</v>
      </c>
      <c r="SW20" s="80">
        <v>46218</v>
      </c>
      <c r="SX20" s="89"/>
      <c r="SY20" s="82"/>
      <c r="TA20" s="90"/>
      <c r="TB20" s="87"/>
      <c r="TC20" s="87"/>
      <c r="TD20" s="87">
        <f t="shared" si="63"/>
        <v>0</v>
      </c>
      <c r="TE20" s="80">
        <v>46218</v>
      </c>
      <c r="TF20" s="91"/>
      <c r="TG20" s="82"/>
      <c r="TI20" s="84"/>
      <c r="TJ20" s="87"/>
      <c r="TK20" s="87"/>
      <c r="TL20" s="87">
        <f t="shared" si="64"/>
        <v>0</v>
      </c>
      <c r="TM20" s="80">
        <v>46218</v>
      </c>
      <c r="TN20" s="89"/>
      <c r="TO20" s="82"/>
      <c r="TQ20" s="99"/>
      <c r="TR20" s="87"/>
      <c r="TS20" s="87"/>
      <c r="TT20" s="87">
        <f t="shared" si="65"/>
        <v>0</v>
      </c>
      <c r="TU20" s="80">
        <v>46218</v>
      </c>
      <c r="TV20" s="91"/>
      <c r="TW20" s="82"/>
      <c r="TY20" s="10"/>
      <c r="TZ20" s="87"/>
      <c r="UA20" s="87"/>
      <c r="UB20" s="87">
        <f t="shared" si="66"/>
        <v>0</v>
      </c>
      <c r="UC20" s="80">
        <v>46218</v>
      </c>
      <c r="UD20" s="89"/>
      <c r="UE20" s="82"/>
      <c r="UG20" s="90"/>
      <c r="UH20" s="87"/>
      <c r="UI20" s="87"/>
      <c r="UJ20" s="87">
        <f t="shared" si="67"/>
        <v>0</v>
      </c>
      <c r="UK20" s="80">
        <v>46218</v>
      </c>
      <c r="UL20" s="89"/>
      <c r="UM20" s="82"/>
      <c r="UO20" s="84"/>
      <c r="UP20" s="87"/>
      <c r="UQ20" s="87"/>
      <c r="UR20" s="87">
        <f t="shared" si="68"/>
        <v>0</v>
      </c>
      <c r="US20" s="80">
        <v>46218</v>
      </c>
      <c r="UT20" s="89"/>
      <c r="UU20" s="82"/>
      <c r="UW20" s="99"/>
      <c r="UX20" s="87"/>
      <c r="UY20" s="87"/>
      <c r="UZ20" s="87">
        <f t="shared" si="69"/>
        <v>0</v>
      </c>
      <c r="VA20" s="80">
        <v>46218</v>
      </c>
      <c r="VB20" s="89"/>
      <c r="VC20" s="82"/>
      <c r="VE20" s="99"/>
      <c r="VF20" s="87"/>
      <c r="VG20" s="87"/>
      <c r="VH20" s="87">
        <f t="shared" si="70"/>
        <v>0</v>
      </c>
      <c r="VI20" s="80">
        <v>46218</v>
      </c>
      <c r="VJ20" s="89"/>
      <c r="VK20" s="82"/>
      <c r="VM20" s="99"/>
      <c r="VN20" s="87"/>
      <c r="VO20" s="87"/>
      <c r="VP20" s="87">
        <f t="shared" si="71"/>
        <v>0</v>
      </c>
      <c r="VQ20" s="80">
        <v>46218</v>
      </c>
      <c r="VR20" s="89"/>
      <c r="VS20" s="82"/>
      <c r="VU20" s="84"/>
      <c r="VV20" s="87"/>
      <c r="VW20" s="87"/>
      <c r="VX20" s="87">
        <f t="shared" si="72"/>
        <v>0</v>
      </c>
      <c r="VY20" s="80">
        <v>46218</v>
      </c>
      <c r="VZ20" s="89"/>
      <c r="WA20" s="82"/>
      <c r="WC20" s="84"/>
      <c r="WD20" s="87"/>
      <c r="WE20" s="87"/>
      <c r="WF20" s="87">
        <f t="shared" si="73"/>
        <v>0</v>
      </c>
      <c r="WG20" s="80">
        <v>46218</v>
      </c>
      <c r="WH20" s="89"/>
      <c r="WI20" s="82"/>
      <c r="WJ20"/>
      <c r="WK20" s="90"/>
      <c r="WL20" s="87"/>
      <c r="WM20" s="87"/>
      <c r="WN20" s="87">
        <f t="shared" si="74"/>
        <v>0</v>
      </c>
      <c r="WO20" s="80">
        <v>46218</v>
      </c>
      <c r="WP20" s="89"/>
      <c r="WQ20" s="82"/>
      <c r="WS20" s="84"/>
      <c r="WT20" s="87"/>
      <c r="WU20" s="87"/>
      <c r="WV20" s="87">
        <f t="shared" si="75"/>
        <v>0</v>
      </c>
      <c r="WW20" s="80">
        <v>46218</v>
      </c>
      <c r="WX20" s="91"/>
      <c r="WY20" s="82"/>
      <c r="XA20" s="90"/>
      <c r="XB20" s="87"/>
      <c r="XC20" s="87"/>
      <c r="XD20" s="87">
        <f t="shared" si="76"/>
        <v>0</v>
      </c>
      <c r="XE20" s="80">
        <v>46218</v>
      </c>
      <c r="XF20" s="91"/>
      <c r="XG20" s="82"/>
      <c r="XH20" s="187"/>
      <c r="XI20" s="90"/>
      <c r="XJ20" s="87"/>
      <c r="XK20" s="87"/>
      <c r="XL20" s="87">
        <f t="shared" si="77"/>
        <v>0</v>
      </c>
      <c r="XM20" s="80">
        <v>46218</v>
      </c>
      <c r="XN20" s="91"/>
      <c r="XO20" s="82"/>
      <c r="XQ20" s="99"/>
      <c r="XR20" s="87"/>
      <c r="XS20" s="87"/>
      <c r="XT20" s="87">
        <f t="shared" si="78"/>
        <v>0</v>
      </c>
      <c r="XU20" s="80">
        <v>46218</v>
      </c>
      <c r="XV20" s="91"/>
      <c r="XW20" s="82"/>
      <c r="XY20" s="90"/>
      <c r="XZ20" s="87"/>
      <c r="YA20" s="87"/>
      <c r="YB20" s="87">
        <f t="shared" si="79"/>
        <v>0</v>
      </c>
      <c r="YC20" s="80">
        <v>46218</v>
      </c>
      <c r="YD20" s="89"/>
      <c r="YE20" s="82"/>
      <c r="YG20" s="90"/>
      <c r="YH20" s="87"/>
      <c r="YI20" s="87"/>
      <c r="YJ20" s="87">
        <f t="shared" si="80"/>
        <v>0</v>
      </c>
      <c r="YK20" s="80">
        <v>46218</v>
      </c>
      <c r="YL20" s="89"/>
      <c r="YM20" s="82"/>
      <c r="YO20" s="90"/>
      <c r="YP20" s="87"/>
      <c r="YQ20" s="87"/>
      <c r="YR20" s="87">
        <f t="shared" si="81"/>
        <v>0</v>
      </c>
      <c r="YS20" s="80">
        <v>46218</v>
      </c>
      <c r="YT20" s="89"/>
      <c r="YU20" s="82"/>
      <c r="YW20" s="90"/>
      <c r="YX20" s="87"/>
      <c r="YY20" s="87"/>
      <c r="YZ20" s="87">
        <f t="shared" si="82"/>
        <v>0</v>
      </c>
      <c r="ZA20" s="80">
        <v>46218</v>
      </c>
      <c r="ZB20" s="89"/>
      <c r="ZC20" s="82"/>
      <c r="ZE20" s="90"/>
      <c r="ZF20" s="87"/>
      <c r="ZG20" s="87"/>
      <c r="ZH20" s="87">
        <f t="shared" si="83"/>
        <v>0</v>
      </c>
      <c r="ZI20" s="80">
        <v>46218</v>
      </c>
      <c r="ZJ20" s="89"/>
      <c r="ZK20" s="82"/>
      <c r="ZM20" s="193"/>
      <c r="ZN20" s="87"/>
      <c r="ZO20" s="87"/>
      <c r="ZP20" s="87">
        <f t="shared" si="84"/>
        <v>0</v>
      </c>
      <c r="ZQ20" s="80">
        <v>46218</v>
      </c>
      <c r="ZR20" s="89"/>
      <c r="ZS20" s="82"/>
      <c r="ZU20" s="90"/>
      <c r="ZV20" s="87"/>
      <c r="ZW20" s="87"/>
      <c r="ZX20" s="87">
        <f t="shared" si="85"/>
        <v>0</v>
      </c>
      <c r="ZY20" s="80">
        <v>46218</v>
      </c>
      <c r="ZZ20" s="89"/>
      <c r="AAA20" s="82"/>
      <c r="AAC20" s="90"/>
      <c r="AAD20" s="87"/>
      <c r="AAE20" s="87"/>
      <c r="AAF20" s="87">
        <f t="shared" si="86"/>
        <v>0</v>
      </c>
      <c r="AAG20" s="80">
        <v>46218</v>
      </c>
      <c r="AAH20" s="89"/>
      <c r="AAI20" s="82"/>
      <c r="AAK20" s="90"/>
      <c r="AAL20" s="87"/>
      <c r="AAM20" s="87"/>
      <c r="AAN20" s="87">
        <f t="shared" si="87"/>
        <v>0</v>
      </c>
      <c r="AAO20" s="80">
        <v>46218</v>
      </c>
      <c r="AAP20" s="89"/>
      <c r="AAQ20" s="82"/>
      <c r="AAS20" s="99"/>
      <c r="AAT20" s="87"/>
      <c r="AAU20" s="87"/>
      <c r="AAV20" s="87">
        <f t="shared" si="88"/>
        <v>0</v>
      </c>
      <c r="AAW20" s="80">
        <v>46218</v>
      </c>
      <c r="AAX20" s="89"/>
      <c r="AAY20" s="82"/>
      <c r="ABA20" s="90"/>
      <c r="ABB20" s="87"/>
      <c r="ABC20" s="87"/>
      <c r="ABD20" s="87">
        <f t="shared" si="89"/>
        <v>0</v>
      </c>
      <c r="ABE20" s="80">
        <v>46218</v>
      </c>
      <c r="ABF20" s="89"/>
      <c r="ABG20" s="82"/>
      <c r="ABI20" s="90"/>
      <c r="ABJ20" s="87"/>
      <c r="ABK20" s="87"/>
      <c r="ABL20" s="87">
        <f t="shared" si="90"/>
        <v>0</v>
      </c>
      <c r="ABM20" s="80">
        <v>46218</v>
      </c>
      <c r="ABN20" s="89"/>
      <c r="ABO20" s="82"/>
      <c r="ABQ20" s="90"/>
      <c r="ABR20" s="87"/>
      <c r="ABS20" s="87"/>
      <c r="ABT20" s="87">
        <f t="shared" si="91"/>
        <v>0</v>
      </c>
      <c r="ABU20" s="80">
        <v>46218</v>
      </c>
      <c r="ABV20" s="89"/>
      <c r="ABW20" s="82"/>
      <c r="ABY20" s="90"/>
      <c r="ABZ20" s="87"/>
      <c r="ACA20" s="87"/>
      <c r="ACB20" s="87">
        <f t="shared" si="92"/>
        <v>0</v>
      </c>
      <c r="ACC20" s="80">
        <v>46218</v>
      </c>
      <c r="ACD20" s="89"/>
      <c r="ACE20" s="82"/>
    </row>
    <row r="21" spans="1:759" ht="12" customHeight="1" thickBot="1" x14ac:dyDescent="0.3">
      <c r="A21" s="84"/>
      <c r="B21" s="350"/>
      <c r="C21" s="222"/>
      <c r="D21" s="87">
        <f t="shared" si="2"/>
        <v>1700</v>
      </c>
      <c r="E21" s="80">
        <v>46218</v>
      </c>
      <c r="F21" s="374"/>
      <c r="G21" s="382"/>
      <c r="H21" s="72"/>
      <c r="I21" s="84"/>
      <c r="J21" s="87"/>
      <c r="K21" s="87"/>
      <c r="L21" s="87">
        <f t="shared" si="0"/>
        <v>1000</v>
      </c>
      <c r="M21" s="163">
        <v>46218</v>
      </c>
      <c r="N21" s="220"/>
      <c r="O21" s="82"/>
      <c r="P21" s="59"/>
      <c r="Q21" s="84"/>
      <c r="R21" s="222"/>
      <c r="S21" s="222"/>
      <c r="T21" s="87">
        <f t="shared" si="1"/>
        <v>4000</v>
      </c>
      <c r="U21" s="80">
        <v>46218</v>
      </c>
      <c r="V21" s="220"/>
      <c r="W21" s="82"/>
      <c r="X21" s="388"/>
      <c r="Y21" s="84"/>
      <c r="Z21" s="222"/>
      <c r="AA21" s="222"/>
      <c r="AB21" s="222">
        <f t="shared" si="3"/>
        <v>1000</v>
      </c>
      <c r="AC21" s="80">
        <v>46218</v>
      </c>
      <c r="AD21" s="220"/>
      <c r="AE21" s="82"/>
      <c r="AF21" s="162"/>
      <c r="AG21" s="84"/>
      <c r="AH21" s="222"/>
      <c r="AI21" s="222"/>
      <c r="AJ21" s="87">
        <f t="shared" si="4"/>
        <v>2000</v>
      </c>
      <c r="AK21" s="80">
        <v>46218</v>
      </c>
      <c r="AL21" s="220"/>
      <c r="AM21" s="82"/>
      <c r="AN21" s="105"/>
      <c r="AO21" s="84"/>
      <c r="AP21" s="222"/>
      <c r="AQ21" s="222"/>
      <c r="AR21" s="87">
        <f t="shared" si="5"/>
        <v>1000</v>
      </c>
      <c r="AS21" s="80">
        <v>46218</v>
      </c>
      <c r="AT21" s="220"/>
      <c r="AU21" s="82"/>
      <c r="AV21" s="299"/>
      <c r="AW21" s="10"/>
      <c r="AX21" s="222"/>
      <c r="AY21" s="222"/>
      <c r="AZ21" s="87">
        <f t="shared" si="6"/>
        <v>1150</v>
      </c>
      <c r="BA21" s="80">
        <v>46218</v>
      </c>
      <c r="BB21" s="374"/>
      <c r="BC21" s="82"/>
      <c r="BD21" s="341"/>
      <c r="BE21" s="84"/>
      <c r="BF21" s="87"/>
      <c r="BG21" s="87"/>
      <c r="BH21" s="87">
        <f t="shared" si="7"/>
        <v>7000</v>
      </c>
      <c r="BI21" s="80">
        <v>46218</v>
      </c>
      <c r="BJ21" s="220"/>
      <c r="BK21" s="82"/>
      <c r="BM21" s="84"/>
      <c r="BN21" s="222"/>
      <c r="BO21" s="222"/>
      <c r="BP21" s="87">
        <f t="shared" si="8"/>
        <v>1000</v>
      </c>
      <c r="BQ21" s="80">
        <v>46218</v>
      </c>
      <c r="BR21" s="220"/>
      <c r="BS21" s="82"/>
      <c r="BT21" s="60"/>
      <c r="BU21" s="84"/>
      <c r="BV21" s="87"/>
      <c r="BW21" s="87"/>
      <c r="BX21" s="87">
        <f t="shared" si="9"/>
        <v>0</v>
      </c>
      <c r="BY21" s="80">
        <v>46218</v>
      </c>
      <c r="BZ21" s="220"/>
      <c r="CA21" s="82"/>
      <c r="CB21" s="72"/>
      <c r="CC21" s="84"/>
      <c r="CD21" s="87"/>
      <c r="CE21" s="87"/>
      <c r="CF21" s="87">
        <f t="shared" si="10"/>
        <v>0</v>
      </c>
      <c r="CG21" s="88">
        <v>46233</v>
      </c>
      <c r="CH21" s="220"/>
      <c r="CI21" s="82"/>
      <c r="CK21" s="99"/>
      <c r="CL21" s="222"/>
      <c r="CM21" s="222"/>
      <c r="CN21" s="87">
        <f t="shared" si="11"/>
        <v>0</v>
      </c>
      <c r="CO21" s="88">
        <v>46233</v>
      </c>
      <c r="CP21" s="220"/>
      <c r="CQ21" s="82"/>
      <c r="CR21" s="72"/>
      <c r="CS21" s="84"/>
      <c r="CT21" s="222"/>
      <c r="CU21" s="222"/>
      <c r="CV21" s="87">
        <f t="shared" si="12"/>
        <v>0</v>
      </c>
      <c r="CW21" s="88">
        <v>46233</v>
      </c>
      <c r="CX21" s="220"/>
      <c r="CY21" s="82"/>
      <c r="CZ21" s="342"/>
      <c r="DA21" s="84"/>
      <c r="DB21" s="222"/>
      <c r="DC21" s="222"/>
      <c r="DD21" s="87">
        <f t="shared" si="13"/>
        <v>0</v>
      </c>
      <c r="DE21" s="88">
        <v>46233</v>
      </c>
      <c r="DF21" s="220"/>
      <c r="DG21" s="82"/>
      <c r="DI21" s="84"/>
      <c r="DJ21" s="87"/>
      <c r="DK21" s="87"/>
      <c r="DL21" s="87">
        <f t="shared" si="14"/>
        <v>0</v>
      </c>
      <c r="DM21" s="80">
        <v>46218</v>
      </c>
      <c r="DN21" s="220"/>
      <c r="DO21" s="82"/>
      <c r="DQ21" s="84"/>
      <c r="DR21" s="222"/>
      <c r="DS21" s="222"/>
      <c r="DT21" s="87">
        <f t="shared" si="15"/>
        <v>0</v>
      </c>
      <c r="DU21" s="80">
        <v>46218</v>
      </c>
      <c r="DV21" s="220"/>
      <c r="DW21" s="82"/>
      <c r="DX21" s="72"/>
      <c r="DY21" s="99"/>
      <c r="DZ21" s="222"/>
      <c r="EA21" s="222"/>
      <c r="EB21" s="87">
        <f t="shared" si="16"/>
        <v>0</v>
      </c>
      <c r="EC21" s="80">
        <v>46218</v>
      </c>
      <c r="ED21" s="220"/>
      <c r="EE21" s="82"/>
      <c r="EF21" s="72"/>
      <c r="EG21" s="90"/>
      <c r="EH21" s="87"/>
      <c r="EI21" s="87"/>
      <c r="EJ21" s="87">
        <f t="shared" si="17"/>
        <v>0</v>
      </c>
      <c r="EK21" s="80">
        <v>46218</v>
      </c>
      <c r="EL21" s="220"/>
      <c r="EM21" s="82"/>
      <c r="EO21" s="90"/>
      <c r="EP21" s="87"/>
      <c r="EQ21" s="87"/>
      <c r="ER21" s="87">
        <f t="shared" si="18"/>
        <v>0</v>
      </c>
      <c r="ES21" s="80">
        <v>46218</v>
      </c>
      <c r="ET21" s="220"/>
      <c r="EU21" s="82"/>
      <c r="EW21" s="99"/>
      <c r="EX21" s="222"/>
      <c r="EY21" s="222"/>
      <c r="EZ21" s="87">
        <f t="shared" si="19"/>
        <v>0</v>
      </c>
      <c r="FA21" s="80">
        <v>46218</v>
      </c>
      <c r="FB21" s="220"/>
      <c r="FC21" s="82"/>
      <c r="FE21" s="84"/>
      <c r="FF21" s="87"/>
      <c r="FG21" s="87"/>
      <c r="FH21" s="87">
        <f t="shared" si="93"/>
        <v>0</v>
      </c>
      <c r="FI21" s="80">
        <v>46218</v>
      </c>
      <c r="FJ21" s="220"/>
      <c r="FK21" s="82"/>
      <c r="FL21" s="198"/>
      <c r="FM21" s="84"/>
      <c r="FN21" s="87"/>
      <c r="FO21" s="87"/>
      <c r="FP21" s="87">
        <f t="shared" si="20"/>
        <v>0</v>
      </c>
      <c r="FQ21" s="80">
        <v>46218</v>
      </c>
      <c r="FR21" s="220"/>
      <c r="FS21" s="82"/>
      <c r="FT21" s="59"/>
      <c r="FU21" s="103"/>
      <c r="FV21" s="86"/>
      <c r="FW21" s="86"/>
      <c r="FX21" s="86">
        <f t="shared" si="21"/>
        <v>0</v>
      </c>
      <c r="FY21" s="166">
        <v>46218</v>
      </c>
      <c r="FZ21" s="220"/>
      <c r="GA21" s="82"/>
      <c r="GB21" s="197"/>
      <c r="GC21" s="84"/>
      <c r="GD21" s="87"/>
      <c r="GE21" s="87"/>
      <c r="GF21" s="87">
        <f t="shared" si="22"/>
        <v>0</v>
      </c>
      <c r="GG21" s="80">
        <v>46218</v>
      </c>
      <c r="GH21" s="220"/>
      <c r="GI21" s="82"/>
      <c r="GJ21"/>
      <c r="GK21" s="90"/>
      <c r="GL21" s="87"/>
      <c r="GM21" s="87"/>
      <c r="GN21" s="87">
        <f t="shared" si="23"/>
        <v>0</v>
      </c>
      <c r="GO21" s="88">
        <v>46233</v>
      </c>
      <c r="GP21" s="220"/>
      <c r="GQ21" s="82"/>
      <c r="GS21" s="84"/>
      <c r="GT21" s="222"/>
      <c r="GU21" s="222"/>
      <c r="GV21" s="87">
        <f t="shared" si="24"/>
        <v>0</v>
      </c>
      <c r="GW21" s="88">
        <v>46233</v>
      </c>
      <c r="GX21" s="220"/>
      <c r="GY21" s="82"/>
      <c r="GZ21"/>
      <c r="HA21" s="99"/>
      <c r="HB21" s="87"/>
      <c r="HC21" s="87"/>
      <c r="HD21" s="87">
        <f t="shared" si="25"/>
        <v>0</v>
      </c>
      <c r="HE21" s="88">
        <v>46233</v>
      </c>
      <c r="HF21" s="220"/>
      <c r="HG21" s="82"/>
      <c r="HI21" s="84"/>
      <c r="HJ21" s="87"/>
      <c r="HK21" s="87"/>
      <c r="HL21" s="87">
        <f t="shared" si="26"/>
        <v>0</v>
      </c>
      <c r="HM21" s="88">
        <v>46233</v>
      </c>
      <c r="HN21" s="220"/>
      <c r="HO21" s="82"/>
      <c r="HQ21" s="84"/>
      <c r="HR21" s="87"/>
      <c r="HS21" s="222"/>
      <c r="HT21" s="87">
        <f t="shared" si="27"/>
        <v>0</v>
      </c>
      <c r="HU21" s="88">
        <v>46233</v>
      </c>
      <c r="HV21" s="220"/>
      <c r="HW21" s="82"/>
      <c r="HY21" s="90"/>
      <c r="HZ21" s="87"/>
      <c r="IA21" s="87"/>
      <c r="IB21" s="87">
        <f t="shared" si="28"/>
        <v>0</v>
      </c>
      <c r="IC21" s="88">
        <v>46233</v>
      </c>
      <c r="ID21" s="89"/>
      <c r="IE21" s="82"/>
      <c r="IG21" s="90"/>
      <c r="IH21" s="87"/>
      <c r="II21" s="87"/>
      <c r="IJ21" s="87">
        <f t="shared" si="29"/>
        <v>0</v>
      </c>
      <c r="IK21" s="88">
        <v>46233</v>
      </c>
      <c r="IL21" s="91"/>
      <c r="IM21" s="82"/>
      <c r="IO21" s="84"/>
      <c r="IP21" s="87"/>
      <c r="IQ21" s="87"/>
      <c r="IR21" s="87">
        <f t="shared" si="30"/>
        <v>0</v>
      </c>
      <c r="IS21" s="88">
        <v>46233</v>
      </c>
      <c r="IT21" s="91"/>
      <c r="IU21" s="82"/>
      <c r="IW21" s="84"/>
      <c r="IX21" s="87"/>
      <c r="IY21" s="87"/>
      <c r="IZ21" s="87">
        <f t="shared" si="31"/>
        <v>0</v>
      </c>
      <c r="JA21" s="88">
        <v>46233</v>
      </c>
      <c r="JB21" s="89"/>
      <c r="JC21" s="82"/>
      <c r="JE21" s="90"/>
      <c r="JF21" s="87"/>
      <c r="JG21" s="87"/>
      <c r="JH21" s="87">
        <f t="shared" si="32"/>
        <v>0</v>
      </c>
      <c r="JI21" s="88">
        <v>46233</v>
      </c>
      <c r="JJ21" s="220"/>
      <c r="JK21" s="82"/>
      <c r="JM21" s="84"/>
      <c r="JN21" s="87"/>
      <c r="JO21" s="87"/>
      <c r="JP21" s="87">
        <f t="shared" si="33"/>
        <v>0</v>
      </c>
      <c r="JQ21" s="163">
        <v>46233</v>
      </c>
      <c r="JR21" s="89"/>
      <c r="JS21" s="82"/>
      <c r="JU21" s="90"/>
      <c r="JV21" s="87"/>
      <c r="JW21" s="87"/>
      <c r="JX21" s="87">
        <f t="shared" si="94"/>
        <v>0</v>
      </c>
      <c r="JY21" s="163">
        <v>46233</v>
      </c>
      <c r="JZ21" s="91"/>
      <c r="KA21" s="82"/>
      <c r="KC21" s="84"/>
      <c r="KD21" s="87"/>
      <c r="KE21" s="87"/>
      <c r="KF21" s="87">
        <f t="shared" si="34"/>
        <v>0</v>
      </c>
      <c r="KG21" s="163">
        <v>46233</v>
      </c>
      <c r="KH21" s="222"/>
      <c r="KI21" s="109"/>
      <c r="KK21" s="99"/>
      <c r="KL21" s="87"/>
      <c r="KM21" s="87"/>
      <c r="KN21" s="87">
        <f t="shared" si="35"/>
        <v>0</v>
      </c>
      <c r="KO21" s="163">
        <v>46233</v>
      </c>
      <c r="KP21" s="89"/>
      <c r="KQ21" s="82"/>
      <c r="KS21" s="84"/>
      <c r="KT21" s="87"/>
      <c r="KU21" s="87"/>
      <c r="KV21" s="87">
        <f t="shared" si="36"/>
        <v>0</v>
      </c>
      <c r="KW21" s="88">
        <v>46233</v>
      </c>
      <c r="KX21" s="89"/>
      <c r="KY21" s="82"/>
      <c r="LA21" s="90"/>
      <c r="LB21" s="87"/>
      <c r="LC21" s="87"/>
      <c r="LD21" s="87">
        <f t="shared" si="37"/>
        <v>0</v>
      </c>
      <c r="LE21" s="163">
        <v>46233</v>
      </c>
      <c r="LF21" s="89"/>
      <c r="LG21" s="192"/>
      <c r="LH21"/>
      <c r="LI21" s="84"/>
      <c r="LJ21" s="87"/>
      <c r="LK21" s="87"/>
      <c r="LL21" s="87">
        <f t="shared" si="38"/>
        <v>0</v>
      </c>
      <c r="LM21" s="88">
        <v>46233</v>
      </c>
      <c r="LN21" s="89"/>
      <c r="LO21" s="82"/>
      <c r="LQ21" s="84"/>
      <c r="LR21" s="87"/>
      <c r="LS21" s="87"/>
      <c r="LT21" s="87">
        <f t="shared" si="39"/>
        <v>0</v>
      </c>
      <c r="LU21" s="88">
        <v>46233</v>
      </c>
      <c r="LV21" s="89"/>
      <c r="LW21" s="82"/>
      <c r="LY21" s="84"/>
      <c r="LZ21" s="87"/>
      <c r="MA21" s="87"/>
      <c r="MB21" s="87">
        <f t="shared" si="40"/>
        <v>0</v>
      </c>
      <c r="MC21" s="88">
        <v>46233</v>
      </c>
      <c r="MD21" s="89"/>
      <c r="ME21" s="82"/>
      <c r="MG21" s="90"/>
      <c r="MH21" s="87"/>
      <c r="MI21" s="87"/>
      <c r="MJ21" s="87">
        <f t="shared" si="41"/>
        <v>0</v>
      </c>
      <c r="MK21" s="88">
        <v>46233</v>
      </c>
      <c r="ML21" s="89"/>
      <c r="MM21" s="82"/>
      <c r="MN21" s="102"/>
      <c r="MO21" s="111"/>
      <c r="MP21" s="86"/>
      <c r="MQ21" s="86"/>
      <c r="MR21" s="86">
        <f t="shared" si="42"/>
        <v>0</v>
      </c>
      <c r="MS21" s="104">
        <v>46233</v>
      </c>
      <c r="MT21" s="91"/>
      <c r="MU21" s="82"/>
      <c r="MW21" s="112"/>
      <c r="MX21" s="87"/>
      <c r="MY21" s="87"/>
      <c r="MZ21" s="87">
        <f t="shared" si="43"/>
        <v>0</v>
      </c>
      <c r="NA21" s="88">
        <v>46233</v>
      </c>
      <c r="NB21" s="89"/>
      <c r="NC21" s="82"/>
      <c r="NE21" s="84"/>
      <c r="NF21" s="87"/>
      <c r="NG21" s="87"/>
      <c r="NH21" s="87">
        <f t="shared" si="44"/>
        <v>0</v>
      </c>
      <c r="NI21" s="88">
        <v>46233</v>
      </c>
      <c r="NJ21" s="89"/>
      <c r="NK21" s="82"/>
      <c r="NM21" s="90"/>
      <c r="NN21" s="87"/>
      <c r="NO21" s="87"/>
      <c r="NP21" s="87">
        <f t="shared" si="45"/>
        <v>0</v>
      </c>
      <c r="NQ21" s="88">
        <v>46233</v>
      </c>
      <c r="NR21" s="91"/>
      <c r="NS21" s="82"/>
      <c r="NU21" s="84"/>
      <c r="NV21" s="87"/>
      <c r="NW21" s="87"/>
      <c r="NX21" s="87">
        <f t="shared" si="46"/>
        <v>0</v>
      </c>
      <c r="NY21" s="88">
        <v>46233</v>
      </c>
      <c r="NZ21" s="89"/>
      <c r="OA21" s="82"/>
      <c r="OC21" s="84"/>
      <c r="OD21" s="87"/>
      <c r="OE21" s="87"/>
      <c r="OF21" s="87">
        <f t="shared" si="47"/>
        <v>0</v>
      </c>
      <c r="OG21" s="88">
        <v>46233</v>
      </c>
      <c r="OH21" s="89"/>
      <c r="OI21" s="82"/>
      <c r="OK21" s="84"/>
      <c r="OL21" s="87"/>
      <c r="OM21" s="87"/>
      <c r="ON21" s="87">
        <f t="shared" si="48"/>
        <v>0</v>
      </c>
      <c r="OO21" s="88">
        <v>46233</v>
      </c>
      <c r="OP21" s="91"/>
      <c r="OQ21" s="82"/>
      <c r="OS21" s="90"/>
      <c r="OT21" s="87"/>
      <c r="OU21" s="87"/>
      <c r="OV21" s="87">
        <f t="shared" si="49"/>
        <v>0</v>
      </c>
      <c r="OW21" s="88">
        <v>46233</v>
      </c>
      <c r="OX21" s="89"/>
      <c r="OY21" s="82"/>
      <c r="PA21" s="84"/>
      <c r="PB21" s="87"/>
      <c r="PC21" s="87"/>
      <c r="PD21" s="87">
        <f t="shared" si="50"/>
        <v>0</v>
      </c>
      <c r="PE21" s="88">
        <v>46233</v>
      </c>
      <c r="PF21" s="89"/>
      <c r="PG21" s="82"/>
      <c r="PH21"/>
      <c r="PI21" s="84"/>
      <c r="PJ21" s="87"/>
      <c r="PK21" s="87"/>
      <c r="PL21" s="87">
        <f t="shared" si="51"/>
        <v>0</v>
      </c>
      <c r="PM21" s="88">
        <v>46233</v>
      </c>
      <c r="PN21" s="211"/>
      <c r="PO21" s="216"/>
      <c r="PQ21" s="99"/>
      <c r="PR21" s="87"/>
      <c r="PS21" s="87"/>
      <c r="PT21" s="87">
        <f t="shared" si="52"/>
        <v>0</v>
      </c>
      <c r="PU21" s="88">
        <v>46233</v>
      </c>
      <c r="PV21" s="86"/>
      <c r="PW21" s="109"/>
      <c r="PY21" s="84"/>
      <c r="PZ21" s="87"/>
      <c r="QA21" s="87"/>
      <c r="QB21" s="87">
        <f>SUM(QB20,PZ21,-QA21)</f>
        <v>0</v>
      </c>
      <c r="QC21" s="88">
        <v>46233</v>
      </c>
      <c r="QD21" s="91"/>
      <c r="QE21" s="82"/>
      <c r="QG21" s="90"/>
      <c r="QH21" s="87"/>
      <c r="QI21" s="87"/>
      <c r="QJ21" s="87">
        <f t="shared" si="54"/>
        <v>0</v>
      </c>
      <c r="QK21" s="88">
        <v>46233</v>
      </c>
      <c r="QL21" s="89"/>
      <c r="QM21" s="82"/>
      <c r="QO21" s="90"/>
      <c r="QP21" s="87"/>
      <c r="QQ21" s="87"/>
      <c r="QR21" s="87">
        <f t="shared" si="55"/>
        <v>0</v>
      </c>
      <c r="QS21" s="88">
        <v>46233</v>
      </c>
      <c r="QT21" s="212"/>
      <c r="QU21" s="216"/>
      <c r="QW21" s="90"/>
      <c r="QX21" s="87"/>
      <c r="QY21" s="87"/>
      <c r="QZ21" s="87">
        <f t="shared" si="56"/>
        <v>0</v>
      </c>
      <c r="RA21" s="88">
        <v>46233</v>
      </c>
      <c r="RB21" s="89"/>
      <c r="RC21" s="82"/>
      <c r="RE21" s="84"/>
      <c r="RF21" s="87"/>
      <c r="RG21" s="87"/>
      <c r="RH21" s="87">
        <f t="shared" si="57"/>
        <v>0</v>
      </c>
      <c r="RI21" s="88">
        <v>46233</v>
      </c>
      <c r="RJ21" s="89"/>
      <c r="RK21" s="170"/>
      <c r="RM21" s="84"/>
      <c r="RN21" s="87"/>
      <c r="RO21" s="87"/>
      <c r="RP21" s="87">
        <f t="shared" si="58"/>
        <v>0</v>
      </c>
      <c r="RQ21" s="88">
        <v>46233</v>
      </c>
      <c r="RR21" s="89"/>
      <c r="RS21" s="192"/>
      <c r="RT21"/>
      <c r="RU21" s="84"/>
      <c r="RV21" s="87"/>
      <c r="RW21" s="87"/>
      <c r="RX21" s="87">
        <f t="shared" si="59"/>
        <v>0</v>
      </c>
      <c r="RY21" s="88">
        <v>46233</v>
      </c>
      <c r="RZ21" s="89"/>
      <c r="SA21" s="82"/>
      <c r="SC21" s="90"/>
      <c r="SD21" s="87"/>
      <c r="SE21" s="87"/>
      <c r="SF21" s="87">
        <f t="shared" si="60"/>
        <v>0</v>
      </c>
      <c r="SG21" s="88">
        <v>46233</v>
      </c>
      <c r="SH21" s="89"/>
      <c r="SI21" s="82"/>
      <c r="SK21" s="84"/>
      <c r="SL21" s="87"/>
      <c r="SM21" s="87"/>
      <c r="SN21" s="87">
        <f t="shared" si="61"/>
        <v>0</v>
      </c>
      <c r="SO21" s="88">
        <v>46233</v>
      </c>
      <c r="SP21" s="89"/>
      <c r="SQ21" s="82"/>
      <c r="SS21" s="84"/>
      <c r="ST21" s="87"/>
      <c r="SU21" s="87"/>
      <c r="SV21" s="87">
        <f t="shared" si="62"/>
        <v>0</v>
      </c>
      <c r="SW21" s="88">
        <v>46233</v>
      </c>
      <c r="SX21" s="89"/>
      <c r="SY21" s="82"/>
      <c r="TA21" s="90"/>
      <c r="TB21" s="87"/>
      <c r="TC21" s="87"/>
      <c r="TD21" s="87">
        <f t="shared" si="63"/>
        <v>0</v>
      </c>
      <c r="TE21" s="88">
        <v>46233</v>
      </c>
      <c r="TF21" s="91"/>
      <c r="TG21" s="82"/>
      <c r="TI21" s="84"/>
      <c r="TJ21" s="87"/>
      <c r="TK21" s="87"/>
      <c r="TL21" s="87">
        <f t="shared" si="64"/>
        <v>0</v>
      </c>
      <c r="TM21" s="88">
        <v>46233</v>
      </c>
      <c r="TN21" s="89"/>
      <c r="TO21" s="82"/>
      <c r="TQ21" s="99"/>
      <c r="TR21" s="87"/>
      <c r="TS21" s="87"/>
      <c r="TT21" s="87">
        <f t="shared" si="65"/>
        <v>0</v>
      </c>
      <c r="TU21" s="88">
        <v>46233</v>
      </c>
      <c r="TV21" s="91"/>
      <c r="TW21" s="82"/>
      <c r="TY21" s="90"/>
      <c r="TZ21" s="87"/>
      <c r="UA21" s="87"/>
      <c r="UB21" s="87">
        <f t="shared" si="66"/>
        <v>0</v>
      </c>
      <c r="UC21" s="88">
        <v>46233</v>
      </c>
      <c r="UD21" s="89"/>
      <c r="UE21" s="82"/>
      <c r="UG21" s="90"/>
      <c r="UH21" s="87"/>
      <c r="UI21" s="87"/>
      <c r="UJ21" s="87">
        <f t="shared" si="67"/>
        <v>0</v>
      </c>
      <c r="UK21" s="88">
        <v>46233</v>
      </c>
      <c r="UL21" s="89"/>
      <c r="UM21" s="82"/>
      <c r="UO21" s="84"/>
      <c r="UP21" s="87"/>
      <c r="UQ21" s="87"/>
      <c r="UR21" s="87">
        <f t="shared" si="68"/>
        <v>0</v>
      </c>
      <c r="US21" s="88">
        <v>46233</v>
      </c>
      <c r="UT21" s="89"/>
      <c r="UU21" s="82"/>
      <c r="UW21" s="99"/>
      <c r="UX21" s="87"/>
      <c r="UY21" s="87"/>
      <c r="UZ21" s="87">
        <f t="shared" si="69"/>
        <v>0</v>
      </c>
      <c r="VA21" s="88">
        <v>46233</v>
      </c>
      <c r="VB21" s="188"/>
      <c r="VC21" s="82"/>
      <c r="VE21" s="99"/>
      <c r="VF21" s="87"/>
      <c r="VG21" s="87"/>
      <c r="VH21" s="87">
        <f t="shared" si="70"/>
        <v>0</v>
      </c>
      <c r="VI21" s="88">
        <v>46233</v>
      </c>
      <c r="VJ21" s="89"/>
      <c r="VK21" s="82"/>
      <c r="VL21" s="102"/>
      <c r="VM21" s="90"/>
      <c r="VN21" s="87"/>
      <c r="VO21" s="87"/>
      <c r="VP21" s="87">
        <f t="shared" si="71"/>
        <v>0</v>
      </c>
      <c r="VQ21" s="88">
        <v>46233</v>
      </c>
      <c r="VR21" s="89"/>
      <c r="VS21" s="82"/>
      <c r="VU21" s="99"/>
      <c r="VV21" s="87"/>
      <c r="VW21" s="87"/>
      <c r="VX21" s="87">
        <f t="shared" si="72"/>
        <v>0</v>
      </c>
      <c r="VY21" s="88">
        <v>46233</v>
      </c>
      <c r="VZ21" s="89"/>
      <c r="WA21" s="82"/>
      <c r="WC21" s="84"/>
      <c r="WD21" s="87"/>
      <c r="WE21" s="87"/>
      <c r="WF21" s="87">
        <f t="shared" si="73"/>
        <v>0</v>
      </c>
      <c r="WG21" s="88">
        <v>46233</v>
      </c>
      <c r="WH21" s="89"/>
      <c r="WI21" s="82"/>
      <c r="WJ21"/>
      <c r="WK21" s="90"/>
      <c r="WL21" s="87"/>
      <c r="WM21" s="87"/>
      <c r="WN21" s="87">
        <f t="shared" si="74"/>
        <v>0</v>
      </c>
      <c r="WO21" s="88">
        <v>46233</v>
      </c>
      <c r="WP21" s="91"/>
      <c r="WQ21" s="82"/>
      <c r="WS21" s="84"/>
      <c r="WT21" s="87"/>
      <c r="WU21" s="87"/>
      <c r="WV21" s="87">
        <f t="shared" si="75"/>
        <v>0</v>
      </c>
      <c r="WW21" s="88">
        <v>46233</v>
      </c>
      <c r="WX21" s="91"/>
      <c r="WY21" s="82"/>
      <c r="XA21" s="99"/>
      <c r="XB21" s="87"/>
      <c r="XC21" s="87"/>
      <c r="XD21" s="87">
        <f t="shared" si="76"/>
        <v>0</v>
      </c>
      <c r="XE21" s="88">
        <v>46233</v>
      </c>
      <c r="XF21" s="91"/>
      <c r="XG21" s="82"/>
      <c r="XH21" s="187"/>
      <c r="XI21" s="90"/>
      <c r="XJ21" s="87"/>
      <c r="XK21" s="87"/>
      <c r="XL21" s="87">
        <f t="shared" si="77"/>
        <v>0</v>
      </c>
      <c r="XM21" s="88">
        <v>46233</v>
      </c>
      <c r="XN21" s="91"/>
      <c r="XO21" s="82"/>
      <c r="XQ21" s="99"/>
      <c r="XR21" s="87"/>
      <c r="XS21" s="87"/>
      <c r="XT21" s="87">
        <f t="shared" si="78"/>
        <v>0</v>
      </c>
      <c r="XU21" s="88">
        <v>46233</v>
      </c>
      <c r="XV21" s="91"/>
      <c r="XW21" s="82"/>
      <c r="XY21" s="90"/>
      <c r="XZ21" s="87"/>
      <c r="YA21" s="87"/>
      <c r="YB21" s="87">
        <f t="shared" si="79"/>
        <v>0</v>
      </c>
      <c r="YC21" s="88">
        <v>46233</v>
      </c>
      <c r="YD21" s="89"/>
      <c r="YE21" s="82"/>
      <c r="YG21" s="90"/>
      <c r="YH21" s="87"/>
      <c r="YI21" s="87"/>
      <c r="YJ21" s="87">
        <f t="shared" si="80"/>
        <v>0</v>
      </c>
      <c r="YK21" s="88">
        <v>46233</v>
      </c>
      <c r="YL21" s="89"/>
      <c r="YM21" s="82"/>
      <c r="YO21" s="90"/>
      <c r="YP21" s="87"/>
      <c r="YQ21" s="87"/>
      <c r="YR21" s="87">
        <f t="shared" si="81"/>
        <v>0</v>
      </c>
      <c r="YS21" s="88">
        <v>46233</v>
      </c>
      <c r="YT21" s="89"/>
      <c r="YU21" s="82"/>
      <c r="YW21" s="90"/>
      <c r="YX21" s="87"/>
      <c r="YY21" s="87"/>
      <c r="YZ21" s="87">
        <f t="shared" si="82"/>
        <v>0</v>
      </c>
      <c r="ZA21" s="88">
        <v>46233</v>
      </c>
      <c r="ZB21" s="89"/>
      <c r="ZC21" s="82"/>
      <c r="ZE21" s="90"/>
      <c r="ZF21" s="87"/>
      <c r="ZG21" s="87"/>
      <c r="ZH21" s="87">
        <f t="shared" si="83"/>
        <v>0</v>
      </c>
      <c r="ZI21" s="88">
        <v>46233</v>
      </c>
      <c r="ZJ21" s="89"/>
      <c r="ZK21" s="82"/>
      <c r="ZM21" s="99"/>
      <c r="ZN21" s="87"/>
      <c r="ZO21" s="87"/>
      <c r="ZP21" s="87">
        <f t="shared" si="84"/>
        <v>0</v>
      </c>
      <c r="ZQ21" s="88">
        <v>46233</v>
      </c>
      <c r="ZR21" s="89"/>
      <c r="ZS21" s="82"/>
      <c r="ZU21" s="90"/>
      <c r="ZV21" s="87"/>
      <c r="ZW21" s="87"/>
      <c r="ZX21" s="87">
        <f t="shared" si="85"/>
        <v>0</v>
      </c>
      <c r="ZY21" s="88">
        <v>46233</v>
      </c>
      <c r="ZZ21" s="89"/>
      <c r="AAA21" s="82"/>
      <c r="AAC21" s="90"/>
      <c r="AAD21" s="87"/>
      <c r="AAE21" s="87"/>
      <c r="AAF21" s="87">
        <f t="shared" si="86"/>
        <v>0</v>
      </c>
      <c r="AAG21" s="88">
        <v>46233</v>
      </c>
      <c r="AAH21" s="89"/>
      <c r="AAI21" s="82"/>
      <c r="AAK21" s="90"/>
      <c r="AAL21" s="87"/>
      <c r="AAM21" s="87"/>
      <c r="AAN21" s="87">
        <f t="shared" si="87"/>
        <v>0</v>
      </c>
      <c r="AAO21" s="88">
        <v>46233</v>
      </c>
      <c r="AAP21" s="89"/>
      <c r="AAQ21" s="82"/>
      <c r="AAS21" s="99"/>
      <c r="AAT21" s="87"/>
      <c r="AAU21" s="87"/>
      <c r="AAV21" s="87">
        <f t="shared" si="88"/>
        <v>0</v>
      </c>
      <c r="AAW21" s="88">
        <v>46233</v>
      </c>
      <c r="AAX21" s="89"/>
      <c r="AAY21" s="82"/>
      <c r="ABA21" s="90"/>
      <c r="ABB21" s="87"/>
      <c r="ABC21" s="87"/>
      <c r="ABD21" s="87">
        <f t="shared" si="89"/>
        <v>0</v>
      </c>
      <c r="ABE21" s="88">
        <v>46233</v>
      </c>
      <c r="ABF21" s="89"/>
      <c r="ABG21" s="82"/>
      <c r="ABI21" s="90"/>
      <c r="ABJ21" s="87"/>
      <c r="ABK21" s="87"/>
      <c r="ABL21" s="87">
        <f t="shared" si="90"/>
        <v>0</v>
      </c>
      <c r="ABM21" s="88">
        <v>46233</v>
      </c>
      <c r="ABN21" s="89"/>
      <c r="ABO21" s="82"/>
      <c r="ABQ21" s="90"/>
      <c r="ABR21" s="87"/>
      <c r="ABS21" s="87"/>
      <c r="ABT21" s="87">
        <f t="shared" si="91"/>
        <v>0</v>
      </c>
      <c r="ABU21" s="88">
        <v>46233</v>
      </c>
      <c r="ABV21" s="89"/>
      <c r="ABW21" s="82"/>
      <c r="ABY21" s="90"/>
      <c r="ABZ21" s="87"/>
      <c r="ACA21" s="87"/>
      <c r="ACB21" s="87">
        <f t="shared" si="92"/>
        <v>0</v>
      </c>
      <c r="ACC21" s="88">
        <v>46233</v>
      </c>
      <c r="ACD21" s="89"/>
      <c r="ACE21" s="82"/>
    </row>
    <row r="22" spans="1:759" ht="12" customHeight="1" thickBot="1" x14ac:dyDescent="0.3">
      <c r="A22" s="84"/>
      <c r="B22" s="350"/>
      <c r="C22" s="222"/>
      <c r="D22" s="87">
        <f t="shared" si="2"/>
        <v>1700</v>
      </c>
      <c r="E22" s="88">
        <v>46233</v>
      </c>
      <c r="F22" s="374"/>
      <c r="G22" s="382"/>
      <c r="H22" s="72"/>
      <c r="I22" s="10"/>
      <c r="J22" s="87"/>
      <c r="K22" s="87"/>
      <c r="L22" s="87">
        <f t="shared" si="0"/>
        <v>1000</v>
      </c>
      <c r="M22" s="163">
        <v>46233</v>
      </c>
      <c r="N22" s="220"/>
      <c r="O22" s="82"/>
      <c r="P22" s="72"/>
      <c r="Q22" s="84"/>
      <c r="R22" s="222"/>
      <c r="S22" s="222"/>
      <c r="T22" s="87">
        <f t="shared" si="1"/>
        <v>4000</v>
      </c>
      <c r="U22" s="88">
        <v>46233</v>
      </c>
      <c r="V22" s="220"/>
      <c r="W22" s="82"/>
      <c r="X22" s="388"/>
      <c r="Y22" s="84"/>
      <c r="Z22" s="222"/>
      <c r="AA22" s="222"/>
      <c r="AB22" s="222">
        <f t="shared" si="3"/>
        <v>1000</v>
      </c>
      <c r="AC22" s="88">
        <v>46233</v>
      </c>
      <c r="AD22" s="220"/>
      <c r="AE22" s="82"/>
      <c r="AF22" s="162"/>
      <c r="AG22" s="84"/>
      <c r="AH22" s="222"/>
      <c r="AI22" s="222"/>
      <c r="AJ22" s="87">
        <f t="shared" si="4"/>
        <v>2000</v>
      </c>
      <c r="AK22" s="88">
        <v>46233</v>
      </c>
      <c r="AL22" s="220"/>
      <c r="AM22" s="82"/>
      <c r="AN22" s="105"/>
      <c r="AO22" s="10"/>
      <c r="AP22" s="222"/>
      <c r="AQ22" s="222"/>
      <c r="AR22" s="87">
        <f t="shared" si="5"/>
        <v>1000</v>
      </c>
      <c r="AS22" s="88">
        <v>46233</v>
      </c>
      <c r="AT22" s="220"/>
      <c r="AU22" s="82"/>
      <c r="AV22" s="198"/>
      <c r="AW22" s="84"/>
      <c r="AX22" s="222"/>
      <c r="AY22" s="222"/>
      <c r="AZ22" s="87">
        <f t="shared" si="6"/>
        <v>1150</v>
      </c>
      <c r="BA22" s="88">
        <v>46233</v>
      </c>
      <c r="BB22" s="374"/>
      <c r="BC22" s="82"/>
      <c r="BD22" s="341"/>
      <c r="BE22" s="84"/>
      <c r="BF22" s="87"/>
      <c r="BG22" s="87"/>
      <c r="BH22" s="87">
        <f t="shared" si="7"/>
        <v>7000</v>
      </c>
      <c r="BI22" s="88">
        <v>46233</v>
      </c>
      <c r="BJ22" s="220"/>
      <c r="BK22" s="82"/>
      <c r="BM22" s="84"/>
      <c r="BN22" s="222"/>
      <c r="BO22" s="222"/>
      <c r="BP22" s="87">
        <f t="shared" si="8"/>
        <v>1000</v>
      </c>
      <c r="BQ22" s="88">
        <v>46233</v>
      </c>
      <c r="BR22" s="220"/>
      <c r="BS22" s="82"/>
      <c r="BT22" s="60"/>
      <c r="BU22" s="84"/>
      <c r="BV22" s="87"/>
      <c r="BW22" s="87"/>
      <c r="BX22" s="87">
        <f t="shared" si="9"/>
        <v>0</v>
      </c>
      <c r="BY22" s="88">
        <v>46233</v>
      </c>
      <c r="BZ22" s="220"/>
      <c r="CA22" s="82"/>
      <c r="CB22" s="72"/>
      <c r="CC22" s="84"/>
      <c r="CD22" s="87"/>
      <c r="CE22" s="87"/>
      <c r="CF22" s="87">
        <f t="shared" si="10"/>
        <v>0</v>
      </c>
      <c r="CG22" s="93">
        <v>46249</v>
      </c>
      <c r="CH22" s="220"/>
      <c r="CI22" s="82"/>
      <c r="CJ22" s="299"/>
      <c r="CK22" s="99"/>
      <c r="CL22" s="222"/>
      <c r="CM22" s="222"/>
      <c r="CN22" s="87">
        <f t="shared" si="11"/>
        <v>0</v>
      </c>
      <c r="CO22" s="93">
        <v>46249</v>
      </c>
      <c r="CP22" s="220"/>
      <c r="CQ22" s="82"/>
      <c r="CR22" s="72"/>
      <c r="CS22" s="10"/>
      <c r="CT22" s="87"/>
      <c r="CU22" s="87"/>
      <c r="CV22" s="87">
        <f t="shared" si="12"/>
        <v>0</v>
      </c>
      <c r="CW22" s="93">
        <v>46249</v>
      </c>
      <c r="CX22" s="220"/>
      <c r="CY22" s="82"/>
      <c r="CZ22" s="342"/>
      <c r="DA22" s="84"/>
      <c r="DB22" s="222"/>
      <c r="DC22" s="222"/>
      <c r="DD22" s="87">
        <f t="shared" si="13"/>
        <v>0</v>
      </c>
      <c r="DE22" s="93">
        <v>46249</v>
      </c>
      <c r="DF22" s="220"/>
      <c r="DG22" s="82"/>
      <c r="DI22" s="84"/>
      <c r="DJ22" s="87"/>
      <c r="DK22" s="87"/>
      <c r="DL22" s="87">
        <f t="shared" si="14"/>
        <v>0</v>
      </c>
      <c r="DM22" s="88">
        <v>46233</v>
      </c>
      <c r="DN22" s="220"/>
      <c r="DO22" s="82"/>
      <c r="DP22" s="198"/>
      <c r="DQ22" s="84"/>
      <c r="DR22" s="222"/>
      <c r="DS22" s="222"/>
      <c r="DT22" s="87">
        <f t="shared" si="15"/>
        <v>0</v>
      </c>
      <c r="DU22" s="88">
        <v>46233</v>
      </c>
      <c r="DV22" s="220"/>
      <c r="DW22" s="82"/>
      <c r="DX22" s="72"/>
      <c r="DY22" s="99"/>
      <c r="DZ22" s="222"/>
      <c r="EA22" s="222"/>
      <c r="EB22" s="87">
        <f t="shared" si="16"/>
        <v>0</v>
      </c>
      <c r="EC22" s="88">
        <v>46233</v>
      </c>
      <c r="ED22" s="220"/>
      <c r="EE22" s="82"/>
      <c r="EF22" s="72"/>
      <c r="EG22" s="90"/>
      <c r="EH22" s="87"/>
      <c r="EI22" s="87"/>
      <c r="EJ22" s="87">
        <f t="shared" si="17"/>
        <v>0</v>
      </c>
      <c r="EK22" s="88">
        <v>46233</v>
      </c>
      <c r="EL22" s="220"/>
      <c r="EM22" s="82"/>
      <c r="EO22" s="90"/>
      <c r="EP22" s="87"/>
      <c r="EQ22" s="87"/>
      <c r="ER22" s="87">
        <f t="shared" si="18"/>
        <v>0</v>
      </c>
      <c r="ES22" s="88">
        <v>46233</v>
      </c>
      <c r="ET22" s="220"/>
      <c r="EU22" s="82"/>
      <c r="EW22" s="99"/>
      <c r="EX22" s="222"/>
      <c r="EY22" s="222"/>
      <c r="EZ22" s="87">
        <f t="shared" si="19"/>
        <v>0</v>
      </c>
      <c r="FA22" s="88">
        <v>46233</v>
      </c>
      <c r="FB22" s="220"/>
      <c r="FC22" s="82"/>
      <c r="FE22" s="84"/>
      <c r="FF22" s="87"/>
      <c r="FG22" s="87"/>
      <c r="FH22" s="87">
        <f t="shared" si="93"/>
        <v>0</v>
      </c>
      <c r="FI22" s="88">
        <v>46233</v>
      </c>
      <c r="FJ22" s="220"/>
      <c r="FK22" s="82"/>
      <c r="FL22" s="398"/>
      <c r="FM22" s="84"/>
      <c r="FN22" s="87"/>
      <c r="FO22" s="87"/>
      <c r="FP22" s="87">
        <f t="shared" si="20"/>
        <v>0</v>
      </c>
      <c r="FQ22" s="88">
        <v>46233</v>
      </c>
      <c r="FR22" s="220"/>
      <c r="FS22" s="82"/>
      <c r="FT22" s="59"/>
      <c r="FU22" s="103"/>
      <c r="FV22" s="86"/>
      <c r="FW22" s="86"/>
      <c r="FX22" s="86">
        <f t="shared" si="21"/>
        <v>0</v>
      </c>
      <c r="FY22" s="166">
        <v>46233</v>
      </c>
      <c r="FZ22" s="220"/>
      <c r="GA22" s="82"/>
      <c r="GB22" s="197"/>
      <c r="GC22" s="84"/>
      <c r="GD22" s="87"/>
      <c r="GE22" s="87"/>
      <c r="GF22" s="87">
        <f t="shared" si="22"/>
        <v>0</v>
      </c>
      <c r="GG22" s="88">
        <v>46233</v>
      </c>
      <c r="GH22" s="220"/>
      <c r="GI22" s="82"/>
      <c r="GJ22"/>
      <c r="GK22" s="90"/>
      <c r="GL22" s="87"/>
      <c r="GM22" s="87"/>
      <c r="GN22" s="87">
        <f t="shared" si="23"/>
        <v>0</v>
      </c>
      <c r="GO22" s="93">
        <v>46249</v>
      </c>
      <c r="GP22" s="220"/>
      <c r="GQ22" s="82"/>
      <c r="GS22" s="84"/>
      <c r="GT22" s="222"/>
      <c r="GU22" s="222"/>
      <c r="GV22" s="87">
        <f t="shared" si="24"/>
        <v>0</v>
      </c>
      <c r="GW22" s="93">
        <v>46249</v>
      </c>
      <c r="GX22" s="89"/>
      <c r="GY22" s="82"/>
      <c r="GZ22"/>
      <c r="HA22" s="90"/>
      <c r="HB22" s="87"/>
      <c r="HC22" s="87"/>
      <c r="HD22" s="87">
        <f t="shared" si="25"/>
        <v>0</v>
      </c>
      <c r="HE22" s="93">
        <v>46249</v>
      </c>
      <c r="HF22" s="220"/>
      <c r="HG22" s="82"/>
      <c r="HI22" s="84"/>
      <c r="HJ22" s="87"/>
      <c r="HK22" s="87"/>
      <c r="HL22" s="87">
        <f t="shared" si="26"/>
        <v>0</v>
      </c>
      <c r="HM22" s="93">
        <v>46249</v>
      </c>
      <c r="HN22" s="220"/>
      <c r="HO22" s="82"/>
      <c r="HQ22" s="84"/>
      <c r="HR22" s="87"/>
      <c r="HS22" s="222"/>
      <c r="HT22" s="87">
        <f t="shared" si="27"/>
        <v>0</v>
      </c>
      <c r="HU22" s="93">
        <v>46249</v>
      </c>
      <c r="HV22" s="220"/>
      <c r="HW22" s="82"/>
      <c r="HX22" s="198"/>
      <c r="HY22" s="84"/>
      <c r="HZ22" s="87"/>
      <c r="IA22" s="87"/>
      <c r="IB22" s="87">
        <f t="shared" si="28"/>
        <v>0</v>
      </c>
      <c r="IC22" s="93">
        <v>46249</v>
      </c>
      <c r="ID22" s="89"/>
      <c r="IE22" s="82"/>
      <c r="IF22"/>
      <c r="IG22" s="90"/>
      <c r="IH22" s="87"/>
      <c r="II22" s="87"/>
      <c r="IJ22" s="87">
        <f t="shared" si="29"/>
        <v>0</v>
      </c>
      <c r="IK22" s="93">
        <v>46249</v>
      </c>
      <c r="IL22" s="91"/>
      <c r="IM22" s="82"/>
      <c r="IO22" s="84"/>
      <c r="IP22" s="87"/>
      <c r="IQ22" s="87"/>
      <c r="IR22" s="87">
        <f t="shared" si="30"/>
        <v>0</v>
      </c>
      <c r="IS22" s="93">
        <v>46249</v>
      </c>
      <c r="IT22" s="91"/>
      <c r="IU22" s="82"/>
      <c r="IW22" s="84"/>
      <c r="IX22" s="87"/>
      <c r="IY22" s="87"/>
      <c r="IZ22" s="87">
        <f t="shared" si="31"/>
        <v>0</v>
      </c>
      <c r="JA22" s="93">
        <v>46249</v>
      </c>
      <c r="JB22" s="89"/>
      <c r="JC22" s="82"/>
      <c r="JE22" s="90"/>
      <c r="JF22" s="87"/>
      <c r="JG22" s="87"/>
      <c r="JH22" s="87">
        <f t="shared" si="32"/>
        <v>0</v>
      </c>
      <c r="JI22" s="93">
        <v>46249</v>
      </c>
      <c r="JJ22" s="220"/>
      <c r="JK22" s="82"/>
      <c r="JM22" s="84"/>
      <c r="JN22" s="87"/>
      <c r="JO22" s="87"/>
      <c r="JP22" s="87">
        <f t="shared" si="33"/>
        <v>0</v>
      </c>
      <c r="JQ22" s="164">
        <v>46249</v>
      </c>
      <c r="JR22" s="89"/>
      <c r="JS22" s="82"/>
      <c r="JT22" s="102"/>
      <c r="JU22" s="90"/>
      <c r="JV22" s="87"/>
      <c r="JW22" s="87"/>
      <c r="JX22" s="87">
        <f t="shared" si="94"/>
        <v>0</v>
      </c>
      <c r="JY22" s="164">
        <v>46249</v>
      </c>
      <c r="JZ22" s="91"/>
      <c r="KA22" s="82"/>
      <c r="KC22" s="84"/>
      <c r="KD22" s="87"/>
      <c r="KE22" s="87"/>
      <c r="KF22" s="87">
        <f t="shared" si="34"/>
        <v>0</v>
      </c>
      <c r="KG22" s="164">
        <v>46249</v>
      </c>
      <c r="KH22" s="222"/>
      <c r="KI22" s="109"/>
      <c r="KK22" s="99"/>
      <c r="KL22" s="87"/>
      <c r="KM22" s="87"/>
      <c r="KN22" s="87">
        <f t="shared" si="35"/>
        <v>0</v>
      </c>
      <c r="KO22" s="164">
        <v>46249</v>
      </c>
      <c r="KP22" s="89"/>
      <c r="KQ22" s="82">
        <v>0</v>
      </c>
      <c r="KS22" s="84"/>
      <c r="KT22" s="87"/>
      <c r="KU22" s="87"/>
      <c r="KV22" s="87">
        <f t="shared" si="36"/>
        <v>0</v>
      </c>
      <c r="KW22" s="93">
        <v>46249</v>
      </c>
      <c r="KX22" s="89"/>
      <c r="KY22" s="82">
        <v>0</v>
      </c>
      <c r="LA22" s="90"/>
      <c r="LB22" s="87"/>
      <c r="LC22" s="87"/>
      <c r="LD22" s="87">
        <f t="shared" si="37"/>
        <v>0</v>
      </c>
      <c r="LE22" s="164">
        <v>46249</v>
      </c>
      <c r="LF22" s="89"/>
      <c r="LG22" s="82">
        <v>0</v>
      </c>
      <c r="LH22"/>
      <c r="LI22" s="84"/>
      <c r="LJ22" s="87"/>
      <c r="LK22" s="87"/>
      <c r="LL22" s="87">
        <f t="shared" si="38"/>
        <v>0</v>
      </c>
      <c r="LM22" s="93">
        <v>46249</v>
      </c>
      <c r="LN22" s="89"/>
      <c r="LO22" s="82">
        <v>0</v>
      </c>
      <c r="LQ22" s="84"/>
      <c r="LR22" s="87"/>
      <c r="LS22" s="87"/>
      <c r="LT22" s="87">
        <f t="shared" si="39"/>
        <v>0</v>
      </c>
      <c r="LU22" s="93">
        <v>46249</v>
      </c>
      <c r="LV22" s="89"/>
      <c r="LW22" s="82">
        <v>0</v>
      </c>
      <c r="LY22" s="84"/>
      <c r="LZ22" s="87"/>
      <c r="MA22" s="87"/>
      <c r="MB22" s="87">
        <f t="shared" si="40"/>
        <v>0</v>
      </c>
      <c r="MC22" s="93">
        <v>46249</v>
      </c>
      <c r="MD22" s="89"/>
      <c r="ME22" s="82"/>
      <c r="MG22" s="90"/>
      <c r="MH22" s="87"/>
      <c r="MI22" s="87"/>
      <c r="MJ22" s="87">
        <f t="shared" si="41"/>
        <v>0</v>
      </c>
      <c r="MK22" s="93">
        <v>46249</v>
      </c>
      <c r="ML22" s="89"/>
      <c r="MM22" s="82"/>
      <c r="MN22" s="102"/>
      <c r="MO22" s="111"/>
      <c r="MP22" s="86"/>
      <c r="MQ22" s="86"/>
      <c r="MR22" s="86">
        <f t="shared" si="42"/>
        <v>0</v>
      </c>
      <c r="MS22" s="106">
        <v>46249</v>
      </c>
      <c r="MT22" s="91"/>
      <c r="MU22" s="82"/>
      <c r="MW22" s="112"/>
      <c r="MX22" s="87"/>
      <c r="MY22" s="87"/>
      <c r="MZ22" s="87">
        <f t="shared" si="43"/>
        <v>0</v>
      </c>
      <c r="NA22" s="93">
        <v>46249</v>
      </c>
      <c r="NB22" s="89"/>
      <c r="NC22" s="82"/>
      <c r="NE22" s="84"/>
      <c r="NF22" s="87"/>
      <c r="NG22" s="87"/>
      <c r="NH22" s="87">
        <f t="shared" si="44"/>
        <v>0</v>
      </c>
      <c r="NI22" s="93">
        <v>46249</v>
      </c>
      <c r="NJ22" s="89"/>
      <c r="NK22" s="82"/>
      <c r="NM22" s="90"/>
      <c r="NN22" s="87"/>
      <c r="NO22" s="87"/>
      <c r="NP22" s="87">
        <f t="shared" si="45"/>
        <v>0</v>
      </c>
      <c r="NQ22" s="93">
        <v>46249</v>
      </c>
      <c r="NR22" s="91"/>
      <c r="NS22" s="82"/>
      <c r="NU22" s="84"/>
      <c r="NV22" s="87"/>
      <c r="NW22" s="87"/>
      <c r="NX22" s="87">
        <f t="shared" si="46"/>
        <v>0</v>
      </c>
      <c r="NY22" s="93">
        <v>46249</v>
      </c>
      <c r="NZ22" s="89"/>
      <c r="OA22" s="82"/>
      <c r="OC22" s="84"/>
      <c r="OD22" s="87"/>
      <c r="OE22" s="87"/>
      <c r="OF22" s="87">
        <f t="shared" si="47"/>
        <v>0</v>
      </c>
      <c r="OG22" s="93">
        <v>46249</v>
      </c>
      <c r="OH22" s="89"/>
      <c r="OI22" s="82"/>
      <c r="OK22" s="84"/>
      <c r="OL22" s="87"/>
      <c r="OM22" s="87"/>
      <c r="ON22" s="87">
        <f t="shared" si="48"/>
        <v>0</v>
      </c>
      <c r="OO22" s="93">
        <v>46249</v>
      </c>
      <c r="OP22" s="91"/>
      <c r="OQ22" s="82"/>
      <c r="OS22" s="90"/>
      <c r="OT22" s="87"/>
      <c r="OU22" s="87"/>
      <c r="OV22" s="87">
        <f t="shared" si="49"/>
        <v>0</v>
      </c>
      <c r="OW22" s="93">
        <v>46249</v>
      </c>
      <c r="OX22" s="89"/>
      <c r="OY22" s="82"/>
      <c r="PA22" s="84"/>
      <c r="PB22" s="87"/>
      <c r="PC22" s="87"/>
      <c r="PD22" s="87">
        <f t="shared" si="50"/>
        <v>0</v>
      </c>
      <c r="PE22" s="93">
        <v>46249</v>
      </c>
      <c r="PF22" s="89"/>
      <c r="PG22" s="82"/>
      <c r="PH22"/>
      <c r="PI22" s="84"/>
      <c r="PJ22" s="87"/>
      <c r="PK22" s="87"/>
      <c r="PL22" s="87">
        <f t="shared" si="51"/>
        <v>0</v>
      </c>
      <c r="PM22" s="93">
        <v>46249</v>
      </c>
      <c r="PN22" s="211"/>
      <c r="PO22" s="216"/>
      <c r="PQ22" s="84"/>
      <c r="PR22" s="87"/>
      <c r="PS22" s="87"/>
      <c r="PT22" s="87">
        <f t="shared" si="52"/>
        <v>0</v>
      </c>
      <c r="PU22" s="93">
        <v>46249</v>
      </c>
      <c r="PV22" s="86"/>
      <c r="PW22" s="109"/>
      <c r="PY22" s="84"/>
      <c r="PZ22" s="87"/>
      <c r="QA22" s="87"/>
      <c r="QB22" s="87">
        <f t="shared" si="53"/>
        <v>0</v>
      </c>
      <c r="QC22" s="93">
        <v>46249</v>
      </c>
      <c r="QD22" s="91"/>
      <c r="QE22" s="82"/>
      <c r="QG22" s="84"/>
      <c r="QH22" s="87"/>
      <c r="QI22" s="87"/>
      <c r="QJ22" s="87">
        <f t="shared" si="54"/>
        <v>0</v>
      </c>
      <c r="QK22" s="93">
        <v>46249</v>
      </c>
      <c r="QL22" s="89"/>
      <c r="QM22" s="82"/>
      <c r="QO22" s="84"/>
      <c r="QP22" s="87"/>
      <c r="QQ22" s="87"/>
      <c r="QR22" s="87">
        <f t="shared" si="55"/>
        <v>0</v>
      </c>
      <c r="QS22" s="93">
        <v>46249</v>
      </c>
      <c r="QT22" s="212"/>
      <c r="QU22" s="216"/>
      <c r="QW22" s="84"/>
      <c r="QX22" s="87"/>
      <c r="QY22" s="87"/>
      <c r="QZ22" s="87">
        <f t="shared" si="56"/>
        <v>0</v>
      </c>
      <c r="RA22" s="93">
        <v>46249</v>
      </c>
      <c r="RB22" s="89"/>
      <c r="RC22" s="82"/>
      <c r="RE22" s="84"/>
      <c r="RF22" s="87"/>
      <c r="RG22" s="87"/>
      <c r="RH22" s="87">
        <f t="shared" si="57"/>
        <v>0</v>
      </c>
      <c r="RI22" s="93">
        <v>46249</v>
      </c>
      <c r="RJ22" s="89"/>
      <c r="RK22" s="170"/>
      <c r="RM22" s="84"/>
      <c r="RN22" s="87"/>
      <c r="RO22" s="87"/>
      <c r="RP22" s="87">
        <f t="shared" si="58"/>
        <v>0</v>
      </c>
      <c r="RQ22" s="93">
        <v>46249</v>
      </c>
      <c r="RR22" s="89"/>
      <c r="RS22" s="192"/>
      <c r="RT22"/>
      <c r="RU22" s="84"/>
      <c r="RV22" s="87"/>
      <c r="RW22" s="87"/>
      <c r="RX22" s="87">
        <f t="shared" si="59"/>
        <v>0</v>
      </c>
      <c r="RY22" s="93">
        <v>46249</v>
      </c>
      <c r="RZ22" s="89"/>
      <c r="SA22" s="82"/>
      <c r="SC22" s="84"/>
      <c r="SD22" s="87"/>
      <c r="SE22" s="87"/>
      <c r="SF22" s="87">
        <f t="shared" si="60"/>
        <v>0</v>
      </c>
      <c r="SG22" s="93">
        <v>46249</v>
      </c>
      <c r="SH22" s="89"/>
      <c r="SI22" s="82"/>
      <c r="SK22" s="84"/>
      <c r="SL22" s="87"/>
      <c r="SM22" s="87"/>
      <c r="SN22" s="87">
        <f t="shared" si="61"/>
        <v>0</v>
      </c>
      <c r="SO22" s="93">
        <v>46249</v>
      </c>
      <c r="SP22" s="89"/>
      <c r="SQ22" s="82"/>
      <c r="SS22" s="84"/>
      <c r="ST22" s="87"/>
      <c r="SU22" s="87"/>
      <c r="SV22" s="87">
        <f t="shared" si="62"/>
        <v>0</v>
      </c>
      <c r="SW22" s="93">
        <v>46249</v>
      </c>
      <c r="SX22" s="89"/>
      <c r="SY22" s="82"/>
      <c r="TA22" s="84"/>
      <c r="TB22" s="87"/>
      <c r="TC22" s="87"/>
      <c r="TD22" s="87">
        <f t="shared" si="63"/>
        <v>0</v>
      </c>
      <c r="TE22" s="93">
        <v>46249</v>
      </c>
      <c r="TF22" s="91"/>
      <c r="TG22" s="82"/>
      <c r="TI22" s="84"/>
      <c r="TJ22" s="87"/>
      <c r="TK22" s="87"/>
      <c r="TL22" s="87">
        <f t="shared" si="64"/>
        <v>0</v>
      </c>
      <c r="TM22" s="93">
        <v>46249</v>
      </c>
      <c r="TN22" s="89"/>
      <c r="TO22" s="82"/>
      <c r="TQ22" s="84"/>
      <c r="TR22" s="87"/>
      <c r="TS22" s="87"/>
      <c r="TT22" s="87">
        <f t="shared" si="65"/>
        <v>0</v>
      </c>
      <c r="TU22" s="93">
        <v>46249</v>
      </c>
      <c r="TV22" s="91"/>
      <c r="TW22" s="82"/>
      <c r="TY22" s="84"/>
      <c r="TZ22" s="87"/>
      <c r="UA22" s="87"/>
      <c r="UB22" s="87">
        <f t="shared" si="66"/>
        <v>0</v>
      </c>
      <c r="UC22" s="93">
        <v>46249</v>
      </c>
      <c r="UD22" s="89"/>
      <c r="UE22" s="82"/>
      <c r="UG22" s="84"/>
      <c r="UH22" s="87"/>
      <c r="UI22" s="87"/>
      <c r="UJ22" s="87">
        <f t="shared" si="67"/>
        <v>0</v>
      </c>
      <c r="UK22" s="93">
        <v>46249</v>
      </c>
      <c r="UL22" s="89"/>
      <c r="UM22" s="82"/>
      <c r="UO22" s="84"/>
      <c r="UP22" s="87"/>
      <c r="UQ22" s="87"/>
      <c r="UR22" s="87">
        <f t="shared" si="68"/>
        <v>0</v>
      </c>
      <c r="US22" s="93">
        <v>46249</v>
      </c>
      <c r="UT22" s="89"/>
      <c r="UU22" s="82"/>
      <c r="UW22" s="84"/>
      <c r="UX22" s="87"/>
      <c r="UY22" s="87"/>
      <c r="UZ22" s="87">
        <f t="shared" si="69"/>
        <v>0</v>
      </c>
      <c r="VA22" s="93">
        <v>46249</v>
      </c>
      <c r="VB22" s="188"/>
      <c r="VC22" s="82"/>
      <c r="VE22" s="84"/>
      <c r="VF22" s="87"/>
      <c r="VG22" s="87"/>
      <c r="VH22" s="87">
        <f t="shared" si="70"/>
        <v>0</v>
      </c>
      <c r="VI22" s="93">
        <v>46249</v>
      </c>
      <c r="VJ22" s="89"/>
      <c r="VK22" s="82"/>
      <c r="VL22" s="102"/>
      <c r="VM22" s="84"/>
      <c r="VN22" s="87"/>
      <c r="VO22" s="87"/>
      <c r="VP22" s="87">
        <f t="shared" si="71"/>
        <v>0</v>
      </c>
      <c r="VQ22" s="93">
        <v>46249</v>
      </c>
      <c r="VR22" s="89"/>
      <c r="VS22" s="82"/>
      <c r="VU22" s="84"/>
      <c r="VV22" s="87"/>
      <c r="VW22" s="87"/>
      <c r="VX22" s="87">
        <f t="shared" si="72"/>
        <v>0</v>
      </c>
      <c r="VY22" s="93">
        <v>46249</v>
      </c>
      <c r="VZ22" s="89"/>
      <c r="WA22" s="82"/>
      <c r="WC22" s="84"/>
      <c r="WD22" s="87"/>
      <c r="WE22" s="87"/>
      <c r="WF22" s="87">
        <f t="shared" si="73"/>
        <v>0</v>
      </c>
      <c r="WG22" s="93">
        <v>46249</v>
      </c>
      <c r="WH22" s="89"/>
      <c r="WI22" s="82"/>
      <c r="WJ22"/>
      <c r="WK22" s="84"/>
      <c r="WL22" s="87"/>
      <c r="WM22" s="87"/>
      <c r="WN22" s="87">
        <f t="shared" si="74"/>
        <v>0</v>
      </c>
      <c r="WO22" s="93">
        <v>46249</v>
      </c>
      <c r="WP22" s="91"/>
      <c r="WQ22" s="82"/>
      <c r="WS22" s="84"/>
      <c r="WT22" s="87"/>
      <c r="WU22" s="87"/>
      <c r="WV22" s="87">
        <f t="shared" si="75"/>
        <v>0</v>
      </c>
      <c r="WW22" s="93">
        <v>46249</v>
      </c>
      <c r="WX22" s="91"/>
      <c r="WY22" s="82"/>
      <c r="XA22" s="84"/>
      <c r="XB22" s="87"/>
      <c r="XC22" s="87"/>
      <c r="XD22" s="87">
        <f t="shared" si="76"/>
        <v>0</v>
      </c>
      <c r="XE22" s="93">
        <v>46249</v>
      </c>
      <c r="XF22" s="91"/>
      <c r="XG22" s="82"/>
      <c r="XI22" s="84"/>
      <c r="XJ22" s="87"/>
      <c r="XK22" s="87"/>
      <c r="XL22" s="87">
        <f t="shared" si="77"/>
        <v>0</v>
      </c>
      <c r="XM22" s="93">
        <v>46249</v>
      </c>
      <c r="XN22" s="91"/>
      <c r="XO22" s="82"/>
      <c r="XQ22" s="84"/>
      <c r="XR22" s="87"/>
      <c r="XS22" s="87"/>
      <c r="XT22" s="87">
        <f t="shared" si="78"/>
        <v>0</v>
      </c>
      <c r="XU22" s="93">
        <v>46249</v>
      </c>
      <c r="XV22" s="91"/>
      <c r="XW22" s="82"/>
      <c r="XY22" s="84"/>
      <c r="XZ22" s="87"/>
      <c r="YA22" s="87"/>
      <c r="YB22" s="87">
        <f t="shared" si="79"/>
        <v>0</v>
      </c>
      <c r="YC22" s="93">
        <v>46249</v>
      </c>
      <c r="YD22" s="89"/>
      <c r="YE22" s="82"/>
      <c r="YG22" s="84"/>
      <c r="YH22" s="87"/>
      <c r="YI22" s="87"/>
      <c r="YJ22" s="87">
        <f t="shared" si="80"/>
        <v>0</v>
      </c>
      <c r="YK22" s="93">
        <v>46249</v>
      </c>
      <c r="YL22" s="89"/>
      <c r="YM22" s="82"/>
      <c r="YO22" s="84"/>
      <c r="YP22" s="87"/>
      <c r="YQ22" s="87"/>
      <c r="YR22" s="87">
        <f t="shared" si="81"/>
        <v>0</v>
      </c>
      <c r="YS22" s="93">
        <v>46249</v>
      </c>
      <c r="YT22" s="89"/>
      <c r="YU22" s="82"/>
      <c r="YW22" s="84"/>
      <c r="YX22" s="87"/>
      <c r="YY22" s="87"/>
      <c r="YZ22" s="87">
        <f t="shared" si="82"/>
        <v>0</v>
      </c>
      <c r="ZA22" s="93">
        <v>46249</v>
      </c>
      <c r="ZB22" s="89"/>
      <c r="ZC22" s="82"/>
      <c r="ZE22" s="84"/>
      <c r="ZF22" s="87"/>
      <c r="ZG22" s="87"/>
      <c r="ZH22" s="87">
        <f t="shared" si="83"/>
        <v>0</v>
      </c>
      <c r="ZI22" s="93">
        <v>46249</v>
      </c>
      <c r="ZJ22" s="89"/>
      <c r="ZK22" s="82"/>
      <c r="ZM22" s="84"/>
      <c r="ZN22" s="87"/>
      <c r="ZO22" s="87"/>
      <c r="ZP22" s="87">
        <f t="shared" si="84"/>
        <v>0</v>
      </c>
      <c r="ZQ22" s="93">
        <v>46249</v>
      </c>
      <c r="ZR22" s="89"/>
      <c r="ZS22" s="82"/>
      <c r="ZU22" s="84"/>
      <c r="ZV22" s="87"/>
      <c r="ZW22" s="87"/>
      <c r="ZX22" s="87">
        <f t="shared" si="85"/>
        <v>0</v>
      </c>
      <c r="ZY22" s="93">
        <v>46249</v>
      </c>
      <c r="ZZ22" s="89"/>
      <c r="AAA22" s="82"/>
      <c r="AAC22" s="84"/>
      <c r="AAD22" s="87"/>
      <c r="AAE22" s="87"/>
      <c r="AAF22" s="87">
        <f t="shared" si="86"/>
        <v>0</v>
      </c>
      <c r="AAG22" s="93">
        <v>46249</v>
      </c>
      <c r="AAH22" s="89"/>
      <c r="AAI22" s="82"/>
      <c r="AAK22" s="84"/>
      <c r="AAL22" s="87"/>
      <c r="AAM22" s="87"/>
      <c r="AAN22" s="87">
        <f t="shared" si="87"/>
        <v>0</v>
      </c>
      <c r="AAO22" s="93">
        <v>46249</v>
      </c>
      <c r="AAP22" s="89"/>
      <c r="AAQ22" s="82"/>
      <c r="AAS22" s="84"/>
      <c r="AAT22" s="87"/>
      <c r="AAU22" s="87"/>
      <c r="AAV22" s="87">
        <f t="shared" si="88"/>
        <v>0</v>
      </c>
      <c r="AAW22" s="93">
        <v>46249</v>
      </c>
      <c r="AAX22" s="89"/>
      <c r="AAY22" s="82"/>
      <c r="ABA22" s="84"/>
      <c r="ABB22" s="87"/>
      <c r="ABC22" s="87"/>
      <c r="ABD22" s="87">
        <f t="shared" si="89"/>
        <v>0</v>
      </c>
      <c r="ABE22" s="93">
        <v>46249</v>
      </c>
      <c r="ABF22" s="89"/>
      <c r="ABG22" s="82"/>
      <c r="ABI22" s="84"/>
      <c r="ABJ22" s="87"/>
      <c r="ABK22" s="87"/>
      <c r="ABL22" s="87">
        <f t="shared" si="90"/>
        <v>0</v>
      </c>
      <c r="ABM22" s="93">
        <v>46249</v>
      </c>
      <c r="ABN22" s="89"/>
      <c r="ABO22" s="82"/>
      <c r="ABQ22" s="84"/>
      <c r="ABR22" s="87"/>
      <c r="ABS22" s="87"/>
      <c r="ABT22" s="87">
        <f t="shared" si="91"/>
        <v>0</v>
      </c>
      <c r="ABU22" s="93">
        <v>46249</v>
      </c>
      <c r="ABV22" s="89"/>
      <c r="ABW22" s="82"/>
      <c r="ABY22" s="84"/>
      <c r="ABZ22" s="87"/>
      <c r="ACA22" s="87"/>
      <c r="ACB22" s="87">
        <f t="shared" si="92"/>
        <v>0</v>
      </c>
      <c r="ACC22" s="93">
        <v>46249</v>
      </c>
      <c r="ACD22" s="89"/>
      <c r="ACE22" s="82"/>
    </row>
    <row r="23" spans="1:759" ht="12" customHeight="1" thickBot="1" x14ac:dyDescent="0.3">
      <c r="A23" s="84"/>
      <c r="B23" s="350"/>
      <c r="C23" s="222"/>
      <c r="D23" s="87">
        <f t="shared" si="2"/>
        <v>1700</v>
      </c>
      <c r="E23" s="93">
        <v>46249</v>
      </c>
      <c r="F23" s="374"/>
      <c r="G23" s="382"/>
      <c r="H23" s="59"/>
      <c r="I23" s="84"/>
      <c r="J23" s="87"/>
      <c r="K23" s="87"/>
      <c r="L23" s="87">
        <f t="shared" si="0"/>
        <v>1000</v>
      </c>
      <c r="M23" s="164">
        <v>46249</v>
      </c>
      <c r="N23" s="220"/>
      <c r="O23" s="82"/>
      <c r="P23" s="72"/>
      <c r="Q23" s="84"/>
      <c r="R23" s="222"/>
      <c r="S23" s="222"/>
      <c r="T23" s="87">
        <f t="shared" si="1"/>
        <v>4000</v>
      </c>
      <c r="U23" s="93">
        <v>46249</v>
      </c>
      <c r="V23" s="220"/>
      <c r="W23" s="82"/>
      <c r="X23" s="280"/>
      <c r="Y23" s="84"/>
      <c r="Z23" s="222"/>
      <c r="AA23" s="222"/>
      <c r="AB23" s="222">
        <f t="shared" si="3"/>
        <v>1000</v>
      </c>
      <c r="AC23" s="93">
        <v>46249</v>
      </c>
      <c r="AD23" s="220"/>
      <c r="AE23" s="82"/>
      <c r="AF23" s="162"/>
      <c r="AG23" s="84"/>
      <c r="AH23" s="222"/>
      <c r="AI23" s="222"/>
      <c r="AJ23" s="87">
        <f t="shared" si="4"/>
        <v>2000</v>
      </c>
      <c r="AK23" s="93">
        <v>46249</v>
      </c>
      <c r="AL23" s="220"/>
      <c r="AM23" s="82"/>
      <c r="AN23" s="105"/>
      <c r="AO23" s="84"/>
      <c r="AP23" s="222"/>
      <c r="AQ23" s="222"/>
      <c r="AR23" s="87">
        <f t="shared" si="5"/>
        <v>1000</v>
      </c>
      <c r="AS23" s="93">
        <v>46249</v>
      </c>
      <c r="AT23" s="220"/>
      <c r="AU23" s="82"/>
      <c r="AV23" s="198"/>
      <c r="AW23" s="84"/>
      <c r="AX23" s="222"/>
      <c r="AY23" s="222"/>
      <c r="AZ23" s="87">
        <f t="shared" si="6"/>
        <v>1150</v>
      </c>
      <c r="BA23" s="93">
        <v>46249</v>
      </c>
      <c r="BB23" s="374"/>
      <c r="BC23" s="73"/>
      <c r="BD23" s="341"/>
      <c r="BE23" s="84"/>
      <c r="BF23" s="87"/>
      <c r="BG23" s="87"/>
      <c r="BH23" s="87">
        <f t="shared" si="7"/>
        <v>7000</v>
      </c>
      <c r="BI23" s="93">
        <v>46249</v>
      </c>
      <c r="BJ23" s="220"/>
      <c r="BK23" s="82"/>
      <c r="BM23" s="84"/>
      <c r="BN23" s="222"/>
      <c r="BO23" s="222"/>
      <c r="BP23" s="87">
        <f t="shared" si="8"/>
        <v>1000</v>
      </c>
      <c r="BQ23" s="93">
        <v>46249</v>
      </c>
      <c r="BR23" s="220"/>
      <c r="BS23" s="82"/>
      <c r="BT23" s="346"/>
      <c r="BU23" s="84"/>
      <c r="BV23" s="87"/>
      <c r="BW23" s="87"/>
      <c r="BX23" s="87">
        <f t="shared" si="9"/>
        <v>0</v>
      </c>
      <c r="BY23" s="93">
        <v>46249</v>
      </c>
      <c r="BZ23" s="220"/>
      <c r="CA23" s="82"/>
      <c r="CB23" s="72"/>
      <c r="CC23" s="84"/>
      <c r="CD23" s="87"/>
      <c r="CE23" s="87"/>
      <c r="CF23" s="87">
        <f t="shared" si="10"/>
        <v>0</v>
      </c>
      <c r="CG23" s="96">
        <v>46264</v>
      </c>
      <c r="CH23" s="220"/>
      <c r="CI23" s="82"/>
      <c r="CJ23" s="124"/>
      <c r="CK23" s="84"/>
      <c r="CL23" s="222"/>
      <c r="CM23" s="222"/>
      <c r="CN23" s="87">
        <f t="shared" si="11"/>
        <v>0</v>
      </c>
      <c r="CO23" s="96">
        <v>46264</v>
      </c>
      <c r="CP23" s="220"/>
      <c r="CQ23" s="82"/>
      <c r="CR23" s="72"/>
      <c r="CS23" s="84"/>
      <c r="CT23" s="87"/>
      <c r="CU23" s="87"/>
      <c r="CV23" s="87">
        <f t="shared" si="12"/>
        <v>0</v>
      </c>
      <c r="CW23" s="96">
        <v>46264</v>
      </c>
      <c r="CX23" s="220"/>
      <c r="CY23" s="82"/>
      <c r="CZ23" s="342"/>
      <c r="DA23" s="84"/>
      <c r="DB23" s="87"/>
      <c r="DC23" s="222"/>
      <c r="DD23" s="87">
        <f t="shared" si="13"/>
        <v>0</v>
      </c>
      <c r="DE23" s="96">
        <v>46264</v>
      </c>
      <c r="DF23" s="220"/>
      <c r="DG23" s="82"/>
      <c r="DH23" s="198"/>
      <c r="DI23" s="84"/>
      <c r="DJ23" s="87"/>
      <c r="DK23" s="87"/>
      <c r="DL23" s="87">
        <f t="shared" si="14"/>
        <v>0</v>
      </c>
      <c r="DM23" s="93">
        <v>46249</v>
      </c>
      <c r="DN23" s="220"/>
      <c r="DO23" s="82"/>
      <c r="DQ23" s="84"/>
      <c r="DR23" s="222"/>
      <c r="DS23" s="222"/>
      <c r="DT23" s="87">
        <f t="shared" si="15"/>
        <v>0</v>
      </c>
      <c r="DU23" s="93">
        <v>46249</v>
      </c>
      <c r="DV23" s="220"/>
      <c r="DW23" s="82"/>
      <c r="DX23" s="72"/>
      <c r="DY23" s="99"/>
      <c r="DZ23" s="222"/>
      <c r="EA23" s="222"/>
      <c r="EB23" s="87">
        <f t="shared" si="16"/>
        <v>0</v>
      </c>
      <c r="EC23" s="93">
        <v>46249</v>
      </c>
      <c r="ED23" s="220"/>
      <c r="EE23" s="82"/>
      <c r="EF23" s="72"/>
      <c r="EG23" s="90"/>
      <c r="EH23" s="87"/>
      <c r="EI23" s="87"/>
      <c r="EJ23" s="87">
        <f t="shared" si="17"/>
        <v>0</v>
      </c>
      <c r="EK23" s="93">
        <v>46249</v>
      </c>
      <c r="EL23" s="220"/>
      <c r="EM23" s="82"/>
      <c r="EO23" s="90"/>
      <c r="EP23" s="87"/>
      <c r="EQ23" s="87"/>
      <c r="ER23" s="87">
        <f t="shared" si="18"/>
        <v>0</v>
      </c>
      <c r="ES23" s="93">
        <v>46249</v>
      </c>
      <c r="ET23" s="220"/>
      <c r="EU23" s="82"/>
      <c r="EW23" s="84"/>
      <c r="EX23" s="222"/>
      <c r="EY23" s="222"/>
      <c r="EZ23" s="87">
        <f t="shared" si="19"/>
        <v>0</v>
      </c>
      <c r="FA23" s="93">
        <v>46249</v>
      </c>
      <c r="FB23" s="220"/>
      <c r="FC23" s="82"/>
      <c r="FE23" s="84"/>
      <c r="FF23" s="87"/>
      <c r="FG23" s="87"/>
      <c r="FH23" s="87">
        <f t="shared" si="93"/>
        <v>0</v>
      </c>
      <c r="FI23" s="93">
        <v>46249</v>
      </c>
      <c r="FJ23" s="220"/>
      <c r="FK23" s="82"/>
      <c r="FM23" s="84"/>
      <c r="FN23" s="87"/>
      <c r="FO23" s="87"/>
      <c r="FP23" s="87">
        <f t="shared" si="20"/>
        <v>0</v>
      </c>
      <c r="FQ23" s="93">
        <v>46249</v>
      </c>
      <c r="FR23" s="220"/>
      <c r="FS23" s="82"/>
      <c r="FT23" s="59"/>
      <c r="FU23" s="103"/>
      <c r="FV23" s="86"/>
      <c r="FW23" s="86"/>
      <c r="FX23" s="86">
        <f t="shared" si="21"/>
        <v>0</v>
      </c>
      <c r="FY23" s="167">
        <v>46249</v>
      </c>
      <c r="FZ23" s="220"/>
      <c r="GA23" s="82"/>
      <c r="GB23" s="267"/>
      <c r="GC23" s="84"/>
      <c r="GD23" s="87"/>
      <c r="GE23" s="87"/>
      <c r="GF23" s="87">
        <f t="shared" si="22"/>
        <v>0</v>
      </c>
      <c r="GG23" s="93">
        <v>46249</v>
      </c>
      <c r="GH23" s="220"/>
      <c r="GI23" s="82"/>
      <c r="GJ23"/>
      <c r="GK23" s="90"/>
      <c r="GL23" s="87"/>
      <c r="GM23" s="87"/>
      <c r="GN23" s="87">
        <f t="shared" si="23"/>
        <v>0</v>
      </c>
      <c r="GO23" s="96">
        <v>46264</v>
      </c>
      <c r="GP23" s="91"/>
      <c r="GQ23" s="82"/>
      <c r="GS23" s="84"/>
      <c r="GT23" s="222"/>
      <c r="GU23" s="222"/>
      <c r="GV23" s="87">
        <f t="shared" si="24"/>
        <v>0</v>
      </c>
      <c r="GW23" s="96">
        <v>46264</v>
      </c>
      <c r="GX23" s="89"/>
      <c r="GY23" s="82"/>
      <c r="GZ23"/>
      <c r="HA23" s="90"/>
      <c r="HB23" s="87"/>
      <c r="HC23" s="87"/>
      <c r="HD23" s="87">
        <f t="shared" si="25"/>
        <v>0</v>
      </c>
      <c r="HE23" s="96">
        <v>46264</v>
      </c>
      <c r="HF23" s="220"/>
      <c r="HG23" s="82"/>
      <c r="HI23" s="84"/>
      <c r="HJ23" s="87"/>
      <c r="HK23" s="87"/>
      <c r="HL23" s="87">
        <f t="shared" si="26"/>
        <v>0</v>
      </c>
      <c r="HM23" s="96">
        <v>46264</v>
      </c>
      <c r="HN23" s="220"/>
      <c r="HO23" s="82"/>
      <c r="HQ23" s="84"/>
      <c r="HR23" s="87"/>
      <c r="HS23" s="222"/>
      <c r="HT23" s="87">
        <f t="shared" si="27"/>
        <v>0</v>
      </c>
      <c r="HU23" s="96">
        <v>46264</v>
      </c>
      <c r="HV23" s="220"/>
      <c r="HW23" s="82"/>
      <c r="HY23" s="84"/>
      <c r="HZ23" s="87"/>
      <c r="IA23" s="87"/>
      <c r="IB23" s="87">
        <f t="shared" si="28"/>
        <v>0</v>
      </c>
      <c r="IC23" s="96">
        <v>46264</v>
      </c>
      <c r="ID23" s="89"/>
      <c r="IE23" s="82"/>
      <c r="IF23"/>
      <c r="IG23" s="90"/>
      <c r="IH23" s="87"/>
      <c r="II23" s="87"/>
      <c r="IJ23" s="87">
        <f t="shared" si="29"/>
        <v>0</v>
      </c>
      <c r="IK23" s="96">
        <v>46264</v>
      </c>
      <c r="IL23" s="91"/>
      <c r="IM23" s="82"/>
      <c r="IO23" s="84"/>
      <c r="IP23" s="87"/>
      <c r="IQ23" s="87"/>
      <c r="IR23" s="87">
        <f t="shared" si="30"/>
        <v>0</v>
      </c>
      <c r="IS23" s="96">
        <v>46264</v>
      </c>
      <c r="IT23" s="91"/>
      <c r="IU23" s="82"/>
      <c r="IW23" s="84"/>
      <c r="IX23" s="87"/>
      <c r="IY23" s="87"/>
      <c r="IZ23" s="87">
        <f t="shared" si="31"/>
        <v>0</v>
      </c>
      <c r="JA23" s="96">
        <v>46264</v>
      </c>
      <c r="JB23" s="89"/>
      <c r="JC23" s="82"/>
      <c r="JE23" s="90"/>
      <c r="JF23" s="87"/>
      <c r="JG23" s="87"/>
      <c r="JH23" s="87">
        <f t="shared" si="32"/>
        <v>0</v>
      </c>
      <c r="JI23" s="96">
        <v>46264</v>
      </c>
      <c r="JJ23" s="220"/>
      <c r="JK23" s="82"/>
      <c r="JM23" s="84"/>
      <c r="JN23" s="87"/>
      <c r="JO23" s="87"/>
      <c r="JP23" s="87">
        <f t="shared" si="33"/>
        <v>0</v>
      </c>
      <c r="JQ23" s="164">
        <v>46264</v>
      </c>
      <c r="JR23" s="89"/>
      <c r="JS23" s="82"/>
      <c r="JU23" s="90"/>
      <c r="JV23" s="87"/>
      <c r="JW23" s="87"/>
      <c r="JX23" s="87">
        <f t="shared" si="94"/>
        <v>0</v>
      </c>
      <c r="JY23" s="164">
        <v>46264</v>
      </c>
      <c r="JZ23" s="91"/>
      <c r="KA23" s="82"/>
      <c r="KC23" s="99"/>
      <c r="KD23" s="87"/>
      <c r="KE23" s="87"/>
      <c r="KF23" s="87">
        <f t="shared" si="34"/>
        <v>0</v>
      </c>
      <c r="KG23" s="164">
        <v>46264</v>
      </c>
      <c r="KH23" s="222"/>
      <c r="KI23" s="109"/>
      <c r="KK23" s="99"/>
      <c r="KL23" s="87"/>
      <c r="KM23" s="87"/>
      <c r="KN23" s="87">
        <f t="shared" si="35"/>
        <v>0</v>
      </c>
      <c r="KO23" s="164">
        <v>46264</v>
      </c>
      <c r="KP23" s="89"/>
      <c r="KQ23" s="82"/>
      <c r="KS23" s="84"/>
      <c r="KT23" s="87"/>
      <c r="KU23" s="87"/>
      <c r="KV23" s="87">
        <f t="shared" si="36"/>
        <v>0</v>
      </c>
      <c r="KW23" s="96">
        <v>46264</v>
      </c>
      <c r="KX23" s="89"/>
      <c r="KY23" s="82"/>
      <c r="LA23" s="90"/>
      <c r="LB23" s="87"/>
      <c r="LC23" s="87"/>
      <c r="LD23" s="87">
        <f t="shared" si="37"/>
        <v>0</v>
      </c>
      <c r="LE23" s="164">
        <v>46264</v>
      </c>
      <c r="LF23" s="89"/>
      <c r="LG23" s="82"/>
      <c r="LH23"/>
      <c r="LI23" s="84"/>
      <c r="LJ23" s="87"/>
      <c r="LK23" s="87"/>
      <c r="LL23" s="87">
        <f t="shared" si="38"/>
        <v>0</v>
      </c>
      <c r="LM23" s="96">
        <v>46264</v>
      </c>
      <c r="LN23" s="89"/>
      <c r="LO23" s="82"/>
      <c r="LQ23" s="84"/>
      <c r="LR23" s="87"/>
      <c r="LS23" s="87"/>
      <c r="LT23" s="87">
        <f t="shared" si="39"/>
        <v>0</v>
      </c>
      <c r="LU23" s="96">
        <v>46264</v>
      </c>
      <c r="LV23" s="89"/>
      <c r="LW23" s="82"/>
      <c r="LY23" s="84"/>
      <c r="LZ23" s="87"/>
      <c r="MA23" s="87"/>
      <c r="MB23" s="87">
        <f t="shared" si="40"/>
        <v>0</v>
      </c>
      <c r="MC23" s="96">
        <v>46264</v>
      </c>
      <c r="MD23" s="89"/>
      <c r="ME23" s="82"/>
      <c r="MG23" s="90"/>
      <c r="MH23" s="87"/>
      <c r="MI23" s="87"/>
      <c r="MJ23" s="87">
        <f t="shared" si="41"/>
        <v>0</v>
      </c>
      <c r="MK23" s="96">
        <v>46264</v>
      </c>
      <c r="ML23" s="89"/>
      <c r="MM23" s="82"/>
      <c r="MN23" s="102"/>
      <c r="MO23" s="111"/>
      <c r="MP23" s="86"/>
      <c r="MQ23" s="86"/>
      <c r="MR23" s="86">
        <f t="shared" si="42"/>
        <v>0</v>
      </c>
      <c r="MS23" s="107">
        <v>46264</v>
      </c>
      <c r="MT23" s="91"/>
      <c r="MU23" s="82"/>
      <c r="MW23" s="84"/>
      <c r="MX23" s="87"/>
      <c r="MY23" s="87"/>
      <c r="MZ23" s="87">
        <f t="shared" si="43"/>
        <v>0</v>
      </c>
      <c r="NA23" s="96">
        <v>46264</v>
      </c>
      <c r="NB23" s="91"/>
      <c r="NC23" s="82"/>
      <c r="NE23" s="84"/>
      <c r="NF23" s="87"/>
      <c r="NG23" s="87"/>
      <c r="NH23" s="87">
        <f t="shared" si="44"/>
        <v>0</v>
      </c>
      <c r="NI23" s="96">
        <v>46264</v>
      </c>
      <c r="NJ23" s="89"/>
      <c r="NK23" s="82"/>
      <c r="NM23" s="90"/>
      <c r="NN23" s="87"/>
      <c r="NO23" s="87"/>
      <c r="NP23" s="87">
        <f t="shared" si="45"/>
        <v>0</v>
      </c>
      <c r="NQ23" s="96">
        <v>46264</v>
      </c>
      <c r="NR23" s="91"/>
      <c r="NS23" s="82"/>
      <c r="NU23" s="84"/>
      <c r="NV23" s="87"/>
      <c r="NW23" s="87"/>
      <c r="NX23" s="87">
        <f t="shared" si="46"/>
        <v>0</v>
      </c>
      <c r="NY23" s="96">
        <v>46264</v>
      </c>
      <c r="NZ23" s="89"/>
      <c r="OA23" s="82"/>
      <c r="OC23" s="84"/>
      <c r="OD23" s="87"/>
      <c r="OE23" s="87"/>
      <c r="OF23" s="87">
        <f t="shared" si="47"/>
        <v>0</v>
      </c>
      <c r="OG23" s="96">
        <v>46264</v>
      </c>
      <c r="OH23" s="89"/>
      <c r="OI23" s="82"/>
      <c r="OK23" s="84"/>
      <c r="OL23" s="87"/>
      <c r="OM23" s="87"/>
      <c r="ON23" s="87">
        <f t="shared" si="48"/>
        <v>0</v>
      </c>
      <c r="OO23" s="96">
        <v>46264</v>
      </c>
      <c r="OP23" s="91"/>
      <c r="OQ23" s="82"/>
      <c r="OS23" s="90"/>
      <c r="OT23" s="87"/>
      <c r="OU23" s="87"/>
      <c r="OV23" s="87">
        <f t="shared" si="49"/>
        <v>0</v>
      </c>
      <c r="OW23" s="96">
        <v>46264</v>
      </c>
      <c r="OX23" s="89"/>
      <c r="OY23" s="82"/>
      <c r="PA23" s="84"/>
      <c r="PB23" s="87"/>
      <c r="PC23" s="87"/>
      <c r="PD23" s="87">
        <f t="shared" si="50"/>
        <v>0</v>
      </c>
      <c r="PE23" s="96">
        <v>46264</v>
      </c>
      <c r="PF23" s="89"/>
      <c r="PG23" s="82"/>
      <c r="PH23"/>
      <c r="PI23" s="84"/>
      <c r="PJ23" s="87"/>
      <c r="PK23" s="87"/>
      <c r="PL23" s="87">
        <f t="shared" si="51"/>
        <v>0</v>
      </c>
      <c r="PM23" s="96">
        <v>46264</v>
      </c>
      <c r="PN23" s="211"/>
      <c r="PO23" s="216"/>
      <c r="PQ23" s="84"/>
      <c r="PR23" s="87"/>
      <c r="PS23" s="87"/>
      <c r="PT23" s="87">
        <f t="shared" si="52"/>
        <v>0</v>
      </c>
      <c r="PU23" s="96">
        <v>46264</v>
      </c>
      <c r="PV23" s="89"/>
      <c r="PW23" s="82"/>
      <c r="PY23" s="84"/>
      <c r="PZ23" s="87"/>
      <c r="QA23" s="87"/>
      <c r="QB23" s="87">
        <f t="shared" si="53"/>
        <v>0</v>
      </c>
      <c r="QC23" s="96">
        <v>46264</v>
      </c>
      <c r="QD23" s="91"/>
      <c r="QE23" s="82"/>
      <c r="QG23" s="84"/>
      <c r="QH23" s="87"/>
      <c r="QI23" s="87"/>
      <c r="QJ23" s="87">
        <f t="shared" si="54"/>
        <v>0</v>
      </c>
      <c r="QK23" s="96">
        <v>46264</v>
      </c>
      <c r="QL23" s="89"/>
      <c r="QM23" s="82"/>
      <c r="QO23" s="84"/>
      <c r="QP23" s="87"/>
      <c r="QQ23" s="87"/>
      <c r="QR23" s="87">
        <f t="shared" si="55"/>
        <v>0</v>
      </c>
      <c r="QS23" s="96">
        <v>46264</v>
      </c>
      <c r="QT23" s="212"/>
      <c r="QU23" s="216"/>
      <c r="QW23" s="84"/>
      <c r="QX23" s="87"/>
      <c r="QY23" s="87"/>
      <c r="QZ23" s="87">
        <f t="shared" si="56"/>
        <v>0</v>
      </c>
      <c r="RA23" s="96">
        <v>46264</v>
      </c>
      <c r="RB23" s="89"/>
      <c r="RC23" s="82"/>
      <c r="RE23" s="84"/>
      <c r="RF23" s="87"/>
      <c r="RG23" s="87"/>
      <c r="RH23" s="87">
        <f t="shared" si="57"/>
        <v>0</v>
      </c>
      <c r="RI23" s="96">
        <v>46264</v>
      </c>
      <c r="RJ23" s="89"/>
      <c r="RK23" s="170"/>
      <c r="RM23" s="84"/>
      <c r="RN23" s="87"/>
      <c r="RO23" s="186"/>
      <c r="RP23" s="87">
        <f t="shared" si="58"/>
        <v>0</v>
      </c>
      <c r="RQ23" s="96">
        <v>46264</v>
      </c>
      <c r="RR23" s="89"/>
      <c r="RS23" s="192"/>
      <c r="RT23"/>
      <c r="RU23" s="84"/>
      <c r="RV23" s="87"/>
      <c r="RW23" s="87"/>
      <c r="RX23" s="87">
        <f t="shared" si="59"/>
        <v>0</v>
      </c>
      <c r="RY23" s="96">
        <v>46264</v>
      </c>
      <c r="RZ23" s="89"/>
      <c r="SA23" s="82"/>
      <c r="SC23" s="84"/>
      <c r="SD23" s="87"/>
      <c r="SE23" s="87"/>
      <c r="SF23" s="87">
        <f t="shared" si="60"/>
        <v>0</v>
      </c>
      <c r="SG23" s="96">
        <v>46264</v>
      </c>
      <c r="SH23" s="89"/>
      <c r="SI23" s="82"/>
      <c r="SK23" s="84"/>
      <c r="SL23" s="87"/>
      <c r="SM23" s="87"/>
      <c r="SN23" s="87">
        <f t="shared" si="61"/>
        <v>0</v>
      </c>
      <c r="SO23" s="96">
        <v>46264</v>
      </c>
      <c r="SP23" s="89"/>
      <c r="SQ23" s="82"/>
      <c r="SS23" s="84"/>
      <c r="ST23" s="87"/>
      <c r="SU23" s="87"/>
      <c r="SV23" s="87">
        <f t="shared" si="62"/>
        <v>0</v>
      </c>
      <c r="SW23" s="96">
        <v>46264</v>
      </c>
      <c r="SX23" s="89"/>
      <c r="SY23" s="82"/>
      <c r="TA23" s="84"/>
      <c r="TB23" s="87"/>
      <c r="TC23" s="87"/>
      <c r="TD23" s="87">
        <f t="shared" si="63"/>
        <v>0</v>
      </c>
      <c r="TE23" s="96">
        <v>46264</v>
      </c>
      <c r="TF23" s="91"/>
      <c r="TG23" s="82"/>
      <c r="TI23" s="84"/>
      <c r="TJ23" s="87"/>
      <c r="TK23" s="87"/>
      <c r="TL23" s="87">
        <f t="shared" si="64"/>
        <v>0</v>
      </c>
      <c r="TM23" s="96">
        <v>46264</v>
      </c>
      <c r="TN23" s="89"/>
      <c r="TO23" s="82"/>
      <c r="TQ23" s="84"/>
      <c r="TR23" s="87"/>
      <c r="TS23" s="87"/>
      <c r="TT23" s="87">
        <f t="shared" si="65"/>
        <v>0</v>
      </c>
      <c r="TU23" s="96">
        <v>46264</v>
      </c>
      <c r="TV23" s="91"/>
      <c r="TW23" s="82"/>
      <c r="TY23" s="84"/>
      <c r="TZ23" s="87"/>
      <c r="UA23" s="87"/>
      <c r="UB23" s="87">
        <f t="shared" si="66"/>
        <v>0</v>
      </c>
      <c r="UC23" s="96">
        <v>46264</v>
      </c>
      <c r="UD23" s="89"/>
      <c r="UE23" s="82"/>
      <c r="UG23" s="84"/>
      <c r="UH23" s="87"/>
      <c r="UI23" s="87"/>
      <c r="UJ23" s="87">
        <f t="shared" si="67"/>
        <v>0</v>
      </c>
      <c r="UK23" s="96">
        <v>46264</v>
      </c>
      <c r="UL23" s="89"/>
      <c r="UM23" s="82"/>
      <c r="UO23" s="84"/>
      <c r="UP23" s="87"/>
      <c r="UQ23" s="87"/>
      <c r="UR23" s="87">
        <f t="shared" si="68"/>
        <v>0</v>
      </c>
      <c r="US23" s="96">
        <v>46264</v>
      </c>
      <c r="UT23" s="89"/>
      <c r="UU23" s="82"/>
      <c r="UW23" s="10"/>
      <c r="UX23" s="87"/>
      <c r="UY23" s="87"/>
      <c r="UZ23" s="87">
        <f t="shared" si="69"/>
        <v>0</v>
      </c>
      <c r="VA23" s="96">
        <v>46264</v>
      </c>
      <c r="VB23" s="188"/>
      <c r="VC23" s="82"/>
      <c r="VE23" s="84"/>
      <c r="VF23" s="87"/>
      <c r="VG23" s="87"/>
      <c r="VH23" s="87">
        <f t="shared" si="70"/>
        <v>0</v>
      </c>
      <c r="VI23" s="96">
        <v>46264</v>
      </c>
      <c r="VJ23" s="89"/>
      <c r="VK23" s="82"/>
      <c r="VM23" s="84"/>
      <c r="VN23" s="87"/>
      <c r="VO23" s="87"/>
      <c r="VP23" s="87">
        <f t="shared" si="71"/>
        <v>0</v>
      </c>
      <c r="VQ23" s="96">
        <v>46264</v>
      </c>
      <c r="VR23" s="91"/>
      <c r="VS23" s="82"/>
      <c r="VU23" s="84"/>
      <c r="VV23" s="87"/>
      <c r="VW23" s="87"/>
      <c r="VX23" s="87">
        <f t="shared" si="72"/>
        <v>0</v>
      </c>
      <c r="VY23" s="96">
        <v>46264</v>
      </c>
      <c r="VZ23" s="89"/>
      <c r="WA23" s="82"/>
      <c r="WC23" s="84"/>
      <c r="WD23" s="87"/>
      <c r="WE23" s="87"/>
      <c r="WF23" s="87">
        <f t="shared" si="73"/>
        <v>0</v>
      </c>
      <c r="WG23" s="96">
        <v>46264</v>
      </c>
      <c r="WH23" s="89"/>
      <c r="WI23" s="82"/>
      <c r="WJ23"/>
      <c r="WK23" s="84"/>
      <c r="WL23" s="87"/>
      <c r="WM23" s="87"/>
      <c r="WN23" s="87">
        <f t="shared" si="74"/>
        <v>0</v>
      </c>
      <c r="WO23" s="96">
        <v>46264</v>
      </c>
      <c r="WP23" s="91"/>
      <c r="WQ23" s="82"/>
      <c r="WS23" s="84"/>
      <c r="WT23" s="87"/>
      <c r="WU23" s="87"/>
      <c r="WV23" s="87">
        <f t="shared" si="75"/>
        <v>0</v>
      </c>
      <c r="WW23" s="96">
        <v>46264</v>
      </c>
      <c r="WX23" s="91"/>
      <c r="WY23" s="82"/>
      <c r="XA23" s="84"/>
      <c r="XB23" s="87"/>
      <c r="XC23" s="87"/>
      <c r="XD23" s="87">
        <f t="shared" si="76"/>
        <v>0</v>
      </c>
      <c r="XE23" s="96">
        <v>46264</v>
      </c>
      <c r="XF23" s="91"/>
      <c r="XG23" s="82"/>
      <c r="XH23" s="187"/>
      <c r="XI23" s="84"/>
      <c r="XJ23" s="87"/>
      <c r="XK23" s="87"/>
      <c r="XL23" s="87">
        <f t="shared" si="77"/>
        <v>0</v>
      </c>
      <c r="XM23" s="96">
        <v>46264</v>
      </c>
      <c r="XN23" s="91"/>
      <c r="XO23" s="82"/>
      <c r="XQ23" s="84"/>
      <c r="XR23" s="87"/>
      <c r="XS23" s="87"/>
      <c r="XT23" s="87">
        <f t="shared" si="78"/>
        <v>0</v>
      </c>
      <c r="XU23" s="96">
        <v>46264</v>
      </c>
      <c r="XV23" s="91"/>
      <c r="XW23" s="82"/>
      <c r="XY23" s="84"/>
      <c r="XZ23" s="87"/>
      <c r="YA23" s="87"/>
      <c r="YB23" s="87">
        <f t="shared" si="79"/>
        <v>0</v>
      </c>
      <c r="YC23" s="96">
        <v>46264</v>
      </c>
      <c r="YD23" s="89"/>
      <c r="YE23" s="82"/>
      <c r="YG23" s="84"/>
      <c r="YH23" s="87"/>
      <c r="YI23" s="87"/>
      <c r="YJ23" s="87">
        <f t="shared" si="80"/>
        <v>0</v>
      </c>
      <c r="YK23" s="96">
        <v>46264</v>
      </c>
      <c r="YL23" s="89"/>
      <c r="YM23" s="82"/>
      <c r="YO23" s="84"/>
      <c r="YP23" s="87"/>
      <c r="YQ23" s="87"/>
      <c r="YR23" s="87">
        <f t="shared" si="81"/>
        <v>0</v>
      </c>
      <c r="YS23" s="96">
        <v>46264</v>
      </c>
      <c r="YT23" s="89"/>
      <c r="YU23" s="82"/>
      <c r="YW23" s="84"/>
      <c r="YX23" s="87"/>
      <c r="YY23" s="87"/>
      <c r="YZ23" s="87">
        <f t="shared" si="82"/>
        <v>0</v>
      </c>
      <c r="ZA23" s="96">
        <v>46264</v>
      </c>
      <c r="ZB23" s="89"/>
      <c r="ZC23" s="82"/>
      <c r="ZE23" s="84"/>
      <c r="ZF23" s="87"/>
      <c r="ZG23" s="87"/>
      <c r="ZH23" s="87">
        <f t="shared" si="83"/>
        <v>0</v>
      </c>
      <c r="ZI23" s="96">
        <v>46264</v>
      </c>
      <c r="ZJ23" s="91"/>
      <c r="ZK23" s="82"/>
      <c r="ZM23" s="84"/>
      <c r="ZN23" s="87"/>
      <c r="ZO23" s="87"/>
      <c r="ZP23" s="87">
        <f t="shared" si="84"/>
        <v>0</v>
      </c>
      <c r="ZQ23" s="96">
        <v>46264</v>
      </c>
      <c r="ZR23" s="89"/>
      <c r="ZS23" s="82"/>
      <c r="ZU23" s="84"/>
      <c r="ZV23" s="87"/>
      <c r="ZW23" s="87"/>
      <c r="ZX23" s="87">
        <f t="shared" si="85"/>
        <v>0</v>
      </c>
      <c r="ZY23" s="96">
        <v>46264</v>
      </c>
      <c r="ZZ23" s="89"/>
      <c r="AAA23" s="82"/>
      <c r="AAC23" s="84"/>
      <c r="AAD23" s="87"/>
      <c r="AAE23" s="87"/>
      <c r="AAF23" s="87">
        <f t="shared" si="86"/>
        <v>0</v>
      </c>
      <c r="AAG23" s="96">
        <v>46264</v>
      </c>
      <c r="AAH23" s="89"/>
      <c r="AAI23" s="82"/>
      <c r="AAK23" s="84"/>
      <c r="AAL23" s="87"/>
      <c r="AAM23" s="87"/>
      <c r="AAN23" s="87">
        <f t="shared" si="87"/>
        <v>0</v>
      </c>
      <c r="AAO23" s="96">
        <v>46264</v>
      </c>
      <c r="AAP23" s="89"/>
      <c r="AAQ23" s="82"/>
      <c r="AAS23" s="84"/>
      <c r="AAT23" s="87"/>
      <c r="AAU23" s="87"/>
      <c r="AAV23" s="87">
        <f t="shared" si="88"/>
        <v>0</v>
      </c>
      <c r="AAW23" s="96">
        <v>46264</v>
      </c>
      <c r="AAX23" s="89"/>
      <c r="AAY23" s="82"/>
      <c r="ABA23" s="84"/>
      <c r="ABB23" s="87"/>
      <c r="ABC23" s="87"/>
      <c r="ABD23" s="87">
        <f t="shared" si="89"/>
        <v>0</v>
      </c>
      <c r="ABE23" s="96">
        <v>46264</v>
      </c>
      <c r="ABF23" s="89"/>
      <c r="ABG23" s="82"/>
      <c r="ABI23" s="84"/>
      <c r="ABJ23" s="87"/>
      <c r="ABK23" s="87"/>
      <c r="ABL23" s="87">
        <f t="shared" si="90"/>
        <v>0</v>
      </c>
      <c r="ABM23" s="96">
        <v>46264</v>
      </c>
      <c r="ABN23" s="89"/>
      <c r="ABO23" s="82"/>
      <c r="ABQ23" s="84"/>
      <c r="ABR23" s="87"/>
      <c r="ABS23" s="87"/>
      <c r="ABT23" s="87">
        <f t="shared" si="91"/>
        <v>0</v>
      </c>
      <c r="ABU23" s="96">
        <v>46264</v>
      </c>
      <c r="ABV23" s="89"/>
      <c r="ABW23" s="82"/>
      <c r="ABY23" s="84"/>
      <c r="ABZ23" s="87"/>
      <c r="ACA23" s="87"/>
      <c r="ACB23" s="87">
        <f t="shared" si="92"/>
        <v>0</v>
      </c>
      <c r="ACC23" s="96">
        <v>46264</v>
      </c>
      <c r="ACD23" s="89"/>
      <c r="ACE23" s="82"/>
    </row>
    <row r="24" spans="1:759" ht="12" customHeight="1" thickBot="1" x14ac:dyDescent="0.3">
      <c r="A24" s="10"/>
      <c r="B24" s="350"/>
      <c r="C24" s="222"/>
      <c r="D24" s="87">
        <f t="shared" si="2"/>
        <v>1700</v>
      </c>
      <c r="E24" s="96">
        <v>46264</v>
      </c>
      <c r="F24" s="374"/>
      <c r="G24" s="382"/>
      <c r="H24" s="59"/>
      <c r="I24" s="84"/>
      <c r="J24" s="87"/>
      <c r="K24" s="87"/>
      <c r="L24" s="87">
        <f t="shared" si="0"/>
        <v>1000</v>
      </c>
      <c r="M24" s="164">
        <v>46264</v>
      </c>
      <c r="N24" s="220"/>
      <c r="O24" s="82"/>
      <c r="P24" s="110"/>
      <c r="Q24" s="84"/>
      <c r="R24" s="222"/>
      <c r="S24" s="222"/>
      <c r="T24" s="87">
        <f t="shared" si="1"/>
        <v>4000</v>
      </c>
      <c r="U24" s="96">
        <v>46264</v>
      </c>
      <c r="V24" s="220"/>
      <c r="W24" s="82"/>
      <c r="X24" s="281"/>
      <c r="Y24" s="84"/>
      <c r="Z24" s="222"/>
      <c r="AA24" s="222"/>
      <c r="AB24" s="222">
        <f t="shared" si="3"/>
        <v>1000</v>
      </c>
      <c r="AC24" s="96">
        <v>46264</v>
      </c>
      <c r="AD24" s="220"/>
      <c r="AE24" s="82"/>
      <c r="AF24" s="388"/>
      <c r="AG24" s="84"/>
      <c r="AH24" s="222"/>
      <c r="AI24" s="222"/>
      <c r="AJ24" s="87">
        <f t="shared" si="4"/>
        <v>2000</v>
      </c>
      <c r="AK24" s="96">
        <v>46264</v>
      </c>
      <c r="AL24" s="220"/>
      <c r="AM24" s="82"/>
      <c r="AN24" s="105"/>
      <c r="AO24" s="84"/>
      <c r="AP24" s="222"/>
      <c r="AQ24" s="222"/>
      <c r="AR24" s="87">
        <f t="shared" si="5"/>
        <v>1000</v>
      </c>
      <c r="AS24" s="96">
        <v>46264</v>
      </c>
      <c r="AT24" s="220"/>
      <c r="AU24" s="82"/>
      <c r="AW24" s="10"/>
      <c r="AX24" s="222"/>
      <c r="AY24" s="222"/>
      <c r="AZ24" s="87">
        <f t="shared" si="6"/>
        <v>1150</v>
      </c>
      <c r="BA24" s="96">
        <v>46264</v>
      </c>
      <c r="BB24" s="374"/>
      <c r="BC24" s="82"/>
      <c r="BD24" s="341"/>
      <c r="BE24" s="84"/>
      <c r="BF24" s="87"/>
      <c r="BG24" s="87"/>
      <c r="BH24" s="87">
        <f t="shared" si="7"/>
        <v>7000</v>
      </c>
      <c r="BI24" s="96">
        <v>46264</v>
      </c>
      <c r="BJ24" s="220"/>
      <c r="BK24" s="82"/>
      <c r="BL24"/>
      <c r="BM24" s="84"/>
      <c r="BN24" s="222"/>
      <c r="BO24" s="222"/>
      <c r="BP24" s="87">
        <f t="shared" si="8"/>
        <v>1000</v>
      </c>
      <c r="BQ24" s="96">
        <v>46264</v>
      </c>
      <c r="BR24" s="220"/>
      <c r="BS24" s="82"/>
      <c r="BT24" s="355"/>
      <c r="BU24" s="84"/>
      <c r="BV24" s="87"/>
      <c r="BW24" s="87"/>
      <c r="BX24" s="87">
        <f t="shared" si="9"/>
        <v>0</v>
      </c>
      <c r="BY24" s="96">
        <v>46264</v>
      </c>
      <c r="BZ24" s="220"/>
      <c r="CA24" s="82"/>
      <c r="CB24" s="72"/>
      <c r="CC24" s="84"/>
      <c r="CD24" s="87"/>
      <c r="CE24" s="87"/>
      <c r="CF24" s="87">
        <f t="shared" si="10"/>
        <v>0</v>
      </c>
      <c r="CG24" s="80">
        <v>46280</v>
      </c>
      <c r="CH24" s="220"/>
      <c r="CI24" s="82"/>
      <c r="CJ24" s="124"/>
      <c r="CK24" s="84"/>
      <c r="CL24" s="222"/>
      <c r="CM24" s="222"/>
      <c r="CN24" s="87">
        <f t="shared" si="11"/>
        <v>0</v>
      </c>
      <c r="CO24" s="80">
        <v>46280</v>
      </c>
      <c r="CP24" s="220"/>
      <c r="CQ24" s="82"/>
      <c r="CR24" s="72"/>
      <c r="CS24" s="84"/>
      <c r="CT24" s="87"/>
      <c r="CU24" s="87"/>
      <c r="CV24" s="87">
        <f t="shared" si="12"/>
        <v>0</v>
      </c>
      <c r="CW24" s="80">
        <v>46280</v>
      </c>
      <c r="CX24" s="220"/>
      <c r="CY24" s="82"/>
      <c r="CZ24" s="124"/>
      <c r="DA24" s="84"/>
      <c r="DB24" s="87"/>
      <c r="DC24" s="222"/>
      <c r="DD24" s="87">
        <f t="shared" si="13"/>
        <v>0</v>
      </c>
      <c r="DE24" s="80">
        <v>46280</v>
      </c>
      <c r="DF24" s="220"/>
      <c r="DG24" s="82"/>
      <c r="DI24" s="99"/>
      <c r="DJ24" s="87"/>
      <c r="DK24" s="87"/>
      <c r="DL24" s="87">
        <f t="shared" si="14"/>
        <v>0</v>
      </c>
      <c r="DM24" s="96">
        <v>46264</v>
      </c>
      <c r="DN24" s="220"/>
      <c r="DO24" s="82"/>
      <c r="DQ24" s="90"/>
      <c r="DR24" s="222"/>
      <c r="DS24" s="222"/>
      <c r="DT24" s="87">
        <f t="shared" si="15"/>
        <v>0</v>
      </c>
      <c r="DU24" s="96">
        <v>46264</v>
      </c>
      <c r="DV24" s="220"/>
      <c r="DW24" s="82"/>
      <c r="DX24" s="72"/>
      <c r="DY24" s="99"/>
      <c r="DZ24" s="222"/>
      <c r="EA24" s="222"/>
      <c r="EB24" s="87">
        <f t="shared" si="16"/>
        <v>0</v>
      </c>
      <c r="EC24" s="96">
        <v>46264</v>
      </c>
      <c r="ED24" s="220"/>
      <c r="EE24" s="82"/>
      <c r="EF24" s="72"/>
      <c r="EG24" s="84"/>
      <c r="EH24" s="87"/>
      <c r="EI24" s="87"/>
      <c r="EJ24" s="87">
        <f t="shared" si="17"/>
        <v>0</v>
      </c>
      <c r="EK24" s="96">
        <v>46264</v>
      </c>
      <c r="EL24" s="220"/>
      <c r="EM24" s="82"/>
      <c r="EO24" s="90"/>
      <c r="EP24" s="87"/>
      <c r="EQ24" s="87"/>
      <c r="ER24" s="87">
        <f t="shared" si="18"/>
        <v>0</v>
      </c>
      <c r="ES24" s="96">
        <v>46264</v>
      </c>
      <c r="ET24" s="220"/>
      <c r="EU24" s="82"/>
      <c r="EW24" s="84"/>
      <c r="EX24" s="222"/>
      <c r="EY24" s="222"/>
      <c r="EZ24" s="87">
        <f t="shared" si="19"/>
        <v>0</v>
      </c>
      <c r="FA24" s="96">
        <v>46264</v>
      </c>
      <c r="FB24" s="220"/>
      <c r="FC24" s="82"/>
      <c r="FE24" s="84"/>
      <c r="FF24" s="87"/>
      <c r="FG24" s="87"/>
      <c r="FH24" s="87">
        <f t="shared" si="93"/>
        <v>0</v>
      </c>
      <c r="FI24" s="96">
        <v>46264</v>
      </c>
      <c r="FJ24" s="220"/>
      <c r="FK24" s="191"/>
      <c r="FL24" s="198"/>
      <c r="FM24" s="84"/>
      <c r="FN24" s="87"/>
      <c r="FO24" s="87"/>
      <c r="FP24" s="87">
        <f t="shared" si="20"/>
        <v>0</v>
      </c>
      <c r="FQ24" s="96">
        <v>46264</v>
      </c>
      <c r="FR24" s="220"/>
      <c r="FS24" s="82"/>
      <c r="FT24" s="59"/>
      <c r="FU24" s="84"/>
      <c r="FV24" s="87"/>
      <c r="FW24" s="87"/>
      <c r="FX24" s="87">
        <f t="shared" si="21"/>
        <v>0</v>
      </c>
      <c r="FY24" s="167">
        <v>46264</v>
      </c>
      <c r="FZ24" s="220"/>
      <c r="GA24" s="82"/>
      <c r="GB24" s="197"/>
      <c r="GC24" s="84"/>
      <c r="GD24" s="87"/>
      <c r="GE24" s="87"/>
      <c r="GF24" s="87">
        <f t="shared" si="22"/>
        <v>0</v>
      </c>
      <c r="GG24" s="96">
        <v>46264</v>
      </c>
      <c r="GH24" s="220"/>
      <c r="GI24" s="82"/>
      <c r="GJ24"/>
      <c r="GK24" s="84"/>
      <c r="GL24" s="87"/>
      <c r="GM24" s="87"/>
      <c r="GN24" s="87">
        <f t="shared" si="23"/>
        <v>0</v>
      </c>
      <c r="GO24" s="80">
        <v>46280</v>
      </c>
      <c r="GP24" s="220"/>
      <c r="GQ24" s="82"/>
      <c r="GS24" s="84"/>
      <c r="GT24" s="222"/>
      <c r="GU24" s="222"/>
      <c r="GV24" s="87">
        <f t="shared" si="24"/>
        <v>0</v>
      </c>
      <c r="GW24" s="80">
        <v>46280</v>
      </c>
      <c r="GX24" s="89"/>
      <c r="GY24" s="82"/>
      <c r="GZ24"/>
      <c r="HA24" s="90"/>
      <c r="HB24" s="87"/>
      <c r="HC24" s="87"/>
      <c r="HD24" s="87">
        <f t="shared" si="25"/>
        <v>0</v>
      </c>
      <c r="HE24" s="80">
        <v>46280</v>
      </c>
      <c r="HF24" s="220"/>
      <c r="HG24" s="82"/>
      <c r="HI24" s="84"/>
      <c r="HJ24" s="87"/>
      <c r="HK24" s="87"/>
      <c r="HL24" s="87">
        <f t="shared" si="26"/>
        <v>0</v>
      </c>
      <c r="HM24" s="80">
        <v>46280</v>
      </c>
      <c r="HN24" s="220"/>
      <c r="HO24" s="82"/>
      <c r="HQ24" s="84"/>
      <c r="HR24" s="87"/>
      <c r="HS24" s="222"/>
      <c r="HT24" s="87">
        <f t="shared" si="27"/>
        <v>0</v>
      </c>
      <c r="HU24" s="80">
        <v>46280</v>
      </c>
      <c r="HV24" s="220"/>
      <c r="HW24" s="82"/>
      <c r="HY24" s="84"/>
      <c r="HZ24" s="87"/>
      <c r="IA24" s="87"/>
      <c r="IB24" s="87">
        <f t="shared" si="28"/>
        <v>0</v>
      </c>
      <c r="IC24" s="80">
        <v>46280</v>
      </c>
      <c r="ID24" s="220"/>
      <c r="IE24" s="82"/>
      <c r="IF24" s="41"/>
      <c r="IG24" s="90"/>
      <c r="IH24" s="87"/>
      <c r="II24" s="87"/>
      <c r="IJ24" s="87">
        <f t="shared" si="29"/>
        <v>0</v>
      </c>
      <c r="IK24" s="80">
        <v>46280</v>
      </c>
      <c r="IL24" s="91"/>
      <c r="IM24" s="82"/>
      <c r="IN24" s="72"/>
      <c r="IO24" s="84"/>
      <c r="IP24" s="87"/>
      <c r="IQ24" s="87"/>
      <c r="IR24" s="87">
        <f t="shared" si="30"/>
        <v>0</v>
      </c>
      <c r="IS24" s="80">
        <v>46280</v>
      </c>
      <c r="IT24" s="91"/>
      <c r="IU24" s="82"/>
      <c r="IW24" s="84"/>
      <c r="IX24" s="87"/>
      <c r="IY24" s="87"/>
      <c r="IZ24" s="87">
        <f t="shared" si="31"/>
        <v>0</v>
      </c>
      <c r="JA24" s="80">
        <v>46280</v>
      </c>
      <c r="JB24" s="89"/>
      <c r="JC24" s="82"/>
      <c r="JE24" s="90"/>
      <c r="JF24" s="87"/>
      <c r="JG24" s="87"/>
      <c r="JH24" s="87">
        <f t="shared" si="32"/>
        <v>0</v>
      </c>
      <c r="JI24" s="80">
        <v>46280</v>
      </c>
      <c r="JJ24" s="220"/>
      <c r="JK24" s="82"/>
      <c r="JM24" s="84"/>
      <c r="JN24" s="87"/>
      <c r="JO24" s="87"/>
      <c r="JP24" s="87">
        <f t="shared" si="33"/>
        <v>0</v>
      </c>
      <c r="JQ24" s="163">
        <v>46280</v>
      </c>
      <c r="JR24" s="89"/>
      <c r="JS24" s="82"/>
      <c r="JU24" s="90"/>
      <c r="JV24" s="87"/>
      <c r="JW24" s="87"/>
      <c r="JX24" s="87">
        <f t="shared" si="94"/>
        <v>0</v>
      </c>
      <c r="JY24" s="163">
        <v>46280</v>
      </c>
      <c r="JZ24" s="91"/>
      <c r="KA24" s="82"/>
      <c r="KC24" s="99"/>
      <c r="KD24" s="87"/>
      <c r="KE24" s="87"/>
      <c r="KF24" s="87">
        <f t="shared" si="34"/>
        <v>0</v>
      </c>
      <c r="KG24" s="163">
        <v>46280</v>
      </c>
      <c r="KH24" s="222"/>
      <c r="KI24" s="109"/>
      <c r="KK24" s="7"/>
      <c r="KL24" s="87"/>
      <c r="KM24" s="87"/>
      <c r="KN24" s="87">
        <f t="shared" si="35"/>
        <v>0</v>
      </c>
      <c r="KO24" s="163">
        <v>46280</v>
      </c>
      <c r="KP24" s="89"/>
      <c r="KQ24" s="82"/>
      <c r="KS24" s="84"/>
      <c r="KT24" s="87"/>
      <c r="KU24" s="87"/>
      <c r="KV24" s="87">
        <f t="shared" si="36"/>
        <v>0</v>
      </c>
      <c r="KW24" s="80">
        <v>46280</v>
      </c>
      <c r="KX24" s="89"/>
      <c r="KY24" s="82"/>
      <c r="LA24" s="90"/>
      <c r="LB24" s="87"/>
      <c r="LC24" s="87"/>
      <c r="LD24" s="87">
        <f t="shared" si="37"/>
        <v>0</v>
      </c>
      <c r="LE24" s="163">
        <v>46280</v>
      </c>
      <c r="LF24" s="89"/>
      <c r="LG24" s="82"/>
      <c r="LH24"/>
      <c r="LI24" s="99"/>
      <c r="LJ24" s="87"/>
      <c r="LK24" s="87"/>
      <c r="LL24" s="87">
        <f t="shared" si="38"/>
        <v>0</v>
      </c>
      <c r="LM24" s="80">
        <v>46280</v>
      </c>
      <c r="LN24" s="89"/>
      <c r="LO24" s="82"/>
      <c r="LQ24" s="84"/>
      <c r="LR24" s="87"/>
      <c r="LS24" s="87"/>
      <c r="LT24" s="87">
        <f t="shared" si="39"/>
        <v>0</v>
      </c>
      <c r="LU24" s="80">
        <v>46280</v>
      </c>
      <c r="LV24" s="89"/>
      <c r="LW24" s="82"/>
      <c r="LY24" s="84"/>
      <c r="LZ24" s="87"/>
      <c r="MA24" s="87"/>
      <c r="MB24" s="87">
        <f t="shared" si="40"/>
        <v>0</v>
      </c>
      <c r="MC24" s="80">
        <v>46280</v>
      </c>
      <c r="MD24" s="89"/>
      <c r="ME24" s="82"/>
      <c r="MG24" s="90"/>
      <c r="MH24" s="87"/>
      <c r="MI24" s="87"/>
      <c r="MJ24" s="87">
        <f t="shared" si="41"/>
        <v>0</v>
      </c>
      <c r="MK24" s="80">
        <v>46280</v>
      </c>
      <c r="ML24" s="89"/>
      <c r="MM24" s="82"/>
      <c r="MN24" s="43"/>
      <c r="MO24" s="111"/>
      <c r="MP24" s="86"/>
      <c r="MQ24" s="86"/>
      <c r="MR24" s="86">
        <f t="shared" si="42"/>
        <v>0</v>
      </c>
      <c r="MS24" s="100">
        <v>46280</v>
      </c>
      <c r="MT24" s="91"/>
      <c r="MU24" s="82"/>
      <c r="MW24" s="84"/>
      <c r="MX24" s="87"/>
      <c r="MY24" s="87"/>
      <c r="MZ24" s="87">
        <f t="shared" si="43"/>
        <v>0</v>
      </c>
      <c r="NA24" s="80">
        <v>46280</v>
      </c>
      <c r="NB24" s="89"/>
      <c r="NC24" s="82"/>
      <c r="NE24" s="84"/>
      <c r="NF24" s="87"/>
      <c r="NG24" s="87"/>
      <c r="NH24" s="87">
        <f t="shared" si="44"/>
        <v>0</v>
      </c>
      <c r="NI24" s="80">
        <v>46280</v>
      </c>
      <c r="NJ24" s="89"/>
      <c r="NK24" s="82"/>
      <c r="NM24" s="90"/>
      <c r="NN24" s="87"/>
      <c r="NO24" s="87"/>
      <c r="NP24" s="87">
        <f t="shared" si="45"/>
        <v>0</v>
      </c>
      <c r="NQ24" s="80">
        <v>46280</v>
      </c>
      <c r="NR24" s="91"/>
      <c r="NS24" s="82"/>
      <c r="NT24" s="187"/>
      <c r="NU24" s="84"/>
      <c r="NV24" s="87"/>
      <c r="NW24" s="87"/>
      <c r="NX24" s="87">
        <f t="shared" si="46"/>
        <v>0</v>
      </c>
      <c r="NY24" s="80">
        <v>46280</v>
      </c>
      <c r="NZ24" s="89"/>
      <c r="OA24" s="82"/>
      <c r="OC24" s="90"/>
      <c r="OD24" s="87"/>
      <c r="OE24" s="87"/>
      <c r="OF24" s="87">
        <f t="shared" si="47"/>
        <v>0</v>
      </c>
      <c r="OG24" s="80">
        <v>46280</v>
      </c>
      <c r="OH24" s="89"/>
      <c r="OI24" s="82"/>
      <c r="OK24" s="84"/>
      <c r="OL24" s="87"/>
      <c r="OM24" s="87"/>
      <c r="ON24" s="87">
        <f t="shared" si="48"/>
        <v>0</v>
      </c>
      <c r="OO24" s="80">
        <v>46280</v>
      </c>
      <c r="OP24" s="91"/>
      <c r="OQ24" s="82"/>
      <c r="OR24" s="285"/>
      <c r="OS24" s="90"/>
      <c r="OT24" s="87"/>
      <c r="OU24" s="87"/>
      <c r="OV24" s="87">
        <f t="shared" si="49"/>
        <v>0</v>
      </c>
      <c r="OW24" s="80">
        <v>46280</v>
      </c>
      <c r="OX24" s="89"/>
      <c r="OY24" s="82"/>
      <c r="PA24" s="84"/>
      <c r="PB24" s="87"/>
      <c r="PC24" s="87"/>
      <c r="PD24" s="87">
        <f t="shared" si="50"/>
        <v>0</v>
      </c>
      <c r="PE24" s="80">
        <v>46280</v>
      </c>
      <c r="PF24" s="89"/>
      <c r="PG24" s="82"/>
      <c r="PH24"/>
      <c r="PI24" s="90"/>
      <c r="PJ24" s="87"/>
      <c r="PK24" s="87"/>
      <c r="PL24" s="87">
        <f t="shared" si="51"/>
        <v>0</v>
      </c>
      <c r="PM24" s="80">
        <v>46280</v>
      </c>
      <c r="PN24" s="211"/>
      <c r="PO24" s="216"/>
      <c r="PQ24" s="90"/>
      <c r="PR24" s="87"/>
      <c r="PS24" s="87"/>
      <c r="PT24" s="87">
        <f t="shared" si="52"/>
        <v>0</v>
      </c>
      <c r="PU24" s="80">
        <v>46280</v>
      </c>
      <c r="PV24" s="89"/>
      <c r="PW24" s="82"/>
      <c r="PY24" s="84"/>
      <c r="PZ24" s="87"/>
      <c r="QA24" s="87"/>
      <c r="QB24" s="87">
        <f t="shared" si="53"/>
        <v>0</v>
      </c>
      <c r="QC24" s="80">
        <v>46280</v>
      </c>
      <c r="QD24" s="91"/>
      <c r="QE24" s="82"/>
      <c r="QG24" s="84"/>
      <c r="QH24" s="87"/>
      <c r="QI24" s="87"/>
      <c r="QJ24" s="87">
        <f t="shared" si="54"/>
        <v>0</v>
      </c>
      <c r="QK24" s="80">
        <v>46280</v>
      </c>
      <c r="QL24" s="89"/>
      <c r="QM24" s="82"/>
      <c r="QO24" s="90"/>
      <c r="QP24" s="87"/>
      <c r="QQ24" s="87"/>
      <c r="QR24" s="87">
        <f t="shared" si="55"/>
        <v>0</v>
      </c>
      <c r="QS24" s="80">
        <v>46280</v>
      </c>
      <c r="QT24" s="212"/>
      <c r="QU24" s="216"/>
      <c r="QW24" s="84"/>
      <c r="QX24" s="87"/>
      <c r="QY24" s="87"/>
      <c r="QZ24" s="87">
        <f t="shared" si="56"/>
        <v>0</v>
      </c>
      <c r="RA24" s="80">
        <v>46280</v>
      </c>
      <c r="RB24" s="89"/>
      <c r="RC24" s="82"/>
      <c r="RE24" s="84"/>
      <c r="RF24" s="87"/>
      <c r="RG24" s="87"/>
      <c r="RH24" s="87">
        <f t="shared" si="57"/>
        <v>0</v>
      </c>
      <c r="RI24" s="80">
        <v>46280</v>
      </c>
      <c r="RJ24" s="89"/>
      <c r="RK24" s="170"/>
      <c r="RM24" s="84"/>
      <c r="RN24" s="87"/>
      <c r="RO24" s="87"/>
      <c r="RP24" s="87">
        <f t="shared" si="58"/>
        <v>0</v>
      </c>
      <c r="RQ24" s="80">
        <v>46280</v>
      </c>
      <c r="RR24" s="89"/>
      <c r="RS24" s="192"/>
      <c r="RT24"/>
      <c r="RU24" s="84"/>
      <c r="RV24" s="87"/>
      <c r="RW24" s="87"/>
      <c r="RX24" s="87">
        <f t="shared" si="59"/>
        <v>0</v>
      </c>
      <c r="RY24" s="80">
        <v>46280</v>
      </c>
      <c r="RZ24" s="89"/>
      <c r="SA24" s="82"/>
      <c r="SC24" s="84"/>
      <c r="SD24" s="87"/>
      <c r="SE24" s="87"/>
      <c r="SF24" s="87">
        <f t="shared" si="60"/>
        <v>0</v>
      </c>
      <c r="SG24" s="80">
        <v>46280</v>
      </c>
      <c r="SH24" s="89"/>
      <c r="SI24" s="82"/>
      <c r="SK24" s="84"/>
      <c r="SL24" s="87"/>
      <c r="SM24" s="87"/>
      <c r="SN24" s="87">
        <f t="shared" si="61"/>
        <v>0</v>
      </c>
      <c r="SO24" s="80">
        <v>46280</v>
      </c>
      <c r="SP24" s="89"/>
      <c r="SQ24" s="82"/>
      <c r="SS24" s="84"/>
      <c r="ST24" s="87"/>
      <c r="SU24" s="87"/>
      <c r="SV24" s="87">
        <f t="shared" si="62"/>
        <v>0</v>
      </c>
      <c r="SW24" s="80">
        <v>46280</v>
      </c>
      <c r="SX24" s="89"/>
      <c r="SY24" s="82"/>
      <c r="TA24" s="84"/>
      <c r="TB24" s="87"/>
      <c r="TC24" s="87"/>
      <c r="TD24" s="87">
        <f t="shared" si="63"/>
        <v>0</v>
      </c>
      <c r="TE24" s="80">
        <v>46280</v>
      </c>
      <c r="TF24" s="91"/>
      <c r="TG24" s="82"/>
      <c r="TI24" s="84"/>
      <c r="TJ24" s="87"/>
      <c r="TK24" s="87"/>
      <c r="TL24" s="87">
        <f t="shared" si="64"/>
        <v>0</v>
      </c>
      <c r="TM24" s="80">
        <v>46280</v>
      </c>
      <c r="TN24" s="89"/>
      <c r="TO24" s="82"/>
      <c r="TP24"/>
      <c r="TQ24" s="84"/>
      <c r="TR24" s="87"/>
      <c r="TS24" s="87"/>
      <c r="TT24" s="87">
        <f t="shared" si="65"/>
        <v>0</v>
      </c>
      <c r="TU24" s="80">
        <v>46280</v>
      </c>
      <c r="TV24" s="91"/>
      <c r="TW24" s="82"/>
      <c r="TY24" s="84"/>
      <c r="TZ24" s="87"/>
      <c r="UA24" s="87"/>
      <c r="UB24" s="87">
        <f t="shared" si="66"/>
        <v>0</v>
      </c>
      <c r="UC24" s="80">
        <v>46280</v>
      </c>
      <c r="UD24" s="91"/>
      <c r="UE24" s="82"/>
      <c r="UG24" s="84"/>
      <c r="UH24" s="87"/>
      <c r="UI24" s="87"/>
      <c r="UJ24" s="87">
        <f t="shared" si="67"/>
        <v>0</v>
      </c>
      <c r="UK24" s="80">
        <v>46280</v>
      </c>
      <c r="UL24" s="89"/>
      <c r="UM24" s="82"/>
      <c r="UN24"/>
      <c r="UO24" s="84"/>
      <c r="UP24" s="87"/>
      <c r="UQ24" s="87"/>
      <c r="UR24" s="87">
        <f t="shared" si="68"/>
        <v>0</v>
      </c>
      <c r="US24" s="80">
        <v>46280</v>
      </c>
      <c r="UT24" s="89"/>
      <c r="UU24" s="82"/>
      <c r="UW24" s="84"/>
      <c r="UX24" s="87"/>
      <c r="UY24" s="87"/>
      <c r="UZ24" s="87">
        <f t="shared" si="69"/>
        <v>0</v>
      </c>
      <c r="VA24" s="80">
        <v>46280</v>
      </c>
      <c r="VB24" s="188"/>
      <c r="VC24" s="82"/>
      <c r="VE24" s="84"/>
      <c r="VF24" s="87"/>
      <c r="VG24" s="87"/>
      <c r="VH24" s="87">
        <f t="shared" si="70"/>
        <v>0</v>
      </c>
      <c r="VI24" s="80">
        <v>46280</v>
      </c>
      <c r="VJ24" s="89"/>
      <c r="VK24" s="82"/>
      <c r="VM24" s="84"/>
      <c r="VN24" s="87"/>
      <c r="VO24" s="87"/>
      <c r="VP24" s="87">
        <f t="shared" si="71"/>
        <v>0</v>
      </c>
      <c r="VQ24" s="80">
        <v>46280</v>
      </c>
      <c r="VR24" s="91"/>
      <c r="VS24" s="82"/>
      <c r="VU24" s="84"/>
      <c r="VV24" s="87"/>
      <c r="VW24" s="87"/>
      <c r="VX24" s="87">
        <f t="shared" si="72"/>
        <v>0</v>
      </c>
      <c r="VY24" s="80">
        <v>46280</v>
      </c>
      <c r="VZ24" s="89"/>
      <c r="WA24" s="82"/>
      <c r="WC24" s="84"/>
      <c r="WD24" s="87"/>
      <c r="WE24" s="87"/>
      <c r="WF24" s="87">
        <f t="shared" si="73"/>
        <v>0</v>
      </c>
      <c r="WG24" s="80">
        <v>46280</v>
      </c>
      <c r="WH24" s="89"/>
      <c r="WI24" s="82"/>
      <c r="WJ24"/>
      <c r="WK24" s="84"/>
      <c r="WL24" s="87"/>
      <c r="WM24" s="87"/>
      <c r="WN24" s="87">
        <f t="shared" si="74"/>
        <v>0</v>
      </c>
      <c r="WO24" s="80">
        <v>46280</v>
      </c>
      <c r="WP24" s="91"/>
      <c r="WQ24" s="82"/>
      <c r="WS24" s="84"/>
      <c r="WT24" s="87"/>
      <c r="WU24" s="87"/>
      <c r="WV24" s="87">
        <f t="shared" si="75"/>
        <v>0</v>
      </c>
      <c r="WW24" s="80">
        <v>46280</v>
      </c>
      <c r="WX24" s="91"/>
      <c r="WY24" s="82"/>
      <c r="XA24" s="84"/>
      <c r="XB24" s="87"/>
      <c r="XC24" s="87"/>
      <c r="XD24" s="87">
        <f t="shared" si="76"/>
        <v>0</v>
      </c>
      <c r="XE24" s="80">
        <v>46280</v>
      </c>
      <c r="XF24" s="91"/>
      <c r="XG24" s="82"/>
      <c r="XI24" s="84"/>
      <c r="XJ24" s="87"/>
      <c r="XK24" s="87"/>
      <c r="XL24" s="87">
        <f t="shared" si="77"/>
        <v>0</v>
      </c>
      <c r="XM24" s="80">
        <v>46280</v>
      </c>
      <c r="XN24" s="91"/>
      <c r="XO24" s="82"/>
      <c r="XQ24" s="84"/>
      <c r="XR24" s="87"/>
      <c r="XS24" s="87"/>
      <c r="XT24" s="87">
        <f t="shared" si="78"/>
        <v>0</v>
      </c>
      <c r="XU24" s="80">
        <v>46280</v>
      </c>
      <c r="XV24" s="91"/>
      <c r="XW24" s="82"/>
      <c r="XY24" s="84"/>
      <c r="XZ24" s="87"/>
      <c r="YA24" s="87"/>
      <c r="YB24" s="87">
        <f t="shared" si="79"/>
        <v>0</v>
      </c>
      <c r="YC24" s="80">
        <v>46280</v>
      </c>
      <c r="YD24" s="89"/>
      <c r="YE24" s="82"/>
      <c r="YG24" s="84"/>
      <c r="YH24" s="87"/>
      <c r="YI24" s="87"/>
      <c r="YJ24" s="87">
        <f t="shared" si="80"/>
        <v>0</v>
      </c>
      <c r="YK24" s="80">
        <v>46280</v>
      </c>
      <c r="YL24" s="89"/>
      <c r="YM24" s="82"/>
      <c r="YO24" s="84"/>
      <c r="YP24" s="87"/>
      <c r="YQ24" s="87"/>
      <c r="YR24" s="87">
        <f t="shared" si="81"/>
        <v>0</v>
      </c>
      <c r="YS24" s="80">
        <v>46280</v>
      </c>
      <c r="YT24" s="89"/>
      <c r="YU24" s="82"/>
      <c r="YW24" s="84"/>
      <c r="YX24" s="87"/>
      <c r="YY24" s="87"/>
      <c r="YZ24" s="87">
        <f t="shared" si="82"/>
        <v>0</v>
      </c>
      <c r="ZA24" s="80">
        <v>46280</v>
      </c>
      <c r="ZB24" s="89"/>
      <c r="ZC24" s="82"/>
      <c r="ZE24" s="84"/>
      <c r="ZF24" s="87"/>
      <c r="ZG24" s="87"/>
      <c r="ZH24" s="87">
        <f t="shared" si="83"/>
        <v>0</v>
      </c>
      <c r="ZI24" s="80">
        <v>46280</v>
      </c>
      <c r="ZJ24" s="91"/>
      <c r="ZK24" s="82"/>
      <c r="ZM24" s="84"/>
      <c r="ZN24" s="87"/>
      <c r="ZO24" s="87"/>
      <c r="ZP24" s="87">
        <f t="shared" si="84"/>
        <v>0</v>
      </c>
      <c r="ZQ24" s="80">
        <v>46280</v>
      </c>
      <c r="ZR24" s="89"/>
      <c r="ZS24" s="82"/>
      <c r="ZU24" s="84"/>
      <c r="ZV24" s="87"/>
      <c r="ZW24" s="87"/>
      <c r="ZX24" s="87">
        <f t="shared" si="85"/>
        <v>0</v>
      </c>
      <c r="ZY24" s="80">
        <v>46280</v>
      </c>
      <c r="ZZ24" s="89"/>
      <c r="AAA24" s="82"/>
      <c r="AAB24" s="132"/>
      <c r="AAC24" s="84"/>
      <c r="AAD24" s="87"/>
      <c r="AAE24" s="87"/>
      <c r="AAF24" s="87">
        <f t="shared" si="86"/>
        <v>0</v>
      </c>
      <c r="AAG24" s="80">
        <v>46280</v>
      </c>
      <c r="AAH24" s="89"/>
      <c r="AAI24" s="82"/>
      <c r="AAK24" s="84"/>
      <c r="AAL24" s="87"/>
      <c r="AAM24" s="87"/>
      <c r="AAN24" s="87">
        <f t="shared" si="87"/>
        <v>0</v>
      </c>
      <c r="AAO24" s="80">
        <v>46280</v>
      </c>
      <c r="AAP24" s="89"/>
      <c r="AAQ24" s="82"/>
      <c r="AAS24" s="84"/>
      <c r="AAT24" s="87"/>
      <c r="AAU24" s="87"/>
      <c r="AAV24" s="87">
        <f t="shared" si="88"/>
        <v>0</v>
      </c>
      <c r="AAW24" s="80">
        <v>46280</v>
      </c>
      <c r="AAX24" s="89"/>
      <c r="AAY24" s="82"/>
      <c r="ABA24" s="84"/>
      <c r="ABB24" s="87"/>
      <c r="ABC24" s="87"/>
      <c r="ABD24" s="87">
        <f t="shared" si="89"/>
        <v>0</v>
      </c>
      <c r="ABE24" s="80">
        <v>46280</v>
      </c>
      <c r="ABF24" s="89"/>
      <c r="ABG24" s="82"/>
      <c r="ABI24" s="84"/>
      <c r="ABJ24" s="87"/>
      <c r="ABK24" s="87"/>
      <c r="ABL24" s="87">
        <f t="shared" si="90"/>
        <v>0</v>
      </c>
      <c r="ABM24" s="80">
        <v>46280</v>
      </c>
      <c r="ABN24" s="89"/>
      <c r="ABO24" s="82"/>
      <c r="ABQ24" s="84"/>
      <c r="ABR24" s="87"/>
      <c r="ABS24" s="87"/>
      <c r="ABT24" s="87">
        <f t="shared" si="91"/>
        <v>0</v>
      </c>
      <c r="ABU24" s="80">
        <v>46280</v>
      </c>
      <c r="ABV24" s="89"/>
      <c r="ABW24" s="82"/>
      <c r="ABY24" s="84"/>
      <c r="ABZ24" s="87"/>
      <c r="ACA24" s="87"/>
      <c r="ACB24" s="87">
        <f t="shared" si="92"/>
        <v>0</v>
      </c>
      <c r="ACC24" s="80">
        <v>46280</v>
      </c>
      <c r="ACD24" s="89"/>
      <c r="ACE24" s="82"/>
    </row>
    <row r="25" spans="1:759" ht="12" customHeight="1" thickBot="1" x14ac:dyDescent="0.3">
      <c r="A25" s="84"/>
      <c r="B25" s="350"/>
      <c r="C25" s="222"/>
      <c r="D25" s="87">
        <f t="shared" si="2"/>
        <v>1700</v>
      </c>
      <c r="E25" s="80">
        <v>46280</v>
      </c>
      <c r="F25" s="374"/>
      <c r="G25" s="382"/>
      <c r="H25" s="72"/>
      <c r="I25" s="84"/>
      <c r="J25" s="87"/>
      <c r="K25" s="87"/>
      <c r="L25" s="87">
        <f t="shared" si="0"/>
        <v>1000</v>
      </c>
      <c r="M25" s="163">
        <v>46280</v>
      </c>
      <c r="N25" s="220"/>
      <c r="O25" s="82"/>
      <c r="P25" s="110"/>
      <c r="Q25" s="84"/>
      <c r="R25" s="222"/>
      <c r="S25" s="222"/>
      <c r="T25" s="87">
        <f t="shared" si="1"/>
        <v>4000</v>
      </c>
      <c r="U25" s="80">
        <v>46280</v>
      </c>
      <c r="V25" s="220"/>
      <c r="W25" s="82"/>
      <c r="X25" s="344"/>
      <c r="Y25" s="84"/>
      <c r="Z25" s="222"/>
      <c r="AA25" s="222"/>
      <c r="AB25" s="222">
        <f t="shared" si="3"/>
        <v>1000</v>
      </c>
      <c r="AC25" s="80">
        <v>46280</v>
      </c>
      <c r="AD25" s="220"/>
      <c r="AE25" s="82"/>
      <c r="AF25" s="162"/>
      <c r="AG25" s="84"/>
      <c r="AH25" s="222"/>
      <c r="AI25" s="222"/>
      <c r="AJ25" s="87">
        <f t="shared" si="4"/>
        <v>2000</v>
      </c>
      <c r="AK25" s="80">
        <v>46280</v>
      </c>
      <c r="AL25" s="220"/>
      <c r="AM25" s="82"/>
      <c r="AN25" s="105"/>
      <c r="AO25" s="84"/>
      <c r="AP25" s="222"/>
      <c r="AQ25" s="222"/>
      <c r="AR25" s="87">
        <f t="shared" si="5"/>
        <v>1000</v>
      </c>
      <c r="AS25" s="80">
        <v>46280</v>
      </c>
      <c r="AT25" s="220"/>
      <c r="AU25" s="82"/>
      <c r="AV25"/>
      <c r="AW25" s="84"/>
      <c r="AX25" s="222"/>
      <c r="AY25" s="222"/>
      <c r="AZ25" s="87">
        <f t="shared" si="6"/>
        <v>1150</v>
      </c>
      <c r="BA25" s="80">
        <v>46280</v>
      </c>
      <c r="BB25" s="374"/>
      <c r="BC25" s="82"/>
      <c r="BD25" s="351"/>
      <c r="BE25" s="84"/>
      <c r="BF25" s="87"/>
      <c r="BG25" s="87"/>
      <c r="BH25" s="87">
        <f t="shared" si="7"/>
        <v>7000</v>
      </c>
      <c r="BI25" s="80">
        <v>46280</v>
      </c>
      <c r="BJ25" s="220"/>
      <c r="BK25" s="82"/>
      <c r="BL25" s="355"/>
      <c r="BM25" s="84"/>
      <c r="BN25" s="222"/>
      <c r="BO25" s="222"/>
      <c r="BP25" s="87">
        <f t="shared" si="8"/>
        <v>1000</v>
      </c>
      <c r="BQ25" s="80">
        <v>46280</v>
      </c>
      <c r="BR25" s="220"/>
      <c r="BS25" s="82"/>
      <c r="BT25" s="391"/>
      <c r="BU25" s="84"/>
      <c r="BV25" s="87"/>
      <c r="BW25" s="87"/>
      <c r="BX25" s="87">
        <f t="shared" si="9"/>
        <v>0</v>
      </c>
      <c r="BY25" s="80">
        <v>46280</v>
      </c>
      <c r="BZ25" s="220"/>
      <c r="CA25" s="82"/>
      <c r="CB25" s="72"/>
      <c r="CC25" s="84"/>
      <c r="CD25" s="87"/>
      <c r="CE25" s="87"/>
      <c r="CF25" s="87">
        <f t="shared" si="10"/>
        <v>0</v>
      </c>
      <c r="CG25" s="88">
        <v>46295</v>
      </c>
      <c r="CH25" s="220"/>
      <c r="CI25" s="82"/>
      <c r="CJ25" s="72"/>
      <c r="CK25" s="84"/>
      <c r="CL25" s="222"/>
      <c r="CM25" s="222"/>
      <c r="CN25" s="87">
        <f t="shared" si="11"/>
        <v>0</v>
      </c>
      <c r="CO25" s="88">
        <v>46295</v>
      </c>
      <c r="CP25" s="220"/>
      <c r="CQ25" s="82"/>
      <c r="CR25" s="72"/>
      <c r="CS25" s="84"/>
      <c r="CT25" s="87"/>
      <c r="CU25" s="87"/>
      <c r="CV25" s="87">
        <f t="shared" si="12"/>
        <v>0</v>
      </c>
      <c r="CW25" s="88">
        <v>46295</v>
      </c>
      <c r="CX25" s="220"/>
      <c r="CY25" s="82"/>
      <c r="CZ25" s="282"/>
      <c r="DA25" s="84"/>
      <c r="DB25" s="87"/>
      <c r="DC25" s="222"/>
      <c r="DD25" s="87">
        <f t="shared" si="13"/>
        <v>0</v>
      </c>
      <c r="DE25" s="88">
        <v>46295</v>
      </c>
      <c r="DF25" s="220"/>
      <c r="DG25" s="82"/>
      <c r="DI25" s="84"/>
      <c r="DJ25" s="87"/>
      <c r="DK25" s="87"/>
      <c r="DL25" s="87">
        <f t="shared" si="14"/>
        <v>0</v>
      </c>
      <c r="DM25" s="80">
        <v>46280</v>
      </c>
      <c r="DN25" s="220"/>
      <c r="DO25" s="82"/>
      <c r="DP25" s="72"/>
      <c r="DQ25" s="84"/>
      <c r="DR25" s="222"/>
      <c r="DS25" s="222"/>
      <c r="DT25" s="87">
        <f t="shared" si="15"/>
        <v>0</v>
      </c>
      <c r="DU25" s="80">
        <v>46280</v>
      </c>
      <c r="DV25" s="220"/>
      <c r="DW25" s="82"/>
      <c r="DX25" s="72"/>
      <c r="DY25" s="84"/>
      <c r="DZ25" s="222"/>
      <c r="EA25" s="222"/>
      <c r="EB25" s="87">
        <f t="shared" si="16"/>
        <v>0</v>
      </c>
      <c r="EC25" s="80">
        <v>46280</v>
      </c>
      <c r="ED25" s="220"/>
      <c r="EE25" s="82"/>
      <c r="EF25" s="72"/>
      <c r="EG25" s="84"/>
      <c r="EH25" s="87"/>
      <c r="EI25" s="87"/>
      <c r="EJ25" s="87">
        <f t="shared" si="17"/>
        <v>0</v>
      </c>
      <c r="EK25" s="80">
        <v>46280</v>
      </c>
      <c r="EL25" s="220"/>
      <c r="EM25" s="82"/>
      <c r="EN25" s="355"/>
      <c r="EO25" s="84"/>
      <c r="EP25" s="87"/>
      <c r="EQ25" s="87"/>
      <c r="ER25" s="87">
        <f t="shared" si="18"/>
        <v>0</v>
      </c>
      <c r="ES25" s="80">
        <v>46280</v>
      </c>
      <c r="ET25" s="220"/>
      <c r="EU25" s="82"/>
      <c r="EW25" s="84"/>
      <c r="EX25" s="222"/>
      <c r="EY25" s="222"/>
      <c r="EZ25" s="87">
        <f t="shared" si="19"/>
        <v>0</v>
      </c>
      <c r="FA25" s="80">
        <v>46280</v>
      </c>
      <c r="FB25" s="220"/>
      <c r="FC25" s="82"/>
      <c r="FE25" s="84"/>
      <c r="FF25" s="87"/>
      <c r="FG25" s="87"/>
      <c r="FH25" s="87">
        <f t="shared" si="93"/>
        <v>0</v>
      </c>
      <c r="FI25" s="80">
        <v>46280</v>
      </c>
      <c r="FJ25" s="220"/>
      <c r="FK25" s="82"/>
      <c r="FL25" s="198"/>
      <c r="FM25" s="84"/>
      <c r="FN25" s="87"/>
      <c r="FO25" s="87"/>
      <c r="FP25" s="87">
        <f t="shared" si="20"/>
        <v>0</v>
      </c>
      <c r="FQ25" s="80">
        <v>46280</v>
      </c>
      <c r="FR25" s="220"/>
      <c r="FS25" s="82"/>
      <c r="FT25" s="59"/>
      <c r="FU25" s="84"/>
      <c r="FV25" s="87"/>
      <c r="FW25" s="87"/>
      <c r="FX25" s="87">
        <f t="shared" si="21"/>
        <v>0</v>
      </c>
      <c r="FY25" s="163">
        <v>46280</v>
      </c>
      <c r="FZ25" s="220"/>
      <c r="GA25" s="82"/>
      <c r="GB25" s="197"/>
      <c r="GC25" s="84"/>
      <c r="GD25" s="87"/>
      <c r="GE25" s="87"/>
      <c r="GF25" s="87">
        <f t="shared" si="22"/>
        <v>0</v>
      </c>
      <c r="GG25" s="80">
        <v>46280</v>
      </c>
      <c r="GH25" s="220"/>
      <c r="GI25" s="82"/>
      <c r="GJ25"/>
      <c r="GK25" s="84"/>
      <c r="GL25" s="87"/>
      <c r="GM25" s="87"/>
      <c r="GN25" s="87">
        <f t="shared" si="23"/>
        <v>0</v>
      </c>
      <c r="GO25" s="88">
        <v>46295</v>
      </c>
      <c r="GP25" s="220"/>
      <c r="GQ25" s="82"/>
      <c r="GS25" s="84"/>
      <c r="GT25" s="222"/>
      <c r="GU25" s="222"/>
      <c r="GV25" s="87">
        <f t="shared" si="24"/>
        <v>0</v>
      </c>
      <c r="GW25" s="88">
        <v>46295</v>
      </c>
      <c r="GX25" s="89"/>
      <c r="GY25" s="82"/>
      <c r="GZ25"/>
      <c r="HA25" s="84"/>
      <c r="HB25" s="87"/>
      <c r="HC25" s="87"/>
      <c r="HD25" s="87">
        <f t="shared" si="25"/>
        <v>0</v>
      </c>
      <c r="HE25" s="88">
        <v>46295</v>
      </c>
      <c r="HF25" s="220"/>
      <c r="HG25" s="82"/>
      <c r="HI25" s="84"/>
      <c r="HJ25" s="87"/>
      <c r="HK25" s="87"/>
      <c r="HL25" s="87">
        <f t="shared" si="26"/>
        <v>0</v>
      </c>
      <c r="HM25" s="88">
        <v>46295</v>
      </c>
      <c r="HN25" s="220"/>
      <c r="HO25" s="82"/>
      <c r="HP25" s="198"/>
      <c r="HQ25" s="84"/>
      <c r="HR25" s="87"/>
      <c r="HS25" s="87"/>
      <c r="HT25" s="87">
        <f t="shared" si="27"/>
        <v>0</v>
      </c>
      <c r="HU25" s="88">
        <v>46295</v>
      </c>
      <c r="HV25" s="220"/>
      <c r="HW25" s="82"/>
      <c r="HY25" s="84"/>
      <c r="HZ25" s="87"/>
      <c r="IA25" s="87"/>
      <c r="IB25" s="87">
        <f t="shared" si="28"/>
        <v>0</v>
      </c>
      <c r="IC25" s="88">
        <v>46291</v>
      </c>
      <c r="ID25" s="220"/>
      <c r="IE25" s="82"/>
      <c r="IF25"/>
      <c r="IG25" s="84"/>
      <c r="IH25" s="87"/>
      <c r="II25" s="87"/>
      <c r="IJ25" s="87">
        <f t="shared" si="29"/>
        <v>0</v>
      </c>
      <c r="IK25" s="88">
        <v>46295</v>
      </c>
      <c r="IL25" s="91"/>
      <c r="IM25" s="82"/>
      <c r="IO25" s="84"/>
      <c r="IP25" s="87"/>
      <c r="IQ25" s="87"/>
      <c r="IR25" s="87">
        <f t="shared" si="30"/>
        <v>0</v>
      </c>
      <c r="IS25" s="88">
        <v>46295</v>
      </c>
      <c r="IT25" s="91"/>
      <c r="IU25" s="82"/>
      <c r="IW25" s="84"/>
      <c r="IX25" s="87"/>
      <c r="IY25" s="87"/>
      <c r="IZ25" s="87">
        <f t="shared" si="31"/>
        <v>0</v>
      </c>
      <c r="JA25" s="88">
        <v>46295</v>
      </c>
      <c r="JB25" s="89"/>
      <c r="JC25" s="82"/>
      <c r="JE25" s="84"/>
      <c r="JF25" s="87"/>
      <c r="JG25" s="87"/>
      <c r="JH25" s="87">
        <f t="shared" si="32"/>
        <v>0</v>
      </c>
      <c r="JI25" s="88">
        <v>46295</v>
      </c>
      <c r="JJ25" s="220"/>
      <c r="JK25" s="42"/>
      <c r="JM25" s="84"/>
      <c r="JN25" s="87"/>
      <c r="JO25" s="87"/>
      <c r="JP25" s="87">
        <f t="shared" si="33"/>
        <v>0</v>
      </c>
      <c r="JQ25" s="163">
        <v>46295</v>
      </c>
      <c r="JR25" s="89"/>
      <c r="JS25" s="82"/>
      <c r="JU25" s="84"/>
      <c r="JV25" s="87"/>
      <c r="JW25" s="87"/>
      <c r="JX25" s="87">
        <f t="shared" si="94"/>
        <v>0</v>
      </c>
      <c r="JY25" s="163">
        <v>46295</v>
      </c>
      <c r="JZ25" s="91"/>
      <c r="KA25" s="82"/>
      <c r="KC25" s="84"/>
      <c r="KD25" s="87"/>
      <c r="KE25" s="87"/>
      <c r="KF25" s="87">
        <f t="shared" si="34"/>
        <v>0</v>
      </c>
      <c r="KG25" s="163">
        <v>46295</v>
      </c>
      <c r="KH25" s="222"/>
      <c r="KI25" s="109"/>
      <c r="KK25" s="84"/>
      <c r="KL25" s="87"/>
      <c r="KM25" s="87"/>
      <c r="KN25" s="87">
        <f t="shared" si="35"/>
        <v>0</v>
      </c>
      <c r="KO25" s="163">
        <v>46295</v>
      </c>
      <c r="KP25" s="89"/>
      <c r="KQ25" s="82"/>
      <c r="KS25" s="84"/>
      <c r="KT25" s="87"/>
      <c r="KU25" s="87"/>
      <c r="KV25" s="87">
        <f t="shared" si="36"/>
        <v>0</v>
      </c>
      <c r="KW25" s="88">
        <v>46295</v>
      </c>
      <c r="KX25" s="89"/>
      <c r="KY25" s="82"/>
      <c r="LA25" s="84"/>
      <c r="LB25" s="87"/>
      <c r="LC25" s="87"/>
      <c r="LD25" s="87">
        <f t="shared" si="37"/>
        <v>0</v>
      </c>
      <c r="LE25" s="163">
        <v>46295</v>
      </c>
      <c r="LF25" s="91"/>
      <c r="LG25" s="82"/>
      <c r="LH25"/>
      <c r="LI25" s="84"/>
      <c r="LJ25" s="87"/>
      <c r="LK25" s="87"/>
      <c r="LL25" s="87">
        <f t="shared" si="38"/>
        <v>0</v>
      </c>
      <c r="LM25" s="88">
        <v>46295</v>
      </c>
      <c r="LN25" s="89"/>
      <c r="LO25" s="82"/>
      <c r="LQ25" s="84"/>
      <c r="LR25" s="87"/>
      <c r="LS25" s="87"/>
      <c r="LT25" s="87">
        <f t="shared" si="39"/>
        <v>0</v>
      </c>
      <c r="LU25" s="88">
        <v>46295</v>
      </c>
      <c r="LV25" s="89"/>
      <c r="LW25" s="82"/>
      <c r="LY25" s="84"/>
      <c r="LZ25" s="87"/>
      <c r="MA25" s="87"/>
      <c r="MB25" s="87">
        <f t="shared" si="40"/>
        <v>0</v>
      </c>
      <c r="MC25" s="88">
        <v>46295</v>
      </c>
      <c r="MD25" s="89"/>
      <c r="ME25" s="82"/>
      <c r="MG25" s="84"/>
      <c r="MH25" s="87"/>
      <c r="MI25" s="87"/>
      <c r="MJ25" s="87">
        <f t="shared" si="41"/>
        <v>0</v>
      </c>
      <c r="MK25" s="88">
        <v>46295</v>
      </c>
      <c r="ML25" s="89"/>
      <c r="MM25" s="82"/>
      <c r="MN25" s="43"/>
      <c r="MO25" s="103"/>
      <c r="MP25" s="86"/>
      <c r="MQ25" s="86"/>
      <c r="MR25" s="86">
        <f t="shared" si="42"/>
        <v>0</v>
      </c>
      <c r="MS25" s="104">
        <v>46295</v>
      </c>
      <c r="MT25" s="91"/>
      <c r="MU25" s="82"/>
      <c r="MW25" s="84"/>
      <c r="MX25" s="87"/>
      <c r="MY25" s="87"/>
      <c r="MZ25" s="87">
        <f t="shared" si="43"/>
        <v>0</v>
      </c>
      <c r="NA25" s="88">
        <v>46295</v>
      </c>
      <c r="NB25" s="89"/>
      <c r="NC25" s="82"/>
      <c r="NE25" s="84"/>
      <c r="NF25" s="87"/>
      <c r="NG25" s="87"/>
      <c r="NH25" s="87">
        <f t="shared" si="44"/>
        <v>0</v>
      </c>
      <c r="NI25" s="88">
        <v>46295</v>
      </c>
      <c r="NJ25" s="89"/>
      <c r="NK25" s="82"/>
      <c r="NM25" s="84"/>
      <c r="NN25" s="87"/>
      <c r="NO25" s="87"/>
      <c r="NP25" s="87">
        <f t="shared" si="45"/>
        <v>0</v>
      </c>
      <c r="NQ25" s="88">
        <v>46295</v>
      </c>
      <c r="NR25" s="91"/>
      <c r="NS25" s="82"/>
      <c r="NT25" s="187"/>
      <c r="NU25" s="84"/>
      <c r="NV25" s="87"/>
      <c r="NW25" s="87"/>
      <c r="NX25" s="87">
        <f t="shared" si="46"/>
        <v>0</v>
      </c>
      <c r="NY25" s="88">
        <v>46295</v>
      </c>
      <c r="NZ25" s="89"/>
      <c r="OA25" s="82"/>
      <c r="OC25" s="84"/>
      <c r="OD25" s="87"/>
      <c r="OE25" s="87"/>
      <c r="OF25" s="87">
        <f t="shared" si="47"/>
        <v>0</v>
      </c>
      <c r="OG25" s="88">
        <v>46295</v>
      </c>
      <c r="OH25" s="89"/>
      <c r="OI25" s="82"/>
      <c r="OK25" s="84"/>
      <c r="OL25" s="87"/>
      <c r="OM25" s="87"/>
      <c r="ON25" s="87">
        <f t="shared" si="48"/>
        <v>0</v>
      </c>
      <c r="OO25" s="88">
        <v>46295</v>
      </c>
      <c r="OP25" s="91"/>
      <c r="OQ25" s="82"/>
      <c r="OR25" s="285"/>
      <c r="OS25" s="84"/>
      <c r="OT25" s="87"/>
      <c r="OU25" s="87"/>
      <c r="OV25" s="87">
        <f t="shared" si="49"/>
        <v>0</v>
      </c>
      <c r="OW25" s="88">
        <v>46295</v>
      </c>
      <c r="OX25" s="89"/>
      <c r="OY25" s="82"/>
      <c r="PA25" s="84"/>
      <c r="PB25" s="87"/>
      <c r="PC25" s="87"/>
      <c r="PD25" s="87">
        <f t="shared" si="50"/>
        <v>0</v>
      </c>
      <c r="PE25" s="88">
        <v>46295</v>
      </c>
      <c r="PF25" s="89"/>
      <c r="PG25" s="82"/>
      <c r="PH25"/>
      <c r="PI25" s="84"/>
      <c r="PJ25" s="87"/>
      <c r="PK25" s="87"/>
      <c r="PL25" s="87">
        <f t="shared" si="51"/>
        <v>0</v>
      </c>
      <c r="PM25" s="88">
        <v>46295</v>
      </c>
      <c r="PN25" s="211"/>
      <c r="PO25" s="216"/>
      <c r="PP25"/>
      <c r="PQ25" s="84"/>
      <c r="PR25" s="87"/>
      <c r="PS25" s="87"/>
      <c r="PT25" s="87">
        <f t="shared" si="52"/>
        <v>0</v>
      </c>
      <c r="PU25" s="88">
        <v>46295</v>
      </c>
      <c r="PV25" s="89"/>
      <c r="PW25" s="82"/>
      <c r="PY25" s="84"/>
      <c r="PZ25" s="87"/>
      <c r="QA25" s="87"/>
      <c r="QB25" s="87">
        <f t="shared" si="53"/>
        <v>0</v>
      </c>
      <c r="QC25" s="88">
        <v>46295</v>
      </c>
      <c r="QD25" s="91"/>
      <c r="QE25" s="82"/>
      <c r="QG25" s="84"/>
      <c r="QH25" s="87"/>
      <c r="QI25" s="87"/>
      <c r="QJ25" s="87">
        <f t="shared" si="54"/>
        <v>0</v>
      </c>
      <c r="QK25" s="88">
        <v>46295</v>
      </c>
      <c r="QL25" s="89"/>
      <c r="QM25" s="82"/>
      <c r="QO25" s="84"/>
      <c r="QP25" s="87"/>
      <c r="QQ25" s="87"/>
      <c r="QR25" s="87">
        <f t="shared" si="55"/>
        <v>0</v>
      </c>
      <c r="QS25" s="88">
        <v>46295</v>
      </c>
      <c r="QT25" s="211"/>
      <c r="QU25" s="216"/>
      <c r="QW25" s="84"/>
      <c r="QX25" s="87"/>
      <c r="QY25" s="87"/>
      <c r="QZ25" s="87">
        <f t="shared" si="56"/>
        <v>0</v>
      </c>
      <c r="RA25" s="88">
        <v>46295</v>
      </c>
      <c r="RB25" s="89"/>
      <c r="RC25" s="82"/>
      <c r="RE25" s="84"/>
      <c r="RF25" s="87"/>
      <c r="RG25" s="87"/>
      <c r="RH25" s="87">
        <f t="shared" si="57"/>
        <v>0</v>
      </c>
      <c r="RI25" s="88">
        <v>46295</v>
      </c>
      <c r="RJ25" s="89"/>
      <c r="RK25" s="170"/>
      <c r="RM25" s="84"/>
      <c r="RN25" s="87"/>
      <c r="RO25" s="87"/>
      <c r="RP25" s="87">
        <f t="shared" si="58"/>
        <v>0</v>
      </c>
      <c r="RQ25" s="88">
        <v>46295</v>
      </c>
      <c r="RR25" s="89"/>
      <c r="RS25" s="191"/>
      <c r="RT25" s="172"/>
      <c r="RU25" s="84"/>
      <c r="RV25" s="87"/>
      <c r="RW25" s="87"/>
      <c r="RX25" s="87">
        <f t="shared" si="59"/>
        <v>0</v>
      </c>
      <c r="RY25" s="88">
        <v>46295</v>
      </c>
      <c r="RZ25" s="89"/>
      <c r="SA25" s="82"/>
      <c r="SC25" s="84"/>
      <c r="SD25" s="87"/>
      <c r="SE25" s="87"/>
      <c r="SF25" s="87">
        <f t="shared" si="60"/>
        <v>0</v>
      </c>
      <c r="SG25" s="88">
        <v>46295</v>
      </c>
      <c r="SH25" s="89"/>
      <c r="SI25" s="82"/>
      <c r="SK25" s="84"/>
      <c r="SL25" s="87"/>
      <c r="SM25" s="87"/>
      <c r="SN25" s="87">
        <f t="shared" si="61"/>
        <v>0</v>
      </c>
      <c r="SO25" s="88">
        <v>46295</v>
      </c>
      <c r="SP25" s="89"/>
      <c r="SQ25" s="82"/>
      <c r="SS25" s="84"/>
      <c r="ST25" s="87"/>
      <c r="SU25" s="87"/>
      <c r="SV25" s="87">
        <f t="shared" si="62"/>
        <v>0</v>
      </c>
      <c r="SW25" s="88">
        <v>46295</v>
      </c>
      <c r="SX25" s="89"/>
      <c r="SY25" s="82"/>
      <c r="TA25" s="84"/>
      <c r="TB25" s="87"/>
      <c r="TC25" s="87"/>
      <c r="TD25" s="87">
        <f t="shared" si="63"/>
        <v>0</v>
      </c>
      <c r="TE25" s="88">
        <v>46295</v>
      </c>
      <c r="TF25" s="91"/>
      <c r="TG25" s="82"/>
      <c r="TI25" s="84"/>
      <c r="TJ25" s="87"/>
      <c r="TK25" s="87"/>
      <c r="TL25" s="87">
        <f t="shared" si="64"/>
        <v>0</v>
      </c>
      <c r="TM25" s="88">
        <v>46295</v>
      </c>
      <c r="TN25" s="89"/>
      <c r="TO25" s="82"/>
      <c r="TP25"/>
      <c r="TQ25" s="84"/>
      <c r="TR25" s="87"/>
      <c r="TS25" s="87"/>
      <c r="TT25" s="87">
        <f t="shared" si="65"/>
        <v>0</v>
      </c>
      <c r="TU25" s="88">
        <v>46295</v>
      </c>
      <c r="TV25" s="91"/>
      <c r="TW25" s="82"/>
      <c r="TY25" s="84"/>
      <c r="TZ25" s="87"/>
      <c r="UA25" s="87"/>
      <c r="UB25" s="87">
        <f t="shared" si="66"/>
        <v>0</v>
      </c>
      <c r="UC25" s="88">
        <v>46295</v>
      </c>
      <c r="UD25" s="91"/>
      <c r="UE25" s="82"/>
      <c r="UG25" s="84"/>
      <c r="UH25" s="87"/>
      <c r="UI25" s="87"/>
      <c r="UJ25" s="87">
        <f t="shared" si="67"/>
        <v>0</v>
      </c>
      <c r="UK25" s="88">
        <v>46295</v>
      </c>
      <c r="UL25" s="89"/>
      <c r="UM25" s="82"/>
      <c r="UN25"/>
      <c r="UO25" s="84"/>
      <c r="UP25" s="87"/>
      <c r="UQ25" s="87"/>
      <c r="UR25" s="87">
        <f t="shared" si="68"/>
        <v>0</v>
      </c>
      <c r="US25" s="88">
        <v>46295</v>
      </c>
      <c r="UT25" s="89"/>
      <c r="UU25" s="82"/>
      <c r="UW25" s="84"/>
      <c r="UX25" s="87"/>
      <c r="UY25" s="87"/>
      <c r="UZ25" s="87">
        <f t="shared" si="69"/>
        <v>0</v>
      </c>
      <c r="VA25" s="88">
        <v>46295</v>
      </c>
      <c r="VB25" s="188"/>
      <c r="VC25" s="82"/>
      <c r="VE25" s="84"/>
      <c r="VF25" s="87"/>
      <c r="VG25" s="87"/>
      <c r="VH25" s="87">
        <f t="shared" si="70"/>
        <v>0</v>
      </c>
      <c r="VI25" s="88">
        <v>46295</v>
      </c>
      <c r="VJ25" s="89"/>
      <c r="VK25" s="82"/>
      <c r="VM25" s="84"/>
      <c r="VN25" s="87"/>
      <c r="VO25" s="87"/>
      <c r="VP25" s="87">
        <f t="shared" si="71"/>
        <v>0</v>
      </c>
      <c r="VQ25" s="88">
        <v>46295</v>
      </c>
      <c r="VR25" s="91"/>
      <c r="VS25" s="82"/>
      <c r="VU25" s="84"/>
      <c r="VV25" s="87"/>
      <c r="VW25" s="87"/>
      <c r="VX25" s="87">
        <f t="shared" si="72"/>
        <v>0</v>
      </c>
      <c r="VY25" s="88">
        <v>46295</v>
      </c>
      <c r="VZ25" s="89"/>
      <c r="WA25" s="82"/>
      <c r="WC25" s="84"/>
      <c r="WD25" s="87"/>
      <c r="WE25" s="87"/>
      <c r="WF25" s="87">
        <f t="shared" si="73"/>
        <v>0</v>
      </c>
      <c r="WG25" s="88">
        <v>46295</v>
      </c>
      <c r="WH25" s="89"/>
      <c r="WI25" s="82"/>
      <c r="WJ25"/>
      <c r="WK25" s="84"/>
      <c r="WL25" s="87"/>
      <c r="WM25" s="87"/>
      <c r="WN25" s="87">
        <f t="shared" si="74"/>
        <v>0</v>
      </c>
      <c r="WO25" s="88">
        <v>46295</v>
      </c>
      <c r="WP25" s="89"/>
      <c r="WQ25" s="82"/>
      <c r="WS25" s="84"/>
      <c r="WT25" s="87"/>
      <c r="WU25" s="87"/>
      <c r="WV25" s="87">
        <f t="shared" si="75"/>
        <v>0</v>
      </c>
      <c r="WW25" s="88">
        <v>46295</v>
      </c>
      <c r="WX25" s="91"/>
      <c r="WY25" s="82"/>
      <c r="XA25" s="84"/>
      <c r="XB25" s="87"/>
      <c r="XC25" s="87"/>
      <c r="XD25" s="87">
        <f t="shared" si="76"/>
        <v>0</v>
      </c>
      <c r="XE25" s="88">
        <v>46295</v>
      </c>
      <c r="XF25" s="91"/>
      <c r="XG25" s="82"/>
      <c r="XH25" s="187"/>
      <c r="XI25" s="84"/>
      <c r="XJ25" s="87"/>
      <c r="XK25" s="87"/>
      <c r="XL25" s="87">
        <f t="shared" si="77"/>
        <v>0</v>
      </c>
      <c r="XM25" s="88">
        <v>46295</v>
      </c>
      <c r="XN25" s="91"/>
      <c r="XO25" s="82"/>
      <c r="XQ25" s="84"/>
      <c r="XR25" s="87"/>
      <c r="XS25" s="87"/>
      <c r="XT25" s="87">
        <f t="shared" si="78"/>
        <v>0</v>
      </c>
      <c r="XU25" s="88">
        <v>46295</v>
      </c>
      <c r="XV25" s="91"/>
      <c r="XW25" s="82"/>
      <c r="XY25" s="84"/>
      <c r="XZ25" s="87"/>
      <c r="YA25" s="87"/>
      <c r="YB25" s="87">
        <f t="shared" si="79"/>
        <v>0</v>
      </c>
      <c r="YC25" s="88">
        <v>46295</v>
      </c>
      <c r="YD25" s="89"/>
      <c r="YE25" s="82"/>
      <c r="YG25" s="84"/>
      <c r="YH25" s="87"/>
      <c r="YI25" s="87"/>
      <c r="YJ25" s="87">
        <f t="shared" si="80"/>
        <v>0</v>
      </c>
      <c r="YK25" s="88">
        <v>46295</v>
      </c>
      <c r="YL25" s="89"/>
      <c r="YM25" s="82"/>
      <c r="YO25" s="84"/>
      <c r="YP25" s="87"/>
      <c r="YQ25" s="87"/>
      <c r="YR25" s="87">
        <f t="shared" si="81"/>
        <v>0</v>
      </c>
      <c r="YS25" s="88">
        <v>46295</v>
      </c>
      <c r="YT25" s="89"/>
      <c r="YU25" s="82"/>
      <c r="YW25" s="84"/>
      <c r="YX25" s="87"/>
      <c r="YY25" s="87"/>
      <c r="YZ25" s="87">
        <f t="shared" si="82"/>
        <v>0</v>
      </c>
      <c r="ZA25" s="88">
        <v>46295</v>
      </c>
      <c r="ZB25" s="89"/>
      <c r="ZC25" s="82"/>
      <c r="ZE25" s="84"/>
      <c r="ZF25" s="87"/>
      <c r="ZG25" s="87"/>
      <c r="ZH25" s="87">
        <f t="shared" si="83"/>
        <v>0</v>
      </c>
      <c r="ZI25" s="88">
        <v>46295</v>
      </c>
      <c r="ZJ25" s="89"/>
      <c r="ZK25" s="82"/>
      <c r="ZM25" s="84"/>
      <c r="ZN25" s="87"/>
      <c r="ZO25" s="87"/>
      <c r="ZP25" s="87">
        <f t="shared" si="84"/>
        <v>0</v>
      </c>
      <c r="ZQ25" s="88">
        <v>46295</v>
      </c>
      <c r="ZR25" s="89"/>
      <c r="ZS25" s="82"/>
      <c r="ZU25" s="84"/>
      <c r="ZV25" s="87"/>
      <c r="ZW25" s="87"/>
      <c r="ZX25" s="87">
        <f t="shared" si="85"/>
        <v>0</v>
      </c>
      <c r="ZY25" s="88">
        <v>46295</v>
      </c>
      <c r="ZZ25" s="89"/>
      <c r="AAA25" s="82"/>
      <c r="AAC25" s="84"/>
      <c r="AAD25" s="87"/>
      <c r="AAE25" s="87"/>
      <c r="AAF25" s="87">
        <f t="shared" si="86"/>
        <v>0</v>
      </c>
      <c r="AAG25" s="88">
        <v>46295</v>
      </c>
      <c r="AAH25" s="89"/>
      <c r="AAI25" s="82"/>
      <c r="AAK25" s="84"/>
      <c r="AAL25" s="87"/>
      <c r="AAM25" s="87"/>
      <c r="AAN25" s="87">
        <f t="shared" si="87"/>
        <v>0</v>
      </c>
      <c r="AAO25" s="88">
        <v>46295</v>
      </c>
      <c r="AAP25" s="89"/>
      <c r="AAQ25" s="82"/>
      <c r="AAS25" s="84"/>
      <c r="AAT25" s="87"/>
      <c r="AAU25" s="87"/>
      <c r="AAV25" s="87">
        <f t="shared" si="88"/>
        <v>0</v>
      </c>
      <c r="AAW25" s="88">
        <v>46295</v>
      </c>
      <c r="AAX25" s="89"/>
      <c r="AAY25" s="82"/>
      <c r="ABA25" s="84"/>
      <c r="ABB25" s="87"/>
      <c r="ABC25" s="87"/>
      <c r="ABD25" s="87">
        <f t="shared" si="89"/>
        <v>0</v>
      </c>
      <c r="ABE25" s="88">
        <v>46295</v>
      </c>
      <c r="ABF25" s="89"/>
      <c r="ABG25" s="82"/>
      <c r="ABI25" s="84"/>
      <c r="ABJ25" s="87"/>
      <c r="ABK25" s="87"/>
      <c r="ABL25" s="87">
        <f t="shared" si="90"/>
        <v>0</v>
      </c>
      <c r="ABM25" s="88">
        <v>46295</v>
      </c>
      <c r="ABN25" s="89"/>
      <c r="ABO25" s="82"/>
      <c r="ABQ25" s="84"/>
      <c r="ABR25" s="87"/>
      <c r="ABS25" s="87"/>
      <c r="ABT25" s="87">
        <f t="shared" si="91"/>
        <v>0</v>
      </c>
      <c r="ABU25" s="88">
        <v>46295</v>
      </c>
      <c r="ABV25" s="89"/>
      <c r="ABW25" s="82"/>
      <c r="ABY25" s="84"/>
      <c r="ABZ25" s="87"/>
      <c r="ACA25" s="87"/>
      <c r="ACB25" s="87">
        <f t="shared" si="92"/>
        <v>0</v>
      </c>
      <c r="ACC25" s="88">
        <v>46295</v>
      </c>
      <c r="ACD25" s="89"/>
      <c r="ACE25" s="82"/>
    </row>
    <row r="26" spans="1:759" ht="12" customHeight="1" thickBot="1" x14ac:dyDescent="0.3">
      <c r="A26" s="84"/>
      <c r="B26" s="350"/>
      <c r="C26" s="222"/>
      <c r="D26" s="87">
        <f t="shared" si="2"/>
        <v>1700</v>
      </c>
      <c r="E26" s="88">
        <v>46295</v>
      </c>
      <c r="F26" s="374"/>
      <c r="G26" s="382"/>
      <c r="H26" s="72"/>
      <c r="I26" s="84"/>
      <c r="J26" s="87"/>
      <c r="K26" s="87"/>
      <c r="L26" s="87">
        <f t="shared" si="0"/>
        <v>1000</v>
      </c>
      <c r="M26" s="163">
        <v>46295</v>
      </c>
      <c r="N26" s="220"/>
      <c r="O26" s="82"/>
      <c r="P26" s="110"/>
      <c r="Q26" s="84"/>
      <c r="R26" s="222"/>
      <c r="S26" s="222"/>
      <c r="T26" s="87">
        <f t="shared" si="1"/>
        <v>4000</v>
      </c>
      <c r="U26" s="88">
        <v>46295</v>
      </c>
      <c r="V26" s="220"/>
      <c r="W26" s="82"/>
      <c r="X26" s="282"/>
      <c r="Y26" s="84"/>
      <c r="Z26" s="222"/>
      <c r="AA26" s="222"/>
      <c r="AB26" s="222">
        <f t="shared" si="3"/>
        <v>1000</v>
      </c>
      <c r="AC26" s="88">
        <v>46295</v>
      </c>
      <c r="AD26" s="220"/>
      <c r="AE26" s="82"/>
      <c r="AF26" s="388"/>
      <c r="AG26" s="84"/>
      <c r="AH26" s="222"/>
      <c r="AI26" s="222"/>
      <c r="AJ26" s="87">
        <f t="shared" si="4"/>
        <v>2000</v>
      </c>
      <c r="AK26" s="88">
        <v>46295</v>
      </c>
      <c r="AL26" s="220"/>
      <c r="AM26" s="82"/>
      <c r="AN26" s="105"/>
      <c r="AO26" s="84"/>
      <c r="AP26" s="222"/>
      <c r="AQ26" s="222"/>
      <c r="AR26" s="87">
        <f t="shared" si="5"/>
        <v>1000</v>
      </c>
      <c r="AS26" s="88">
        <v>46295</v>
      </c>
      <c r="AT26" s="220"/>
      <c r="AU26" s="82"/>
      <c r="AV26" s="198"/>
      <c r="AW26" s="10"/>
      <c r="AX26" s="222"/>
      <c r="AY26" s="222"/>
      <c r="AZ26" s="87">
        <f t="shared" si="6"/>
        <v>1150</v>
      </c>
      <c r="BA26" s="88">
        <v>46295</v>
      </c>
      <c r="BB26" s="374"/>
      <c r="BC26" s="82"/>
      <c r="BD26" s="351"/>
      <c r="BE26" s="84"/>
      <c r="BF26" s="87"/>
      <c r="BG26" s="87"/>
      <c r="BH26" s="87">
        <f t="shared" si="7"/>
        <v>7000</v>
      </c>
      <c r="BI26" s="88">
        <v>46295</v>
      </c>
      <c r="BJ26" s="220"/>
      <c r="BK26" s="82"/>
      <c r="BL26" s="355"/>
      <c r="BM26" s="84"/>
      <c r="BN26" s="222"/>
      <c r="BO26" s="222"/>
      <c r="BP26" s="87">
        <f t="shared" si="8"/>
        <v>1000</v>
      </c>
      <c r="BQ26" s="88">
        <v>46295</v>
      </c>
      <c r="BR26" s="220"/>
      <c r="BS26" s="82"/>
      <c r="BT26" s="172"/>
      <c r="BU26" s="90"/>
      <c r="BV26" s="87"/>
      <c r="BW26" s="87"/>
      <c r="BX26" s="87">
        <f t="shared" si="9"/>
        <v>0</v>
      </c>
      <c r="BY26" s="88">
        <v>46295</v>
      </c>
      <c r="BZ26" s="220"/>
      <c r="CA26" s="82"/>
      <c r="CB26" s="72"/>
      <c r="CC26" s="84"/>
      <c r="CD26" s="87"/>
      <c r="CE26" s="87"/>
      <c r="CF26" s="87">
        <f t="shared" si="10"/>
        <v>0</v>
      </c>
      <c r="CG26" s="93">
        <v>46310</v>
      </c>
      <c r="CH26" s="220"/>
      <c r="CI26" s="82"/>
      <c r="CJ26" s="72"/>
      <c r="CK26" s="99"/>
      <c r="CL26" s="222"/>
      <c r="CM26" s="222"/>
      <c r="CN26" s="87">
        <f t="shared" si="11"/>
        <v>0</v>
      </c>
      <c r="CO26" s="93">
        <v>46310</v>
      </c>
      <c r="CP26" s="220"/>
      <c r="CQ26" s="82"/>
      <c r="CR26" s="72"/>
      <c r="CS26" s="84"/>
      <c r="CT26" s="87"/>
      <c r="CU26" s="87"/>
      <c r="CV26" s="87">
        <f t="shared" si="12"/>
        <v>0</v>
      </c>
      <c r="CW26" s="93">
        <v>46310</v>
      </c>
      <c r="CX26" s="220"/>
      <c r="CY26" s="82"/>
      <c r="CZ26" s="124"/>
      <c r="DA26" s="84"/>
      <c r="DB26" s="87"/>
      <c r="DC26" s="87"/>
      <c r="DD26" s="87">
        <f t="shared" si="13"/>
        <v>0</v>
      </c>
      <c r="DE26" s="93">
        <v>46310</v>
      </c>
      <c r="DF26" s="220"/>
      <c r="DG26" s="82"/>
      <c r="DI26" s="84"/>
      <c r="DJ26" s="87"/>
      <c r="DK26" s="87"/>
      <c r="DL26" s="87">
        <f t="shared" si="14"/>
        <v>0</v>
      </c>
      <c r="DM26" s="88">
        <v>46295</v>
      </c>
      <c r="DN26" s="220"/>
      <c r="DO26" s="82"/>
      <c r="DP26" s="172"/>
      <c r="DQ26" s="90"/>
      <c r="DR26" s="222"/>
      <c r="DS26" s="222"/>
      <c r="DT26" s="87">
        <f t="shared" si="15"/>
        <v>0</v>
      </c>
      <c r="DU26" s="88">
        <v>46295</v>
      </c>
      <c r="DV26" s="220"/>
      <c r="DW26" s="82"/>
      <c r="DX26" s="72"/>
      <c r="DY26" s="84"/>
      <c r="DZ26" s="222"/>
      <c r="EA26" s="222"/>
      <c r="EB26" s="87">
        <f t="shared" si="16"/>
        <v>0</v>
      </c>
      <c r="EC26" s="88">
        <v>46295</v>
      </c>
      <c r="ED26" s="220"/>
      <c r="EE26" s="82"/>
      <c r="EF26" s="72"/>
      <c r="EG26" s="90"/>
      <c r="EH26" s="87"/>
      <c r="EI26" s="87"/>
      <c r="EJ26" s="87">
        <f t="shared" si="17"/>
        <v>0</v>
      </c>
      <c r="EK26" s="88">
        <v>46295</v>
      </c>
      <c r="EL26" s="220"/>
      <c r="EM26" s="82"/>
      <c r="EN26" s="355"/>
      <c r="EO26" s="90"/>
      <c r="EP26" s="87"/>
      <c r="EQ26" s="87"/>
      <c r="ER26" s="87">
        <f t="shared" si="18"/>
        <v>0</v>
      </c>
      <c r="ES26" s="88">
        <v>46295</v>
      </c>
      <c r="ET26" s="220"/>
      <c r="EU26" s="82"/>
      <c r="EW26" s="84"/>
      <c r="EX26" s="222"/>
      <c r="EY26" s="222"/>
      <c r="EZ26" s="87">
        <f t="shared" si="19"/>
        <v>0</v>
      </c>
      <c r="FA26" s="88">
        <v>46295</v>
      </c>
      <c r="FB26" s="220"/>
      <c r="FC26" s="82"/>
      <c r="FE26" s="84"/>
      <c r="FF26" s="87"/>
      <c r="FG26" s="87"/>
      <c r="FH26" s="87">
        <f t="shared" si="93"/>
        <v>0</v>
      </c>
      <c r="FI26" s="88">
        <v>46295</v>
      </c>
      <c r="FJ26" s="220"/>
      <c r="FK26" s="82"/>
      <c r="FL26" s="198"/>
      <c r="FM26" s="90"/>
      <c r="FN26" s="87"/>
      <c r="FO26" s="87"/>
      <c r="FP26" s="87">
        <f t="shared" si="20"/>
        <v>0</v>
      </c>
      <c r="FQ26" s="88">
        <v>46295</v>
      </c>
      <c r="FR26" s="220"/>
      <c r="FS26" s="82"/>
      <c r="FT26" s="59"/>
      <c r="FU26" s="84"/>
      <c r="FV26" s="87"/>
      <c r="FW26" s="87"/>
      <c r="FX26" s="87">
        <f t="shared" si="21"/>
        <v>0</v>
      </c>
      <c r="FY26" s="163">
        <v>46295</v>
      </c>
      <c r="FZ26" s="220"/>
      <c r="GA26" s="82"/>
      <c r="GB26" s="197"/>
      <c r="GC26" s="99"/>
      <c r="GD26" s="87"/>
      <c r="GE26" s="87"/>
      <c r="GF26" s="87">
        <f t="shared" si="22"/>
        <v>0</v>
      </c>
      <c r="GG26" s="88">
        <v>46295</v>
      </c>
      <c r="GH26" s="220"/>
      <c r="GI26" s="82"/>
      <c r="GJ26"/>
      <c r="GK26" s="84"/>
      <c r="GL26" s="87"/>
      <c r="GM26" s="87"/>
      <c r="GN26" s="87">
        <f t="shared" si="23"/>
        <v>0</v>
      </c>
      <c r="GO26" s="93">
        <v>46310</v>
      </c>
      <c r="GP26" s="220"/>
      <c r="GQ26" s="82"/>
      <c r="GS26" s="84"/>
      <c r="GT26" s="222"/>
      <c r="GU26" s="222"/>
      <c r="GV26" s="87">
        <f t="shared" si="24"/>
        <v>0</v>
      </c>
      <c r="GW26" s="93">
        <v>46310</v>
      </c>
      <c r="GX26" s="89"/>
      <c r="GY26" s="82"/>
      <c r="HA26" s="90"/>
      <c r="HB26" s="87"/>
      <c r="HC26" s="87"/>
      <c r="HD26" s="87">
        <f t="shared" si="25"/>
        <v>0</v>
      </c>
      <c r="HE26" s="93">
        <v>46310</v>
      </c>
      <c r="HF26" s="220"/>
      <c r="HG26" s="82"/>
      <c r="HH26" s="162"/>
      <c r="HI26" s="84"/>
      <c r="HJ26" s="87"/>
      <c r="HK26" s="87"/>
      <c r="HL26" s="87">
        <f t="shared" si="26"/>
        <v>0</v>
      </c>
      <c r="HM26" s="93">
        <v>46310</v>
      </c>
      <c r="HN26" s="220"/>
      <c r="HO26" s="82"/>
      <c r="HQ26" s="84"/>
      <c r="HR26" s="87"/>
      <c r="HS26" s="87"/>
      <c r="HT26" s="87">
        <f t="shared" si="27"/>
        <v>0</v>
      </c>
      <c r="HU26" s="93">
        <v>46310</v>
      </c>
      <c r="HV26" s="220"/>
      <c r="HW26" s="82"/>
      <c r="HY26" s="90"/>
      <c r="HZ26" s="87"/>
      <c r="IA26" s="87"/>
      <c r="IB26" s="87">
        <f t="shared" si="28"/>
        <v>0</v>
      </c>
      <c r="IC26" s="93">
        <v>46310</v>
      </c>
      <c r="ID26" s="89"/>
      <c r="IE26" s="82"/>
      <c r="IF26"/>
      <c r="IG26" s="90"/>
      <c r="IH26" s="87"/>
      <c r="II26" s="87"/>
      <c r="IJ26" s="87">
        <f t="shared" si="29"/>
        <v>0</v>
      </c>
      <c r="IK26" s="93">
        <v>46310</v>
      </c>
      <c r="IL26" s="91">
        <v>0</v>
      </c>
      <c r="IM26" s="82">
        <v>0</v>
      </c>
      <c r="IO26" s="84"/>
      <c r="IP26" s="87"/>
      <c r="IQ26" s="87"/>
      <c r="IR26" s="87">
        <f t="shared" si="30"/>
        <v>0</v>
      </c>
      <c r="IS26" s="93">
        <v>46310</v>
      </c>
      <c r="IT26" s="91"/>
      <c r="IU26" s="82"/>
      <c r="IW26" s="90"/>
      <c r="IX26" s="87"/>
      <c r="IY26" s="87"/>
      <c r="IZ26" s="87">
        <f t="shared" si="31"/>
        <v>0</v>
      </c>
      <c r="JA26" s="93">
        <v>46310</v>
      </c>
      <c r="JB26" s="89"/>
      <c r="JC26" s="82"/>
      <c r="JE26" s="90"/>
      <c r="JF26" s="87"/>
      <c r="JG26" s="87"/>
      <c r="JH26" s="87">
        <f t="shared" si="32"/>
        <v>0</v>
      </c>
      <c r="JI26" s="93">
        <v>46310</v>
      </c>
      <c r="JJ26" s="220"/>
      <c r="JK26" s="82"/>
      <c r="JM26" s="84"/>
      <c r="JN26" s="87"/>
      <c r="JO26" s="87"/>
      <c r="JP26" s="87">
        <f t="shared" si="33"/>
        <v>0</v>
      </c>
      <c r="JQ26" s="164">
        <v>46310</v>
      </c>
      <c r="JR26" s="89"/>
      <c r="JS26" s="82"/>
      <c r="JU26" s="90"/>
      <c r="JV26" s="87"/>
      <c r="JW26" s="87"/>
      <c r="JX26" s="87">
        <f t="shared" si="94"/>
        <v>0</v>
      </c>
      <c r="JY26" s="164">
        <v>46310</v>
      </c>
      <c r="JZ26" s="91"/>
      <c r="KA26" s="82"/>
      <c r="KC26" s="90"/>
      <c r="KD26" s="87"/>
      <c r="KE26" s="87"/>
      <c r="KF26" s="87">
        <f t="shared" si="34"/>
        <v>0</v>
      </c>
      <c r="KG26" s="164">
        <v>46310</v>
      </c>
      <c r="KH26" s="222"/>
      <c r="KI26" s="109"/>
      <c r="KK26" s="99"/>
      <c r="KL26" s="87"/>
      <c r="KM26" s="87"/>
      <c r="KN26" s="87">
        <f t="shared" si="35"/>
        <v>0</v>
      </c>
      <c r="KO26" s="164">
        <v>46310</v>
      </c>
      <c r="KP26" s="89"/>
      <c r="KQ26" s="82"/>
      <c r="KS26" s="84"/>
      <c r="KT26" s="87"/>
      <c r="KU26" s="87"/>
      <c r="KV26" s="87">
        <f t="shared" si="36"/>
        <v>0</v>
      </c>
      <c r="KW26" s="93">
        <v>46310</v>
      </c>
      <c r="KX26" s="89"/>
      <c r="KY26" s="82"/>
      <c r="LA26" s="84"/>
      <c r="LB26" s="87"/>
      <c r="LC26" s="87"/>
      <c r="LD26" s="87">
        <f t="shared" si="37"/>
        <v>0</v>
      </c>
      <c r="LE26" s="164">
        <v>46310</v>
      </c>
      <c r="LF26" s="91"/>
      <c r="LG26" s="82"/>
      <c r="LH26"/>
      <c r="LI26" s="99"/>
      <c r="LJ26" s="87"/>
      <c r="LK26" s="87"/>
      <c r="LL26" s="87">
        <f t="shared" si="38"/>
        <v>0</v>
      </c>
      <c r="LM26" s="93">
        <v>46310</v>
      </c>
      <c r="LN26" s="89"/>
      <c r="LO26" s="82"/>
      <c r="LQ26" s="84"/>
      <c r="LR26" s="87"/>
      <c r="LS26" s="87"/>
      <c r="LT26" s="87">
        <f t="shared" si="39"/>
        <v>0</v>
      </c>
      <c r="LU26" s="93">
        <v>46310</v>
      </c>
      <c r="LV26" s="89"/>
      <c r="LW26" s="82"/>
      <c r="LY26" s="84"/>
      <c r="LZ26" s="87"/>
      <c r="MA26" s="87"/>
      <c r="MB26" s="87">
        <f t="shared" si="40"/>
        <v>0</v>
      </c>
      <c r="MC26" s="93">
        <v>46310</v>
      </c>
      <c r="MD26" s="89"/>
      <c r="ME26" s="82"/>
      <c r="MG26" s="90"/>
      <c r="MH26" s="87"/>
      <c r="MI26" s="87"/>
      <c r="MJ26" s="87">
        <f t="shared" si="41"/>
        <v>0</v>
      </c>
      <c r="MK26" s="93">
        <v>46310</v>
      </c>
      <c r="ML26" s="89"/>
      <c r="MM26" s="82"/>
      <c r="MN26" s="43"/>
      <c r="MO26" s="111"/>
      <c r="MP26" s="86"/>
      <c r="MQ26" s="86"/>
      <c r="MR26" s="86">
        <f t="shared" si="42"/>
        <v>0</v>
      </c>
      <c r="MS26" s="106">
        <v>46310</v>
      </c>
      <c r="MT26" s="91"/>
      <c r="MU26" s="82"/>
      <c r="MW26" s="84"/>
      <c r="MX26" s="87"/>
      <c r="MY26" s="87"/>
      <c r="MZ26" s="87">
        <f t="shared" si="43"/>
        <v>0</v>
      </c>
      <c r="NA26" s="93">
        <v>46310</v>
      </c>
      <c r="NB26" s="89"/>
      <c r="NC26" s="82"/>
      <c r="NE26" s="84"/>
      <c r="NF26" s="87"/>
      <c r="NG26" s="87"/>
      <c r="NH26" s="87">
        <f t="shared" si="44"/>
        <v>0</v>
      </c>
      <c r="NI26" s="93">
        <v>46310</v>
      </c>
      <c r="NJ26" s="91"/>
      <c r="NK26" s="82"/>
      <c r="NM26" s="90"/>
      <c r="NN26" s="87"/>
      <c r="NO26" s="87"/>
      <c r="NP26" s="87">
        <f t="shared" si="45"/>
        <v>0</v>
      </c>
      <c r="NQ26" s="93">
        <v>46310</v>
      </c>
      <c r="NR26" s="91"/>
      <c r="NS26" s="82"/>
      <c r="NU26" s="84"/>
      <c r="NV26" s="87"/>
      <c r="NW26" s="87"/>
      <c r="NX26" s="87">
        <f t="shared" si="46"/>
        <v>0</v>
      </c>
      <c r="NY26" s="93">
        <v>46310</v>
      </c>
      <c r="NZ26" s="89"/>
      <c r="OA26" s="82"/>
      <c r="OC26" s="90"/>
      <c r="OD26" s="87"/>
      <c r="OE26" s="87"/>
      <c r="OF26" s="87">
        <f t="shared" si="47"/>
        <v>0</v>
      </c>
      <c r="OG26" s="93">
        <v>46310</v>
      </c>
      <c r="OH26" s="89"/>
      <c r="OI26" s="82"/>
      <c r="OK26" s="84"/>
      <c r="OL26" s="87"/>
      <c r="OM26" s="87"/>
      <c r="ON26" s="87">
        <f t="shared" si="48"/>
        <v>0</v>
      </c>
      <c r="OO26" s="93">
        <v>46310</v>
      </c>
      <c r="OP26" s="91"/>
      <c r="OQ26" s="82"/>
      <c r="OS26" s="90"/>
      <c r="OT26" s="87"/>
      <c r="OU26" s="87"/>
      <c r="OV26" s="87">
        <f t="shared" si="49"/>
        <v>0</v>
      </c>
      <c r="OW26" s="93">
        <v>46310</v>
      </c>
      <c r="OX26" s="89"/>
      <c r="OY26" s="82"/>
      <c r="PA26" s="84"/>
      <c r="PB26" s="87"/>
      <c r="PC26" s="87"/>
      <c r="PD26" s="87">
        <f t="shared" si="50"/>
        <v>0</v>
      </c>
      <c r="PE26" s="93">
        <v>46310</v>
      </c>
      <c r="PF26" s="89"/>
      <c r="PG26" s="82"/>
      <c r="PH26"/>
      <c r="PI26" s="90"/>
      <c r="PJ26" s="87"/>
      <c r="PK26" s="87"/>
      <c r="PL26" s="87">
        <f t="shared" si="51"/>
        <v>0</v>
      </c>
      <c r="PM26" s="93">
        <v>46310</v>
      </c>
      <c r="PN26" s="211"/>
      <c r="PO26" s="216"/>
      <c r="PP26"/>
      <c r="PQ26" s="99"/>
      <c r="PR26" s="87"/>
      <c r="PS26" s="87"/>
      <c r="PT26" s="87">
        <f t="shared" si="52"/>
        <v>0</v>
      </c>
      <c r="PU26" s="93">
        <v>46310</v>
      </c>
      <c r="PV26" s="89"/>
      <c r="PW26" s="82"/>
      <c r="PY26" s="84"/>
      <c r="PZ26" s="87"/>
      <c r="QA26" s="87"/>
      <c r="QB26" s="87">
        <f t="shared" si="53"/>
        <v>0</v>
      </c>
      <c r="QC26" s="93">
        <v>46310</v>
      </c>
      <c r="QD26" s="91"/>
      <c r="QE26" s="82"/>
      <c r="QG26" s="84"/>
      <c r="QH26" s="87"/>
      <c r="QI26" s="87"/>
      <c r="QJ26" s="87">
        <f t="shared" si="54"/>
        <v>0</v>
      </c>
      <c r="QK26" s="93">
        <v>46310</v>
      </c>
      <c r="QL26" s="89"/>
      <c r="QM26" s="82"/>
      <c r="QO26" s="90"/>
      <c r="QP26" s="87"/>
      <c r="QQ26" s="87"/>
      <c r="QR26" s="87">
        <f t="shared" si="55"/>
        <v>0</v>
      </c>
      <c r="QS26" s="93">
        <v>46310</v>
      </c>
      <c r="QT26" s="211"/>
      <c r="QU26" s="216"/>
      <c r="QW26" s="90"/>
      <c r="QX26" s="87"/>
      <c r="QY26" s="87"/>
      <c r="QZ26" s="87">
        <f t="shared" si="56"/>
        <v>0</v>
      </c>
      <c r="RA26" s="93">
        <v>46310</v>
      </c>
      <c r="RB26" s="89"/>
      <c r="RC26" s="82"/>
      <c r="RE26" s="90"/>
      <c r="RF26" s="87"/>
      <c r="RG26" s="87"/>
      <c r="RH26" s="87">
        <f t="shared" si="57"/>
        <v>0</v>
      </c>
      <c r="RI26" s="93">
        <v>46310</v>
      </c>
      <c r="RJ26" s="89"/>
      <c r="RK26" s="170"/>
      <c r="RM26" s="90"/>
      <c r="RN26" s="87"/>
      <c r="RO26" s="87"/>
      <c r="RP26" s="87">
        <f t="shared" si="58"/>
        <v>0</v>
      </c>
      <c r="RQ26" s="93">
        <v>46310</v>
      </c>
      <c r="RR26" s="89"/>
      <c r="RS26" s="36"/>
      <c r="RT26" s="43"/>
      <c r="RU26" s="84"/>
      <c r="RV26" s="87"/>
      <c r="RW26" s="87"/>
      <c r="RX26" s="87">
        <f t="shared" si="59"/>
        <v>0</v>
      </c>
      <c r="RY26" s="93">
        <v>46310</v>
      </c>
      <c r="RZ26" s="89"/>
      <c r="SA26" s="82"/>
      <c r="SC26" s="90"/>
      <c r="SD26" s="87"/>
      <c r="SE26" s="87"/>
      <c r="SF26" s="87">
        <f t="shared" si="60"/>
        <v>0</v>
      </c>
      <c r="SG26" s="93">
        <v>46310</v>
      </c>
      <c r="SH26" s="89"/>
      <c r="SI26" s="82"/>
      <c r="SK26" s="90"/>
      <c r="SL26" s="87"/>
      <c r="SM26" s="87"/>
      <c r="SN26" s="87">
        <f t="shared" si="61"/>
        <v>0</v>
      </c>
      <c r="SO26" s="93">
        <v>46310</v>
      </c>
      <c r="SP26" s="89"/>
      <c r="SQ26" s="82"/>
      <c r="SS26" s="90"/>
      <c r="ST26" s="87"/>
      <c r="SU26" s="87"/>
      <c r="SV26" s="87">
        <f t="shared" si="62"/>
        <v>0</v>
      </c>
      <c r="SW26" s="93">
        <v>46310</v>
      </c>
      <c r="SX26" s="89"/>
      <c r="SY26" s="82"/>
      <c r="TA26" s="84"/>
      <c r="TB26" s="87"/>
      <c r="TC26" s="87"/>
      <c r="TD26" s="87">
        <f t="shared" si="63"/>
        <v>0</v>
      </c>
      <c r="TE26" s="93">
        <v>46310</v>
      </c>
      <c r="TF26" s="91"/>
      <c r="TG26" s="82"/>
      <c r="TI26" s="84"/>
      <c r="TJ26" s="87"/>
      <c r="TK26" s="87"/>
      <c r="TL26" s="87">
        <f t="shared" si="64"/>
        <v>0</v>
      </c>
      <c r="TM26" s="93">
        <v>46310</v>
      </c>
      <c r="TN26" s="89"/>
      <c r="TO26" s="82"/>
      <c r="TP26"/>
      <c r="TQ26" s="90"/>
      <c r="TR26" s="87"/>
      <c r="TS26" s="87"/>
      <c r="TT26" s="87">
        <f t="shared" si="65"/>
        <v>0</v>
      </c>
      <c r="TU26" s="93">
        <v>46310</v>
      </c>
      <c r="TV26" s="91"/>
      <c r="TW26" s="82"/>
      <c r="TY26" s="90"/>
      <c r="TZ26" s="87"/>
      <c r="UA26" s="87"/>
      <c r="UB26" s="87">
        <f t="shared" si="66"/>
        <v>0</v>
      </c>
      <c r="UC26" s="93">
        <v>46310</v>
      </c>
      <c r="UD26" s="91"/>
      <c r="UE26" s="82"/>
      <c r="UG26" s="90"/>
      <c r="UH26" s="87"/>
      <c r="UI26" s="87"/>
      <c r="UJ26" s="87">
        <f t="shared" si="67"/>
        <v>0</v>
      </c>
      <c r="UK26" s="93">
        <v>46310</v>
      </c>
      <c r="UL26" s="89"/>
      <c r="UM26" s="82"/>
      <c r="UN26"/>
      <c r="UO26" s="84"/>
      <c r="UP26" s="87"/>
      <c r="UQ26" s="87"/>
      <c r="UR26" s="87">
        <f t="shared" si="68"/>
        <v>0</v>
      </c>
      <c r="US26" s="93">
        <v>46310</v>
      </c>
      <c r="UT26" s="89"/>
      <c r="UU26" s="82"/>
      <c r="UW26" s="99"/>
      <c r="UX26" s="87"/>
      <c r="UY26" s="87"/>
      <c r="UZ26" s="87">
        <f t="shared" si="69"/>
        <v>0</v>
      </c>
      <c r="VA26" s="93">
        <v>46310</v>
      </c>
      <c r="VB26" s="89"/>
      <c r="VC26" s="82"/>
      <c r="VE26" s="90"/>
      <c r="VF26" s="87"/>
      <c r="VG26" s="87"/>
      <c r="VH26" s="87">
        <f t="shared" si="70"/>
        <v>0</v>
      </c>
      <c r="VI26" s="93">
        <v>46310</v>
      </c>
      <c r="VJ26" s="89"/>
      <c r="VK26" s="82"/>
      <c r="VM26" s="90"/>
      <c r="VN26" s="87"/>
      <c r="VO26" s="87"/>
      <c r="VP26" s="87">
        <f t="shared" si="71"/>
        <v>0</v>
      </c>
      <c r="VQ26" s="93">
        <v>46310</v>
      </c>
      <c r="VR26" s="91"/>
      <c r="VS26" s="82"/>
      <c r="VU26" s="90"/>
      <c r="VV26" s="87"/>
      <c r="VW26" s="87"/>
      <c r="VX26" s="87">
        <f t="shared" si="72"/>
        <v>0</v>
      </c>
      <c r="VY26" s="93">
        <v>46310</v>
      </c>
      <c r="VZ26" s="89"/>
      <c r="WA26" s="82"/>
      <c r="WC26" s="84"/>
      <c r="WD26" s="87"/>
      <c r="WE26" s="87"/>
      <c r="WF26" s="87">
        <f t="shared" si="73"/>
        <v>0</v>
      </c>
      <c r="WG26" s="93">
        <v>46310</v>
      </c>
      <c r="WH26" s="89"/>
      <c r="WI26" s="82"/>
      <c r="WJ26"/>
      <c r="WK26" s="90"/>
      <c r="WL26" s="87"/>
      <c r="WM26" s="87"/>
      <c r="WN26" s="87">
        <f t="shared" si="74"/>
        <v>0</v>
      </c>
      <c r="WO26" s="93">
        <v>46310</v>
      </c>
      <c r="WP26" s="89"/>
      <c r="WQ26" s="82"/>
      <c r="WS26" s="103"/>
      <c r="WT26" s="86"/>
      <c r="WU26" s="86"/>
      <c r="WV26" s="87">
        <f t="shared" si="75"/>
        <v>0</v>
      </c>
      <c r="WW26" s="93">
        <v>46310</v>
      </c>
      <c r="WX26" s="91"/>
      <c r="WY26" s="82"/>
      <c r="XA26" s="84"/>
      <c r="XB26" s="87"/>
      <c r="XC26" s="87"/>
      <c r="XD26" s="87">
        <f t="shared" si="76"/>
        <v>0</v>
      </c>
      <c r="XE26" s="93">
        <v>46310</v>
      </c>
      <c r="XF26" s="91"/>
      <c r="XG26" s="82"/>
      <c r="XI26" s="90"/>
      <c r="XJ26" s="87"/>
      <c r="XK26" s="87"/>
      <c r="XL26" s="87">
        <f t="shared" si="77"/>
        <v>0</v>
      </c>
      <c r="XM26" s="93">
        <v>46310</v>
      </c>
      <c r="XN26" s="91"/>
      <c r="XO26" s="82"/>
      <c r="XQ26" s="99"/>
      <c r="XR26" s="87"/>
      <c r="XS26" s="87"/>
      <c r="XT26" s="87">
        <f t="shared" si="78"/>
        <v>0</v>
      </c>
      <c r="XU26" s="93">
        <v>46310</v>
      </c>
      <c r="XV26" s="91"/>
      <c r="XW26" s="82"/>
      <c r="XY26" s="90"/>
      <c r="XZ26" s="87"/>
      <c r="YA26" s="87"/>
      <c r="YB26" s="87">
        <f t="shared" si="79"/>
        <v>0</v>
      </c>
      <c r="YC26" s="93">
        <v>46310</v>
      </c>
      <c r="YD26" s="89"/>
      <c r="YE26" s="82"/>
      <c r="YG26" s="90"/>
      <c r="YH26" s="87"/>
      <c r="YI26" s="87"/>
      <c r="YJ26" s="87">
        <f t="shared" si="80"/>
        <v>0</v>
      </c>
      <c r="YK26" s="93">
        <v>46310</v>
      </c>
      <c r="YL26" s="89"/>
      <c r="YM26" s="82"/>
      <c r="YO26" s="90"/>
      <c r="YP26" s="87"/>
      <c r="YQ26" s="87"/>
      <c r="YR26" s="87">
        <f t="shared" si="81"/>
        <v>0</v>
      </c>
      <c r="YS26" s="93">
        <v>46310</v>
      </c>
      <c r="YT26" s="89"/>
      <c r="YU26" s="82"/>
      <c r="YW26" s="90"/>
      <c r="YX26" s="87"/>
      <c r="YY26" s="87"/>
      <c r="YZ26" s="87">
        <f t="shared" si="82"/>
        <v>0</v>
      </c>
      <c r="ZA26" s="93">
        <v>46310</v>
      </c>
      <c r="ZB26" s="89"/>
      <c r="ZC26" s="82"/>
      <c r="ZE26" s="90"/>
      <c r="ZF26" s="87"/>
      <c r="ZG26" s="87"/>
      <c r="ZH26" s="87">
        <f t="shared" si="83"/>
        <v>0</v>
      </c>
      <c r="ZI26" s="93">
        <v>46310</v>
      </c>
      <c r="ZJ26" s="89"/>
      <c r="ZK26" s="82"/>
      <c r="ZM26" s="90"/>
      <c r="ZN26" s="87"/>
      <c r="ZO26" s="87"/>
      <c r="ZP26" s="87">
        <f t="shared" si="84"/>
        <v>0</v>
      </c>
      <c r="ZQ26" s="93">
        <v>46310</v>
      </c>
      <c r="ZR26" s="89"/>
      <c r="ZS26" s="82"/>
      <c r="ZU26" s="90"/>
      <c r="ZV26" s="87"/>
      <c r="ZW26" s="87"/>
      <c r="ZX26" s="87">
        <f t="shared" si="85"/>
        <v>0</v>
      </c>
      <c r="ZY26" s="93">
        <v>46310</v>
      </c>
      <c r="ZZ26" s="89"/>
      <c r="AAA26" s="82"/>
      <c r="AAC26" s="90"/>
      <c r="AAD26" s="87"/>
      <c r="AAE26" s="87"/>
      <c r="AAF26" s="87">
        <f t="shared" si="86"/>
        <v>0</v>
      </c>
      <c r="AAG26" s="93">
        <v>46310</v>
      </c>
      <c r="AAH26" s="89"/>
      <c r="AAI26" s="82"/>
      <c r="AAK26" s="90"/>
      <c r="AAL26" s="87"/>
      <c r="AAM26" s="87"/>
      <c r="AAN26" s="87">
        <f t="shared" si="87"/>
        <v>0</v>
      </c>
      <c r="AAO26" s="93">
        <v>46310</v>
      </c>
      <c r="AAP26" s="89"/>
      <c r="AAQ26" s="82"/>
      <c r="AAS26" s="99"/>
      <c r="AAT26" s="87"/>
      <c r="AAU26" s="87"/>
      <c r="AAV26" s="87">
        <f t="shared" si="88"/>
        <v>0</v>
      </c>
      <c r="AAW26" s="93">
        <v>46310</v>
      </c>
      <c r="AAX26" s="89"/>
      <c r="AAY26" s="82"/>
      <c r="ABA26" s="90"/>
      <c r="ABB26" s="87"/>
      <c r="ABC26" s="87"/>
      <c r="ABD26" s="87">
        <f t="shared" si="89"/>
        <v>0</v>
      </c>
      <c r="ABE26" s="93">
        <v>46310</v>
      </c>
      <c r="ABF26" s="89"/>
      <c r="ABG26" s="82"/>
      <c r="ABI26" s="90"/>
      <c r="ABJ26" s="87"/>
      <c r="ABK26" s="87"/>
      <c r="ABL26" s="87">
        <f t="shared" si="90"/>
        <v>0</v>
      </c>
      <c r="ABM26" s="93">
        <v>46310</v>
      </c>
      <c r="ABN26" s="89"/>
      <c r="ABO26" s="82"/>
      <c r="ABQ26" s="90"/>
      <c r="ABR26" s="87"/>
      <c r="ABS26" s="87"/>
      <c r="ABT26" s="87">
        <f t="shared" si="91"/>
        <v>0</v>
      </c>
      <c r="ABU26" s="93">
        <v>46310</v>
      </c>
      <c r="ABV26" s="89"/>
      <c r="ABW26" s="82"/>
      <c r="ABY26" s="90"/>
      <c r="ABZ26" s="87"/>
      <c r="ACA26" s="87"/>
      <c r="ACB26" s="87">
        <f t="shared" si="92"/>
        <v>0</v>
      </c>
      <c r="ACC26" s="93">
        <v>46310</v>
      </c>
      <c r="ACD26" s="89"/>
      <c r="ACE26" s="82"/>
    </row>
    <row r="27" spans="1:759" ht="12" customHeight="1" thickBot="1" x14ac:dyDescent="0.3">
      <c r="A27" s="84"/>
      <c r="B27" s="350"/>
      <c r="C27" s="222"/>
      <c r="D27" s="87">
        <f t="shared" si="2"/>
        <v>1700</v>
      </c>
      <c r="E27" s="93">
        <v>46310</v>
      </c>
      <c r="F27" s="374"/>
      <c r="G27" s="382"/>
      <c r="H27" s="72"/>
      <c r="I27" s="84"/>
      <c r="J27" s="87"/>
      <c r="K27" s="87"/>
      <c r="L27" s="87">
        <f t="shared" si="0"/>
        <v>1000</v>
      </c>
      <c r="M27" s="164">
        <v>46310</v>
      </c>
      <c r="N27" s="220"/>
      <c r="O27" s="82"/>
      <c r="P27" s="110"/>
      <c r="Q27" s="84"/>
      <c r="R27" s="222"/>
      <c r="S27" s="222"/>
      <c r="T27" s="87">
        <f t="shared" si="1"/>
        <v>4000</v>
      </c>
      <c r="U27" s="93">
        <v>46310</v>
      </c>
      <c r="V27" s="220"/>
      <c r="W27" s="82"/>
      <c r="X27" s="124"/>
      <c r="Y27" s="84"/>
      <c r="Z27" s="222"/>
      <c r="AA27" s="222"/>
      <c r="AB27" s="222">
        <f t="shared" si="3"/>
        <v>1000</v>
      </c>
      <c r="AC27" s="93">
        <v>46310</v>
      </c>
      <c r="AD27" s="220"/>
      <c r="AE27" s="82"/>
      <c r="AF27" s="388"/>
      <c r="AG27" s="84"/>
      <c r="AH27" s="222"/>
      <c r="AI27" s="222"/>
      <c r="AJ27" s="87">
        <f t="shared" si="4"/>
        <v>2000</v>
      </c>
      <c r="AK27" s="93">
        <v>46310</v>
      </c>
      <c r="AL27" s="220"/>
      <c r="AM27" s="82"/>
      <c r="AN27" s="105"/>
      <c r="AO27" s="84"/>
      <c r="AP27" s="222"/>
      <c r="AQ27" s="222"/>
      <c r="AR27" s="87">
        <f t="shared" si="5"/>
        <v>1000</v>
      </c>
      <c r="AS27" s="93">
        <v>46310</v>
      </c>
      <c r="AT27" s="220"/>
      <c r="AU27" s="82"/>
      <c r="AV27" s="342"/>
      <c r="AW27" s="84"/>
      <c r="AX27" s="222"/>
      <c r="AY27" s="222"/>
      <c r="AZ27" s="87">
        <f t="shared" si="6"/>
        <v>1150</v>
      </c>
      <c r="BA27" s="93">
        <v>46310</v>
      </c>
      <c r="BB27" s="374"/>
      <c r="BC27" s="82"/>
      <c r="BD27" s="352"/>
      <c r="BE27" s="84"/>
      <c r="BF27" s="87"/>
      <c r="BG27" s="87"/>
      <c r="BH27" s="87">
        <f t="shared" si="7"/>
        <v>7000</v>
      </c>
      <c r="BI27" s="93">
        <v>46310</v>
      </c>
      <c r="BJ27" s="220"/>
      <c r="BK27" s="82"/>
      <c r="BL27" s="355"/>
      <c r="BM27" s="84"/>
      <c r="BN27" s="222"/>
      <c r="BO27" s="222"/>
      <c r="BP27" s="87">
        <f t="shared" si="8"/>
        <v>1000</v>
      </c>
      <c r="BQ27" s="93">
        <v>46310</v>
      </c>
      <c r="BR27" s="220"/>
      <c r="BS27" s="82"/>
      <c r="BT27" s="172"/>
      <c r="BU27" s="90"/>
      <c r="BV27" s="87"/>
      <c r="BW27" s="87"/>
      <c r="BX27" s="87">
        <f t="shared" si="9"/>
        <v>0</v>
      </c>
      <c r="BY27" s="93">
        <v>46310</v>
      </c>
      <c r="BZ27" s="220"/>
      <c r="CA27" s="82"/>
      <c r="CB27" s="72"/>
      <c r="CC27" s="84"/>
      <c r="CD27" s="87"/>
      <c r="CE27" s="87"/>
      <c r="CF27" s="87">
        <f t="shared" si="10"/>
        <v>0</v>
      </c>
      <c r="CG27" s="96">
        <v>46325</v>
      </c>
      <c r="CH27" s="220"/>
      <c r="CI27" s="82"/>
      <c r="CJ27" s="72"/>
      <c r="CK27" s="84"/>
      <c r="CL27" s="222"/>
      <c r="CM27" s="222"/>
      <c r="CN27" s="87">
        <f t="shared" si="11"/>
        <v>0</v>
      </c>
      <c r="CO27" s="96">
        <v>46325</v>
      </c>
      <c r="CP27" s="220"/>
      <c r="CQ27" s="82"/>
      <c r="CR27" s="72"/>
      <c r="CS27" s="10"/>
      <c r="CT27" s="87"/>
      <c r="CU27" s="87"/>
      <c r="CV27" s="87">
        <f t="shared" si="12"/>
        <v>0</v>
      </c>
      <c r="CW27" s="96">
        <v>46325</v>
      </c>
      <c r="CX27" s="220"/>
      <c r="CY27" s="82"/>
      <c r="DA27" s="84"/>
      <c r="DB27" s="87"/>
      <c r="DC27" s="87"/>
      <c r="DD27" s="87">
        <f t="shared" si="13"/>
        <v>0</v>
      </c>
      <c r="DE27" s="96">
        <v>46325</v>
      </c>
      <c r="DF27" s="220"/>
      <c r="DG27" s="82"/>
      <c r="DI27" s="84"/>
      <c r="DJ27" s="87"/>
      <c r="DK27" s="87"/>
      <c r="DL27" s="87">
        <f t="shared" si="14"/>
        <v>0</v>
      </c>
      <c r="DM27" s="93">
        <v>46310</v>
      </c>
      <c r="DN27" s="220"/>
      <c r="DO27" s="82"/>
      <c r="DP27" s="172"/>
      <c r="DQ27" s="90"/>
      <c r="DR27" s="222"/>
      <c r="DS27" s="222"/>
      <c r="DT27" s="87">
        <f t="shared" si="15"/>
        <v>0</v>
      </c>
      <c r="DU27" s="93">
        <v>46310</v>
      </c>
      <c r="DV27" s="220"/>
      <c r="DW27" s="82"/>
      <c r="DX27" s="72"/>
      <c r="DY27" s="99"/>
      <c r="DZ27" s="222"/>
      <c r="EA27" s="222"/>
      <c r="EB27" s="87">
        <f t="shared" si="16"/>
        <v>0</v>
      </c>
      <c r="EC27" s="93">
        <v>46310</v>
      </c>
      <c r="ED27" s="220"/>
      <c r="EE27" s="82"/>
      <c r="EF27" s="72"/>
      <c r="EG27" s="90"/>
      <c r="EH27" s="87"/>
      <c r="EI27" s="87"/>
      <c r="EJ27" s="87">
        <f t="shared" si="17"/>
        <v>0</v>
      </c>
      <c r="EK27" s="93">
        <v>46310</v>
      </c>
      <c r="EL27" s="220"/>
      <c r="EM27" s="82"/>
      <c r="EN27" s="353"/>
      <c r="EO27" s="90"/>
      <c r="EP27" s="87"/>
      <c r="EQ27" s="87"/>
      <c r="ER27" s="87">
        <f t="shared" si="18"/>
        <v>0</v>
      </c>
      <c r="ES27" s="93">
        <v>46310</v>
      </c>
      <c r="ET27" s="220"/>
      <c r="EU27" s="82"/>
      <c r="EV27" s="187"/>
      <c r="EW27" s="84"/>
      <c r="EX27" s="222"/>
      <c r="EY27" s="222"/>
      <c r="EZ27" s="87">
        <f t="shared" si="19"/>
        <v>0</v>
      </c>
      <c r="FA27" s="93">
        <v>46310</v>
      </c>
      <c r="FB27" s="220"/>
      <c r="FC27" s="82"/>
      <c r="FE27" s="10"/>
      <c r="FF27" s="87"/>
      <c r="FG27" s="87"/>
      <c r="FH27" s="87">
        <f t="shared" si="93"/>
        <v>0</v>
      </c>
      <c r="FI27" s="93">
        <v>46310</v>
      </c>
      <c r="FJ27" s="220"/>
      <c r="FK27" s="82"/>
      <c r="FM27" s="90"/>
      <c r="FN27" s="87"/>
      <c r="FO27" s="87"/>
      <c r="FP27" s="87">
        <f t="shared" si="20"/>
        <v>0</v>
      </c>
      <c r="FQ27" s="93">
        <v>46310</v>
      </c>
      <c r="FR27" s="220"/>
      <c r="FS27" s="82"/>
      <c r="FT27" s="59"/>
      <c r="FU27" s="84"/>
      <c r="FV27" s="87"/>
      <c r="FW27" s="87"/>
      <c r="FX27" s="87">
        <f t="shared" si="21"/>
        <v>0</v>
      </c>
      <c r="FY27" s="164">
        <v>46310</v>
      </c>
      <c r="FZ27" s="220"/>
      <c r="GA27" s="82"/>
      <c r="GB27" s="197"/>
      <c r="GC27" s="90"/>
      <c r="GD27" s="87"/>
      <c r="GE27" s="87"/>
      <c r="GF27" s="87">
        <f t="shared" si="22"/>
        <v>0</v>
      </c>
      <c r="GG27" s="93">
        <v>46310</v>
      </c>
      <c r="GH27" s="220"/>
      <c r="GI27" s="82"/>
      <c r="GJ27"/>
      <c r="GK27" s="84"/>
      <c r="GL27" s="87"/>
      <c r="GM27" s="87"/>
      <c r="GN27" s="87">
        <f t="shared" si="23"/>
        <v>0</v>
      </c>
      <c r="GO27" s="96">
        <v>46325</v>
      </c>
      <c r="GP27" s="220"/>
      <c r="GQ27" s="82"/>
      <c r="GS27" s="84"/>
      <c r="GT27" s="222"/>
      <c r="GU27" s="222"/>
      <c r="GV27" s="87">
        <f t="shared" si="24"/>
        <v>0</v>
      </c>
      <c r="GW27" s="96">
        <v>46325</v>
      </c>
      <c r="GX27" s="89"/>
      <c r="GY27" s="82"/>
      <c r="HA27" s="90"/>
      <c r="HB27" s="87"/>
      <c r="HC27" s="87"/>
      <c r="HD27" s="87">
        <f t="shared" si="25"/>
        <v>0</v>
      </c>
      <c r="HE27" s="96">
        <v>46325</v>
      </c>
      <c r="HF27" s="220"/>
      <c r="HG27" s="82"/>
      <c r="HH27" s="162"/>
      <c r="HI27" s="90"/>
      <c r="HJ27" s="87"/>
      <c r="HK27" s="87"/>
      <c r="HL27" s="87">
        <f t="shared" si="26"/>
        <v>0</v>
      </c>
      <c r="HM27" s="96">
        <v>46325</v>
      </c>
      <c r="HN27" s="220"/>
      <c r="HO27" s="82"/>
      <c r="HQ27" s="84"/>
      <c r="HR27" s="87"/>
      <c r="HS27" s="87"/>
      <c r="HT27" s="87">
        <f t="shared" si="27"/>
        <v>0</v>
      </c>
      <c r="HU27" s="96">
        <v>46325</v>
      </c>
      <c r="HV27" s="220"/>
      <c r="HW27" s="82"/>
      <c r="HY27" s="90"/>
      <c r="HZ27" s="87"/>
      <c r="IA27" s="87"/>
      <c r="IB27" s="87">
        <f t="shared" si="28"/>
        <v>0</v>
      </c>
      <c r="IC27" s="96">
        <v>46325</v>
      </c>
      <c r="ID27" s="89"/>
      <c r="IE27" s="82"/>
      <c r="IF27"/>
      <c r="IG27" s="90"/>
      <c r="IH27" s="87"/>
      <c r="II27" s="87"/>
      <c r="IJ27" s="87">
        <f t="shared" si="29"/>
        <v>0</v>
      </c>
      <c r="IK27" s="96">
        <v>46325</v>
      </c>
      <c r="IL27" s="91"/>
      <c r="IM27" s="82"/>
      <c r="IO27" s="84"/>
      <c r="IP27" s="87"/>
      <c r="IQ27" s="87"/>
      <c r="IR27" s="87">
        <f t="shared" si="30"/>
        <v>0</v>
      </c>
      <c r="IS27" s="96">
        <v>46325</v>
      </c>
      <c r="IT27" s="91"/>
      <c r="IU27" s="82"/>
      <c r="IW27" s="90"/>
      <c r="IX27" s="87"/>
      <c r="IY27" s="87"/>
      <c r="IZ27" s="87">
        <f t="shared" si="31"/>
        <v>0</v>
      </c>
      <c r="JA27" s="96">
        <v>46325</v>
      </c>
      <c r="JB27" s="89"/>
      <c r="JC27" s="82"/>
      <c r="JE27" s="90"/>
      <c r="JF27" s="87"/>
      <c r="JG27" s="87"/>
      <c r="JH27" s="87">
        <f t="shared" si="32"/>
        <v>0</v>
      </c>
      <c r="JI27" s="96">
        <v>46325</v>
      </c>
      <c r="JJ27" s="220"/>
      <c r="JK27" s="82"/>
      <c r="JM27" s="84"/>
      <c r="JN27" s="87"/>
      <c r="JO27" s="87"/>
      <c r="JP27" s="87">
        <f t="shared" si="33"/>
        <v>0</v>
      </c>
      <c r="JQ27" s="164">
        <v>46325</v>
      </c>
      <c r="JR27" s="89"/>
      <c r="JS27" s="82"/>
      <c r="JU27" s="90"/>
      <c r="JV27" s="87"/>
      <c r="JW27" s="87"/>
      <c r="JX27" s="87">
        <f t="shared" si="94"/>
        <v>0</v>
      </c>
      <c r="JY27" s="164">
        <v>46325</v>
      </c>
      <c r="JZ27" s="91"/>
      <c r="KA27" s="82"/>
      <c r="KC27" s="90"/>
      <c r="KD27" s="87"/>
      <c r="KE27" s="87"/>
      <c r="KF27" s="87">
        <f t="shared" si="34"/>
        <v>0</v>
      </c>
      <c r="KG27" s="164">
        <v>46325</v>
      </c>
      <c r="KH27" s="86"/>
      <c r="KI27" s="109"/>
      <c r="KK27" s="99"/>
      <c r="KL27" s="87"/>
      <c r="KM27" s="87"/>
      <c r="KN27" s="87">
        <f t="shared" si="35"/>
        <v>0</v>
      </c>
      <c r="KO27" s="164">
        <v>46325</v>
      </c>
      <c r="KP27" s="89"/>
      <c r="KQ27" s="82"/>
      <c r="KS27" s="84"/>
      <c r="KT27" s="87"/>
      <c r="KU27" s="87"/>
      <c r="KV27" s="87">
        <f t="shared" si="36"/>
        <v>0</v>
      </c>
      <c r="KW27" s="96">
        <v>46325</v>
      </c>
      <c r="KX27" s="89"/>
      <c r="KY27" s="82"/>
      <c r="LA27" s="84"/>
      <c r="LB27" s="87"/>
      <c r="LC27" s="87"/>
      <c r="LD27" s="87">
        <f t="shared" si="37"/>
        <v>0</v>
      </c>
      <c r="LE27" s="164">
        <v>46325</v>
      </c>
      <c r="LF27" s="91"/>
      <c r="LG27" s="82"/>
      <c r="LH27"/>
      <c r="LI27" s="99"/>
      <c r="LJ27" s="87"/>
      <c r="LK27" s="87"/>
      <c r="LL27" s="87">
        <f t="shared" si="38"/>
        <v>0</v>
      </c>
      <c r="LM27" s="96">
        <v>46325</v>
      </c>
      <c r="LN27" s="89"/>
      <c r="LO27" s="82"/>
      <c r="LQ27" s="84"/>
      <c r="LR27" s="87"/>
      <c r="LS27" s="87"/>
      <c r="LT27" s="87">
        <f t="shared" si="39"/>
        <v>0</v>
      </c>
      <c r="LU27" s="96">
        <v>46325</v>
      </c>
      <c r="LV27" s="89"/>
      <c r="LW27" s="82"/>
      <c r="LY27" s="84"/>
      <c r="LZ27" s="87"/>
      <c r="MA27" s="87"/>
      <c r="MB27" s="87">
        <f t="shared" si="40"/>
        <v>0</v>
      </c>
      <c r="MC27" s="96">
        <v>46325</v>
      </c>
      <c r="MD27" s="89"/>
      <c r="ME27" s="82"/>
      <c r="MG27" s="90"/>
      <c r="MH27" s="87"/>
      <c r="MI27" s="87"/>
      <c r="MJ27" s="87">
        <f t="shared" si="41"/>
        <v>0</v>
      </c>
      <c r="MK27" s="96">
        <v>46325</v>
      </c>
      <c r="ML27" s="89"/>
      <c r="MM27" s="82"/>
      <c r="MN27" s="43"/>
      <c r="MO27" s="111"/>
      <c r="MP27" s="86"/>
      <c r="MQ27" s="86"/>
      <c r="MR27" s="86">
        <f t="shared" si="42"/>
        <v>0</v>
      </c>
      <c r="MS27" s="107">
        <v>46325</v>
      </c>
      <c r="MT27" s="91"/>
      <c r="MU27" s="82"/>
      <c r="MW27" s="84"/>
      <c r="MX27" s="87"/>
      <c r="MY27" s="87"/>
      <c r="MZ27" s="87">
        <f t="shared" si="43"/>
        <v>0</v>
      </c>
      <c r="NA27" s="96">
        <v>46325</v>
      </c>
      <c r="NB27" s="89"/>
      <c r="NC27" s="82"/>
      <c r="NE27" s="84"/>
      <c r="NF27" s="87"/>
      <c r="NG27" s="87"/>
      <c r="NH27" s="87">
        <f t="shared" si="44"/>
        <v>0</v>
      </c>
      <c r="NI27" s="96">
        <v>46325</v>
      </c>
      <c r="NJ27" s="91"/>
      <c r="NK27" s="82"/>
      <c r="NM27" s="84"/>
      <c r="NN27" s="87"/>
      <c r="NO27" s="87"/>
      <c r="NP27" s="87">
        <f t="shared" si="45"/>
        <v>0</v>
      </c>
      <c r="NQ27" s="96">
        <v>46325</v>
      </c>
      <c r="NR27" s="91"/>
      <c r="NS27" s="82"/>
      <c r="NT27" s="187"/>
      <c r="NU27" s="84"/>
      <c r="NV27" s="87"/>
      <c r="NW27" s="87"/>
      <c r="NX27" s="87">
        <f t="shared" si="46"/>
        <v>0</v>
      </c>
      <c r="NY27" s="96">
        <v>46325</v>
      </c>
      <c r="NZ27" s="89"/>
      <c r="OA27" s="82"/>
      <c r="OC27" s="90"/>
      <c r="OD27" s="87"/>
      <c r="OE27" s="87"/>
      <c r="OF27" s="87">
        <f t="shared" si="47"/>
        <v>0</v>
      </c>
      <c r="OG27" s="96">
        <v>46325</v>
      </c>
      <c r="OH27" s="89"/>
      <c r="OI27" s="82"/>
      <c r="OK27" s="84"/>
      <c r="OL27" s="87"/>
      <c r="OM27" s="87"/>
      <c r="ON27" s="87">
        <f t="shared" si="48"/>
        <v>0</v>
      </c>
      <c r="OO27" s="96">
        <v>46325</v>
      </c>
      <c r="OP27" s="91"/>
      <c r="OQ27" s="82"/>
      <c r="OS27" s="90"/>
      <c r="OT27" s="87"/>
      <c r="OU27" s="87"/>
      <c r="OV27" s="87">
        <f t="shared" si="49"/>
        <v>0</v>
      </c>
      <c r="OW27" s="96">
        <v>46325</v>
      </c>
      <c r="OX27" s="89"/>
      <c r="OY27" s="82"/>
      <c r="PA27" s="84"/>
      <c r="PB27" s="87"/>
      <c r="PC27" s="87"/>
      <c r="PD27" s="87">
        <f t="shared" si="50"/>
        <v>0</v>
      </c>
      <c r="PE27" s="96">
        <v>46325</v>
      </c>
      <c r="PF27" s="89"/>
      <c r="PG27" s="82"/>
      <c r="PH27"/>
      <c r="PI27" s="90"/>
      <c r="PJ27" s="87"/>
      <c r="PK27" s="87"/>
      <c r="PL27" s="87">
        <f t="shared" si="51"/>
        <v>0</v>
      </c>
      <c r="PM27" s="96">
        <v>46325</v>
      </c>
      <c r="PN27" s="211"/>
      <c r="PO27" s="216"/>
      <c r="PP27"/>
      <c r="PQ27" s="90"/>
      <c r="PR27" s="87"/>
      <c r="PS27" s="87"/>
      <c r="PT27" s="87">
        <f t="shared" si="52"/>
        <v>0</v>
      </c>
      <c r="PU27" s="96">
        <v>46325</v>
      </c>
      <c r="PV27" s="89"/>
      <c r="PW27" s="82"/>
      <c r="PY27" s="84"/>
      <c r="PZ27" s="87"/>
      <c r="QA27" s="87"/>
      <c r="QB27" s="87">
        <f t="shared" si="53"/>
        <v>0</v>
      </c>
      <c r="QC27" s="96">
        <v>46325</v>
      </c>
      <c r="QD27" s="91"/>
      <c r="QE27" s="82"/>
      <c r="QG27" s="90"/>
      <c r="QH27" s="87"/>
      <c r="QI27" s="87"/>
      <c r="QJ27" s="87">
        <f t="shared" si="54"/>
        <v>0</v>
      </c>
      <c r="QK27" s="96">
        <v>46325</v>
      </c>
      <c r="QL27" s="89"/>
      <c r="QM27" s="82"/>
      <c r="QO27" s="90"/>
      <c r="QP27" s="87"/>
      <c r="QQ27" s="87"/>
      <c r="QR27" s="87">
        <f t="shared" si="55"/>
        <v>0</v>
      </c>
      <c r="QS27" s="96">
        <v>46325</v>
      </c>
      <c r="QT27" s="211"/>
      <c r="QU27" s="216"/>
      <c r="QW27" s="90"/>
      <c r="QX27" s="87"/>
      <c r="QY27" s="87"/>
      <c r="QZ27" s="87">
        <f t="shared" si="56"/>
        <v>0</v>
      </c>
      <c r="RA27" s="96">
        <v>46325</v>
      </c>
      <c r="RB27" s="89"/>
      <c r="RC27" s="82"/>
      <c r="RE27" s="90"/>
      <c r="RF27" s="87"/>
      <c r="RG27" s="87"/>
      <c r="RH27" s="87">
        <f t="shared" si="57"/>
        <v>0</v>
      </c>
      <c r="RI27" s="96">
        <v>46325</v>
      </c>
      <c r="RJ27" s="89"/>
      <c r="RK27" s="170"/>
      <c r="RM27" s="90"/>
      <c r="RN27" s="87"/>
      <c r="RO27" s="87"/>
      <c r="RP27" s="87">
        <f t="shared" si="58"/>
        <v>0</v>
      </c>
      <c r="RQ27" s="96">
        <v>46325</v>
      </c>
      <c r="RR27" s="89"/>
      <c r="RS27" s="191"/>
      <c r="RT27" s="162"/>
      <c r="RU27" s="84"/>
      <c r="RV27" s="87"/>
      <c r="RW27" s="87"/>
      <c r="RX27" s="87">
        <f t="shared" si="59"/>
        <v>0</v>
      </c>
      <c r="RY27" s="96">
        <v>46325</v>
      </c>
      <c r="RZ27" s="89"/>
      <c r="SA27" s="82"/>
      <c r="SC27" s="90"/>
      <c r="SD27" s="87"/>
      <c r="SE27" s="87"/>
      <c r="SF27" s="87">
        <f t="shared" si="60"/>
        <v>0</v>
      </c>
      <c r="SG27" s="96">
        <v>46325</v>
      </c>
      <c r="SH27" s="89"/>
      <c r="SI27" s="82"/>
      <c r="SK27" s="84"/>
      <c r="SL27" s="87"/>
      <c r="SM27" s="87"/>
      <c r="SN27" s="87">
        <f t="shared" si="61"/>
        <v>0</v>
      </c>
      <c r="SO27" s="96">
        <v>46325</v>
      </c>
      <c r="SP27" s="91"/>
      <c r="SQ27" s="82"/>
      <c r="SS27" s="84"/>
      <c r="ST27" s="87"/>
      <c r="SU27" s="87"/>
      <c r="SV27" s="87">
        <f t="shared" si="62"/>
        <v>0</v>
      </c>
      <c r="SW27" s="96">
        <v>46325</v>
      </c>
      <c r="SX27" s="89"/>
      <c r="SY27" s="82"/>
      <c r="TA27" s="84"/>
      <c r="TB27" s="87"/>
      <c r="TC27" s="87"/>
      <c r="TD27" s="87">
        <f t="shared" si="63"/>
        <v>0</v>
      </c>
      <c r="TE27" s="96">
        <v>46325</v>
      </c>
      <c r="TF27" s="91"/>
      <c r="TG27" s="82"/>
      <c r="TI27" s="84"/>
      <c r="TJ27" s="87"/>
      <c r="TK27" s="87"/>
      <c r="TL27" s="87">
        <f t="shared" si="64"/>
        <v>0</v>
      </c>
      <c r="TM27" s="96">
        <v>46325</v>
      </c>
      <c r="TN27" s="89"/>
      <c r="TO27" s="82"/>
      <c r="TP27"/>
      <c r="TQ27" s="90"/>
      <c r="TR27" s="87"/>
      <c r="TS27" s="87"/>
      <c r="TT27" s="87">
        <f t="shared" si="65"/>
        <v>0</v>
      </c>
      <c r="TU27" s="96">
        <v>46325</v>
      </c>
      <c r="TV27" s="91"/>
      <c r="TW27" s="82"/>
      <c r="TY27" s="90"/>
      <c r="TZ27" s="87"/>
      <c r="UA27" s="87"/>
      <c r="UB27" s="87">
        <f t="shared" si="66"/>
        <v>0</v>
      </c>
      <c r="UC27" s="96">
        <v>46325</v>
      </c>
      <c r="UD27" s="91"/>
      <c r="UE27" s="82"/>
      <c r="UG27" s="90"/>
      <c r="UH27" s="87"/>
      <c r="UI27" s="87"/>
      <c r="UJ27" s="87">
        <f t="shared" si="67"/>
        <v>0</v>
      </c>
      <c r="UK27" s="96">
        <v>46325</v>
      </c>
      <c r="UL27" s="89"/>
      <c r="UM27" s="82"/>
      <c r="UO27" s="84"/>
      <c r="UP27" s="87"/>
      <c r="UQ27" s="87"/>
      <c r="UR27" s="87">
        <f t="shared" si="68"/>
        <v>0</v>
      </c>
      <c r="US27" s="96">
        <v>46325</v>
      </c>
      <c r="UT27" s="89"/>
      <c r="UU27" s="82"/>
      <c r="UW27" s="90"/>
      <c r="UX27" s="87"/>
      <c r="UY27" s="87"/>
      <c r="UZ27" s="87">
        <f t="shared" si="69"/>
        <v>0</v>
      </c>
      <c r="VA27" s="96">
        <v>46325</v>
      </c>
      <c r="VB27" s="89"/>
      <c r="VC27" s="82"/>
      <c r="VE27" s="90"/>
      <c r="VF27" s="87"/>
      <c r="VG27" s="87"/>
      <c r="VH27" s="87">
        <f t="shared" si="70"/>
        <v>0</v>
      </c>
      <c r="VI27" s="96">
        <v>46325</v>
      </c>
      <c r="VJ27" s="89"/>
      <c r="VK27" s="82"/>
      <c r="VM27" s="90"/>
      <c r="VN27" s="87"/>
      <c r="VO27" s="87"/>
      <c r="VP27" s="87">
        <f t="shared" si="71"/>
        <v>0</v>
      </c>
      <c r="VQ27" s="96">
        <v>46325</v>
      </c>
      <c r="VR27" s="91"/>
      <c r="VS27" s="82"/>
      <c r="VU27" s="90"/>
      <c r="VV27" s="87"/>
      <c r="VW27" s="87"/>
      <c r="VX27" s="87">
        <f t="shared" si="72"/>
        <v>0</v>
      </c>
      <c r="VY27" s="96">
        <v>46325</v>
      </c>
      <c r="VZ27" s="89"/>
      <c r="WA27" s="82"/>
      <c r="WC27" s="84"/>
      <c r="WD27" s="87"/>
      <c r="WE27" s="87"/>
      <c r="WF27" s="87">
        <f t="shared" si="73"/>
        <v>0</v>
      </c>
      <c r="WG27" s="96">
        <v>46325</v>
      </c>
      <c r="WH27" s="89"/>
      <c r="WI27" s="82"/>
      <c r="WJ27"/>
      <c r="WK27" s="90"/>
      <c r="WL27" s="87"/>
      <c r="WM27" s="87"/>
      <c r="WN27" s="87">
        <f t="shared" si="74"/>
        <v>0</v>
      </c>
      <c r="WO27" s="96">
        <v>46325</v>
      </c>
      <c r="WP27" s="89"/>
      <c r="WQ27" s="82"/>
      <c r="WS27" s="84"/>
      <c r="WT27" s="87"/>
      <c r="WU27" s="87"/>
      <c r="WV27" s="87">
        <f t="shared" si="75"/>
        <v>0</v>
      </c>
      <c r="WW27" s="96">
        <v>46325</v>
      </c>
      <c r="WX27" s="91"/>
      <c r="WY27" s="82"/>
      <c r="WZ27"/>
      <c r="XA27" s="84"/>
      <c r="XB27" s="87"/>
      <c r="XC27" s="87"/>
      <c r="XD27" s="87">
        <f t="shared" si="76"/>
        <v>0</v>
      </c>
      <c r="XE27" s="96">
        <v>46325</v>
      </c>
      <c r="XF27" s="91"/>
      <c r="XG27" s="82"/>
      <c r="XI27" s="90"/>
      <c r="XJ27" s="87"/>
      <c r="XK27" s="87"/>
      <c r="XL27" s="87">
        <f t="shared" si="77"/>
        <v>0</v>
      </c>
      <c r="XM27" s="96">
        <v>46325</v>
      </c>
      <c r="XN27" s="91"/>
      <c r="XO27" s="82"/>
      <c r="XQ27" s="193"/>
      <c r="XR27" s="87"/>
      <c r="XS27" s="87"/>
      <c r="XT27" s="87">
        <f t="shared" si="78"/>
        <v>0</v>
      </c>
      <c r="XU27" s="96">
        <v>46325</v>
      </c>
      <c r="XV27" s="91"/>
      <c r="XW27" s="82"/>
      <c r="XY27" s="90"/>
      <c r="XZ27" s="87"/>
      <c r="YA27" s="87"/>
      <c r="YB27" s="87">
        <f t="shared" si="79"/>
        <v>0</v>
      </c>
      <c r="YC27" s="96">
        <v>46325</v>
      </c>
      <c r="YD27" s="89"/>
      <c r="YE27" s="82"/>
      <c r="YG27" s="90"/>
      <c r="YH27" s="87"/>
      <c r="YI27" s="87"/>
      <c r="YJ27" s="87">
        <f t="shared" si="80"/>
        <v>0</v>
      </c>
      <c r="YK27" s="96">
        <v>46325</v>
      </c>
      <c r="YL27" s="89"/>
      <c r="YM27" s="82"/>
      <c r="YO27" s="90"/>
      <c r="YP27" s="87"/>
      <c r="YQ27" s="87"/>
      <c r="YR27" s="87">
        <f t="shared" si="81"/>
        <v>0</v>
      </c>
      <c r="YS27" s="96">
        <v>46325</v>
      </c>
      <c r="YT27" s="89"/>
      <c r="YU27" s="82"/>
      <c r="YW27" s="90"/>
      <c r="YX27" s="87"/>
      <c r="YY27" s="87"/>
      <c r="YZ27" s="87">
        <f t="shared" si="82"/>
        <v>0</v>
      </c>
      <c r="ZA27" s="96">
        <v>46325</v>
      </c>
      <c r="ZB27" s="89"/>
      <c r="ZC27" s="82"/>
      <c r="ZE27" s="90"/>
      <c r="ZF27" s="87"/>
      <c r="ZG27" s="87"/>
      <c r="ZH27" s="87">
        <f t="shared" si="83"/>
        <v>0</v>
      </c>
      <c r="ZI27" s="96">
        <v>46325</v>
      </c>
      <c r="ZJ27" s="89"/>
      <c r="ZK27" s="82"/>
      <c r="ZM27" s="90"/>
      <c r="ZN27" s="87"/>
      <c r="ZO27" s="87"/>
      <c r="ZP27" s="87">
        <f t="shared" si="84"/>
        <v>0</v>
      </c>
      <c r="ZQ27" s="96">
        <v>46325</v>
      </c>
      <c r="ZR27" s="89"/>
      <c r="ZS27" s="82"/>
      <c r="ZU27" s="90"/>
      <c r="ZV27" s="87"/>
      <c r="ZW27" s="87"/>
      <c r="ZX27" s="87">
        <f t="shared" si="85"/>
        <v>0</v>
      </c>
      <c r="ZY27" s="96">
        <v>46325</v>
      </c>
      <c r="ZZ27" s="89"/>
      <c r="AAA27" s="82"/>
      <c r="AAB27"/>
      <c r="AAC27" s="90"/>
      <c r="AAD27" s="87"/>
      <c r="AAE27" s="87"/>
      <c r="AAF27" s="87">
        <f t="shared" si="86"/>
        <v>0</v>
      </c>
      <c r="AAG27" s="96">
        <v>46325</v>
      </c>
      <c r="AAH27" s="89"/>
      <c r="AAI27" s="82"/>
      <c r="AAK27" s="90"/>
      <c r="AAL27" s="87"/>
      <c r="AAM27" s="87"/>
      <c r="AAN27" s="87">
        <f t="shared" si="87"/>
        <v>0</v>
      </c>
      <c r="AAO27" s="96">
        <v>46325</v>
      </c>
      <c r="AAP27" s="89"/>
      <c r="AAQ27" s="82"/>
      <c r="AAS27" s="90"/>
      <c r="AAT27" s="87"/>
      <c r="AAU27" s="87"/>
      <c r="AAV27" s="87">
        <f t="shared" si="88"/>
        <v>0</v>
      </c>
      <c r="AAW27" s="96">
        <v>46325</v>
      </c>
      <c r="AAX27" s="89"/>
      <c r="AAY27" s="82"/>
      <c r="ABA27" s="90"/>
      <c r="ABB27" s="87"/>
      <c r="ABC27" s="87"/>
      <c r="ABD27" s="87">
        <f t="shared" si="89"/>
        <v>0</v>
      </c>
      <c r="ABE27" s="96">
        <v>46325</v>
      </c>
      <c r="ABF27" s="89"/>
      <c r="ABG27" s="82"/>
      <c r="ABI27" s="90"/>
      <c r="ABJ27" s="87"/>
      <c r="ABK27" s="87"/>
      <c r="ABL27" s="87">
        <f t="shared" si="90"/>
        <v>0</v>
      </c>
      <c r="ABM27" s="96">
        <v>46325</v>
      </c>
      <c r="ABN27" s="89"/>
      <c r="ABO27" s="82"/>
      <c r="ABQ27" s="90"/>
      <c r="ABR27" s="87"/>
      <c r="ABS27" s="87"/>
      <c r="ABT27" s="87">
        <f t="shared" si="91"/>
        <v>0</v>
      </c>
      <c r="ABU27" s="96">
        <v>46325</v>
      </c>
      <c r="ABV27" s="89"/>
      <c r="ABW27" s="82"/>
      <c r="ABY27" s="90"/>
      <c r="ABZ27" s="87"/>
      <c r="ACA27" s="87"/>
      <c r="ACB27" s="87">
        <f t="shared" si="92"/>
        <v>0</v>
      </c>
      <c r="ACC27" s="96">
        <v>46325</v>
      </c>
      <c r="ACD27" s="89"/>
      <c r="ACE27" s="82"/>
    </row>
    <row r="28" spans="1:759" ht="12" customHeight="1" thickBot="1" x14ac:dyDescent="0.3">
      <c r="A28" s="84"/>
      <c r="B28" s="350"/>
      <c r="C28" s="222"/>
      <c r="D28" s="87">
        <f t="shared" si="2"/>
        <v>1700</v>
      </c>
      <c r="E28" s="96">
        <v>46325</v>
      </c>
      <c r="F28" s="374"/>
      <c r="G28" s="382"/>
      <c r="H28" s="113"/>
      <c r="I28" s="84"/>
      <c r="J28" s="87"/>
      <c r="K28" s="87"/>
      <c r="L28" s="87">
        <f t="shared" si="0"/>
        <v>1000</v>
      </c>
      <c r="M28" s="164">
        <v>46325</v>
      </c>
      <c r="N28" s="220"/>
      <c r="O28" s="82"/>
      <c r="P28" s="110"/>
      <c r="Q28" s="90"/>
      <c r="R28" s="222"/>
      <c r="S28" s="222"/>
      <c r="T28" s="87">
        <f t="shared" si="1"/>
        <v>4000</v>
      </c>
      <c r="U28" s="96">
        <v>46325</v>
      </c>
      <c r="V28" s="220"/>
      <c r="W28" s="82"/>
      <c r="X28" s="124"/>
      <c r="Y28" s="84"/>
      <c r="Z28" s="222"/>
      <c r="AA28" s="222"/>
      <c r="AB28" s="222">
        <f t="shared" si="3"/>
        <v>1000</v>
      </c>
      <c r="AC28" s="96">
        <v>46325</v>
      </c>
      <c r="AD28" s="220"/>
      <c r="AE28" s="82"/>
      <c r="AF28" s="172"/>
      <c r="AG28" s="84"/>
      <c r="AH28" s="222"/>
      <c r="AI28" s="222"/>
      <c r="AJ28" s="87">
        <f t="shared" si="4"/>
        <v>2000</v>
      </c>
      <c r="AK28" s="96">
        <v>46325</v>
      </c>
      <c r="AL28" s="220"/>
      <c r="AM28" s="82"/>
      <c r="AN28" s="105"/>
      <c r="AO28" s="84"/>
      <c r="AP28" s="222"/>
      <c r="AQ28" s="222"/>
      <c r="AR28" s="87">
        <f t="shared" si="5"/>
        <v>1000</v>
      </c>
      <c r="AS28" s="96">
        <v>46325</v>
      </c>
      <c r="AT28" s="220"/>
      <c r="AU28" s="82"/>
      <c r="AW28" s="84"/>
      <c r="AX28" s="222"/>
      <c r="AY28" s="222"/>
      <c r="AZ28" s="87">
        <f t="shared" si="6"/>
        <v>1150</v>
      </c>
      <c r="BA28" s="96">
        <v>46325</v>
      </c>
      <c r="BB28" s="374"/>
      <c r="BC28" s="82"/>
      <c r="BD28" s="353"/>
      <c r="BE28" s="84"/>
      <c r="BF28" s="87"/>
      <c r="BG28" s="87"/>
      <c r="BH28" s="87">
        <f t="shared" si="7"/>
        <v>7000</v>
      </c>
      <c r="BI28" s="96">
        <v>46325</v>
      </c>
      <c r="BJ28" s="220"/>
      <c r="BK28" s="82"/>
      <c r="BL28" s="172"/>
      <c r="BM28" s="84"/>
      <c r="BN28" s="222"/>
      <c r="BO28" s="222"/>
      <c r="BP28" s="87">
        <f t="shared" si="8"/>
        <v>1000</v>
      </c>
      <c r="BQ28" s="96">
        <v>46325</v>
      </c>
      <c r="BR28" s="220"/>
      <c r="BS28" s="82"/>
      <c r="BT28" s="172"/>
      <c r="BU28" s="90"/>
      <c r="BV28" s="87"/>
      <c r="BW28" s="87"/>
      <c r="BX28" s="87">
        <f t="shared" si="9"/>
        <v>0</v>
      </c>
      <c r="BY28" s="96">
        <v>46325</v>
      </c>
      <c r="BZ28" s="220"/>
      <c r="CA28" s="82"/>
      <c r="CB28" s="72"/>
      <c r="CC28" s="84"/>
      <c r="CD28" s="87"/>
      <c r="CE28" s="87"/>
      <c r="CF28" s="87">
        <f t="shared" si="10"/>
        <v>0</v>
      </c>
      <c r="CG28" s="80">
        <v>46341</v>
      </c>
      <c r="CH28" s="220"/>
      <c r="CI28" s="82"/>
      <c r="CJ28" s="72"/>
      <c r="CK28" s="99"/>
      <c r="CL28" s="222"/>
      <c r="CM28" s="222"/>
      <c r="CN28" s="87">
        <f t="shared" si="11"/>
        <v>0</v>
      </c>
      <c r="CO28" s="80">
        <v>46341</v>
      </c>
      <c r="CP28" s="220"/>
      <c r="CQ28" s="82"/>
      <c r="CR28" s="198"/>
      <c r="CS28" s="84"/>
      <c r="CT28" s="87"/>
      <c r="CU28" s="87"/>
      <c r="CV28" s="87">
        <f t="shared" si="12"/>
        <v>0</v>
      </c>
      <c r="CW28" s="80">
        <v>46341</v>
      </c>
      <c r="CX28" s="220"/>
      <c r="CY28" s="82"/>
      <c r="CZ28" s="198"/>
      <c r="DA28" s="10"/>
      <c r="DB28" s="87"/>
      <c r="DC28" s="87"/>
      <c r="DD28" s="87">
        <f t="shared" si="13"/>
        <v>0</v>
      </c>
      <c r="DE28" s="80">
        <v>46341</v>
      </c>
      <c r="DF28" s="220"/>
      <c r="DG28" s="82"/>
      <c r="DI28" s="84"/>
      <c r="DJ28" s="87"/>
      <c r="DK28" s="87"/>
      <c r="DL28" s="87">
        <f t="shared" si="14"/>
        <v>0</v>
      </c>
      <c r="DM28" s="96">
        <v>46325</v>
      </c>
      <c r="DN28" s="220"/>
      <c r="DO28" s="82"/>
      <c r="DP28" s="172"/>
      <c r="DQ28" s="90"/>
      <c r="DR28" s="87"/>
      <c r="DS28" s="87"/>
      <c r="DT28" s="87">
        <f t="shared" si="15"/>
        <v>0</v>
      </c>
      <c r="DU28" s="96">
        <v>46325</v>
      </c>
      <c r="DV28" s="220"/>
      <c r="DW28" s="82"/>
      <c r="DX28" s="72"/>
      <c r="DY28" s="90"/>
      <c r="DZ28" s="222"/>
      <c r="EA28" s="222"/>
      <c r="EB28" s="87">
        <f t="shared" si="16"/>
        <v>0</v>
      </c>
      <c r="EC28" s="96">
        <v>46325</v>
      </c>
      <c r="ED28" s="220"/>
      <c r="EE28" s="82"/>
      <c r="EF28" s="72"/>
      <c r="EG28" s="84"/>
      <c r="EH28" s="87"/>
      <c r="EI28" s="87"/>
      <c r="EJ28" s="87">
        <f t="shared" si="17"/>
        <v>0</v>
      </c>
      <c r="EK28" s="96">
        <v>46325</v>
      </c>
      <c r="EL28" s="220"/>
      <c r="EM28" s="82"/>
      <c r="EN28" s="353"/>
      <c r="EO28" s="90"/>
      <c r="EP28" s="87"/>
      <c r="EQ28" s="87"/>
      <c r="ER28" s="87">
        <f t="shared" si="18"/>
        <v>0</v>
      </c>
      <c r="ES28" s="96">
        <v>46325</v>
      </c>
      <c r="ET28" s="220"/>
      <c r="EU28" s="82"/>
      <c r="EW28" s="90"/>
      <c r="EX28" s="222"/>
      <c r="EY28" s="222"/>
      <c r="EZ28" s="87">
        <f t="shared" si="19"/>
        <v>0</v>
      </c>
      <c r="FA28" s="96">
        <v>46325</v>
      </c>
      <c r="FB28" s="220"/>
      <c r="FC28" s="82"/>
      <c r="FE28" s="84"/>
      <c r="FF28" s="87"/>
      <c r="FG28" s="87"/>
      <c r="FH28" s="87">
        <f t="shared" si="93"/>
        <v>0</v>
      </c>
      <c r="FI28" s="96">
        <v>46325</v>
      </c>
      <c r="FJ28" s="220"/>
      <c r="FK28" s="82"/>
      <c r="FL28" s="72"/>
      <c r="FM28" s="90"/>
      <c r="FN28" s="87"/>
      <c r="FO28" s="87"/>
      <c r="FP28" s="87">
        <f t="shared" si="20"/>
        <v>0</v>
      </c>
      <c r="FQ28" s="96">
        <v>46325</v>
      </c>
      <c r="FR28" s="220"/>
      <c r="FS28" s="82"/>
      <c r="FT28" s="59"/>
      <c r="FU28" s="84"/>
      <c r="FV28" s="87"/>
      <c r="FW28" s="87"/>
      <c r="FX28" s="87">
        <f t="shared" si="21"/>
        <v>0</v>
      </c>
      <c r="FY28" s="164">
        <v>46325</v>
      </c>
      <c r="FZ28" s="220"/>
      <c r="GA28" s="82"/>
      <c r="GB28" s="197"/>
      <c r="GC28" s="90"/>
      <c r="GD28" s="87"/>
      <c r="GE28" s="87"/>
      <c r="GF28" s="87">
        <f t="shared" si="22"/>
        <v>0</v>
      </c>
      <c r="GG28" s="96">
        <v>46325</v>
      </c>
      <c r="GH28" s="220"/>
      <c r="GI28" s="82"/>
      <c r="GJ28"/>
      <c r="GK28" s="84"/>
      <c r="GL28" s="87"/>
      <c r="GM28" s="87"/>
      <c r="GN28" s="87">
        <f t="shared" si="23"/>
        <v>0</v>
      </c>
      <c r="GO28" s="80">
        <v>46341</v>
      </c>
      <c r="GP28" s="220"/>
      <c r="GQ28" s="82"/>
      <c r="GS28" s="84"/>
      <c r="GT28" s="87"/>
      <c r="GU28" s="87"/>
      <c r="GV28" s="87">
        <f t="shared" si="24"/>
        <v>0</v>
      </c>
      <c r="GW28" s="80">
        <v>46341</v>
      </c>
      <c r="GX28" s="89"/>
      <c r="GY28" s="82"/>
      <c r="HA28" s="90"/>
      <c r="HB28" s="87"/>
      <c r="HC28" s="87"/>
      <c r="HD28" s="87">
        <f t="shared" si="25"/>
        <v>0</v>
      </c>
      <c r="HE28" s="80">
        <v>46341</v>
      </c>
      <c r="HF28" s="220"/>
      <c r="HG28" s="82"/>
      <c r="HI28" s="90"/>
      <c r="HJ28" s="87"/>
      <c r="HK28" s="87"/>
      <c r="HL28" s="87">
        <f t="shared" si="26"/>
        <v>0</v>
      </c>
      <c r="HM28" s="80">
        <v>46341</v>
      </c>
      <c r="HN28" s="220"/>
      <c r="HO28" s="82"/>
      <c r="HQ28" s="84"/>
      <c r="HR28" s="87"/>
      <c r="HS28" s="87"/>
      <c r="HT28" s="87">
        <f t="shared" si="27"/>
        <v>0</v>
      </c>
      <c r="HU28" s="80">
        <v>46341</v>
      </c>
      <c r="HV28" s="220"/>
      <c r="HW28" s="82"/>
      <c r="HY28" s="90"/>
      <c r="HZ28" s="87"/>
      <c r="IA28" s="87"/>
      <c r="IB28" s="87">
        <f t="shared" si="28"/>
        <v>0</v>
      </c>
      <c r="IC28" s="80">
        <v>46341</v>
      </c>
      <c r="ID28" s="220"/>
      <c r="IE28" s="82"/>
      <c r="IF28" s="41"/>
      <c r="IG28" s="90"/>
      <c r="IH28" s="87"/>
      <c r="II28" s="87"/>
      <c r="IJ28" s="87">
        <f t="shared" si="29"/>
        <v>0</v>
      </c>
      <c r="IK28" s="80">
        <v>46341</v>
      </c>
      <c r="IL28" s="91"/>
      <c r="IM28" s="82"/>
      <c r="IO28" s="84"/>
      <c r="IP28" s="87"/>
      <c r="IQ28" s="87"/>
      <c r="IR28" s="87">
        <f t="shared" si="30"/>
        <v>0</v>
      </c>
      <c r="IS28" s="80">
        <v>46341</v>
      </c>
      <c r="IT28" s="91"/>
      <c r="IU28" s="82"/>
      <c r="IW28" s="90"/>
      <c r="IX28" s="87"/>
      <c r="IY28" s="87"/>
      <c r="IZ28" s="87">
        <f t="shared" si="31"/>
        <v>0</v>
      </c>
      <c r="JA28" s="80">
        <v>46341</v>
      </c>
      <c r="JB28" s="89"/>
      <c r="JC28" s="82"/>
      <c r="JE28" s="90"/>
      <c r="JF28" s="87"/>
      <c r="JG28" s="87"/>
      <c r="JH28" s="87">
        <f t="shared" si="32"/>
        <v>0</v>
      </c>
      <c r="JI28" s="80">
        <v>46341</v>
      </c>
      <c r="JJ28" s="220"/>
      <c r="JK28" s="82"/>
      <c r="JM28" s="84"/>
      <c r="JN28" s="87"/>
      <c r="JO28" s="87"/>
      <c r="JP28" s="87">
        <f t="shared" si="33"/>
        <v>0</v>
      </c>
      <c r="JQ28" s="163">
        <v>46341</v>
      </c>
      <c r="JR28" s="89"/>
      <c r="JS28" s="82"/>
      <c r="JU28" s="90"/>
      <c r="JV28" s="87"/>
      <c r="JW28" s="87"/>
      <c r="JX28" s="87">
        <f t="shared" si="94"/>
        <v>0</v>
      </c>
      <c r="JY28" s="163">
        <v>46341</v>
      </c>
      <c r="JZ28" s="91"/>
      <c r="KA28" s="82"/>
      <c r="KC28" s="90"/>
      <c r="KD28" s="87"/>
      <c r="KE28" s="87"/>
      <c r="KF28" s="87">
        <f t="shared" si="34"/>
        <v>0</v>
      </c>
      <c r="KG28" s="163">
        <v>46341</v>
      </c>
      <c r="KH28" s="86"/>
      <c r="KI28" s="109"/>
      <c r="KK28" s="90"/>
      <c r="KL28" s="87"/>
      <c r="KM28" s="87"/>
      <c r="KN28" s="87">
        <f t="shared" si="35"/>
        <v>0</v>
      </c>
      <c r="KO28" s="163">
        <v>46341</v>
      </c>
      <c r="KP28" s="89"/>
      <c r="KQ28" s="82"/>
      <c r="KS28" s="84"/>
      <c r="KT28" s="87"/>
      <c r="KU28" s="87"/>
      <c r="KV28" s="87">
        <f t="shared" si="36"/>
        <v>0</v>
      </c>
      <c r="KW28" s="80">
        <v>46341</v>
      </c>
      <c r="KX28" s="89"/>
      <c r="KY28" s="82"/>
      <c r="LA28" s="84"/>
      <c r="LB28" s="87"/>
      <c r="LC28" s="87"/>
      <c r="LD28" s="87">
        <f t="shared" si="37"/>
        <v>0</v>
      </c>
      <c r="LE28" s="163">
        <v>46341</v>
      </c>
      <c r="LF28" s="91"/>
      <c r="LG28" s="82"/>
      <c r="LH28"/>
      <c r="LI28" s="99"/>
      <c r="LJ28" s="87"/>
      <c r="LK28" s="87"/>
      <c r="LL28" s="87">
        <f t="shared" si="38"/>
        <v>0</v>
      </c>
      <c r="LM28" s="80">
        <v>46341</v>
      </c>
      <c r="LN28" s="89"/>
      <c r="LO28" s="82"/>
      <c r="LQ28" s="84"/>
      <c r="LR28" s="87"/>
      <c r="LS28" s="87"/>
      <c r="LT28" s="87">
        <f t="shared" si="39"/>
        <v>0</v>
      </c>
      <c r="LU28" s="80">
        <v>46341</v>
      </c>
      <c r="LV28" s="89"/>
      <c r="LW28" s="82"/>
      <c r="LY28" s="84"/>
      <c r="LZ28" s="87"/>
      <c r="MA28" s="87"/>
      <c r="MB28" s="87">
        <f t="shared" si="40"/>
        <v>0</v>
      </c>
      <c r="MC28" s="80">
        <v>46341</v>
      </c>
      <c r="MD28" s="89"/>
      <c r="ME28" s="82"/>
      <c r="MG28" s="90"/>
      <c r="MH28" s="87"/>
      <c r="MI28" s="87"/>
      <c r="MJ28" s="87">
        <f t="shared" si="41"/>
        <v>0</v>
      </c>
      <c r="MK28" s="80">
        <v>46341</v>
      </c>
      <c r="ML28" s="89"/>
      <c r="MM28" s="82"/>
      <c r="MN28" s="43"/>
      <c r="MO28" s="90"/>
      <c r="MP28" s="87"/>
      <c r="MQ28" s="87"/>
      <c r="MR28" s="87">
        <f t="shared" si="42"/>
        <v>0</v>
      </c>
      <c r="MS28" s="80">
        <v>46341</v>
      </c>
      <c r="MT28" s="89"/>
      <c r="MU28" s="82"/>
      <c r="MW28" s="84"/>
      <c r="MX28" s="87"/>
      <c r="MY28" s="87"/>
      <c r="MZ28" s="87">
        <f t="shared" si="43"/>
        <v>0</v>
      </c>
      <c r="NA28" s="80">
        <v>46341</v>
      </c>
      <c r="NB28" s="89"/>
      <c r="NC28" s="82"/>
      <c r="NE28" s="84"/>
      <c r="NF28" s="87"/>
      <c r="NG28" s="87"/>
      <c r="NH28" s="87">
        <f t="shared" si="44"/>
        <v>0</v>
      </c>
      <c r="NI28" s="80">
        <v>46341</v>
      </c>
      <c r="NJ28" s="91"/>
      <c r="NK28" s="82"/>
      <c r="NL28" s="187"/>
      <c r="NM28" s="84"/>
      <c r="NN28" s="87"/>
      <c r="NO28" s="87"/>
      <c r="NP28" s="87">
        <f t="shared" si="45"/>
        <v>0</v>
      </c>
      <c r="NQ28" s="80">
        <v>46341</v>
      </c>
      <c r="NR28" s="91"/>
      <c r="NS28" s="82"/>
      <c r="NU28" s="84"/>
      <c r="NV28" s="87"/>
      <c r="NW28" s="87"/>
      <c r="NX28" s="87">
        <f t="shared" si="46"/>
        <v>0</v>
      </c>
      <c r="NY28" s="80">
        <v>46341</v>
      </c>
      <c r="NZ28" s="89"/>
      <c r="OA28" s="82"/>
      <c r="OC28" s="90"/>
      <c r="OD28" s="87"/>
      <c r="OE28" s="87"/>
      <c r="OF28" s="87">
        <f t="shared" si="47"/>
        <v>0</v>
      </c>
      <c r="OG28" s="80">
        <v>46341</v>
      </c>
      <c r="OH28" s="89"/>
      <c r="OI28" s="82"/>
      <c r="OK28" s="84"/>
      <c r="OL28" s="87"/>
      <c r="OM28" s="87"/>
      <c r="ON28" s="87">
        <f t="shared" si="48"/>
        <v>0</v>
      </c>
      <c r="OO28" s="80">
        <v>46341</v>
      </c>
      <c r="OP28" s="91"/>
      <c r="OQ28" s="82"/>
      <c r="OS28" s="90"/>
      <c r="OT28" s="87"/>
      <c r="OU28" s="87"/>
      <c r="OV28" s="87">
        <f t="shared" si="49"/>
        <v>0</v>
      </c>
      <c r="OW28" s="80">
        <v>46341</v>
      </c>
      <c r="OX28" s="89"/>
      <c r="OY28" s="82"/>
      <c r="PA28" s="84"/>
      <c r="PB28" s="87"/>
      <c r="PC28" s="87"/>
      <c r="PD28" s="87">
        <f t="shared" si="50"/>
        <v>0</v>
      </c>
      <c r="PE28" s="80">
        <v>46341</v>
      </c>
      <c r="PF28" s="89"/>
      <c r="PG28" s="82"/>
      <c r="PH28"/>
      <c r="PI28" s="90"/>
      <c r="PJ28" s="87"/>
      <c r="PK28" s="87"/>
      <c r="PL28" s="87">
        <f t="shared" si="51"/>
        <v>0</v>
      </c>
      <c r="PM28" s="80">
        <v>46341</v>
      </c>
      <c r="PN28" s="211"/>
      <c r="PO28" s="216"/>
      <c r="PP28"/>
      <c r="PQ28" s="90"/>
      <c r="PR28" s="87"/>
      <c r="PS28" s="87"/>
      <c r="PT28" s="87">
        <f t="shared" si="52"/>
        <v>0</v>
      </c>
      <c r="PU28" s="80">
        <v>46341</v>
      </c>
      <c r="PV28" s="89"/>
      <c r="PW28" s="82"/>
      <c r="PY28" s="84"/>
      <c r="PZ28" s="87"/>
      <c r="QA28" s="87"/>
      <c r="QB28" s="87">
        <f t="shared" si="53"/>
        <v>0</v>
      </c>
      <c r="QC28" s="80">
        <v>46341</v>
      </c>
      <c r="QD28" s="91"/>
      <c r="QE28" s="82"/>
      <c r="QG28" s="90"/>
      <c r="QH28" s="87"/>
      <c r="QI28" s="87"/>
      <c r="QJ28" s="87">
        <f t="shared" si="54"/>
        <v>0</v>
      </c>
      <c r="QK28" s="80">
        <v>46341</v>
      </c>
      <c r="QL28" s="89"/>
      <c r="QM28" s="82"/>
      <c r="QO28" s="90"/>
      <c r="QP28" s="87"/>
      <c r="QQ28" s="87"/>
      <c r="QR28" s="87">
        <f t="shared" si="55"/>
        <v>0</v>
      </c>
      <c r="QS28" s="80">
        <v>46341</v>
      </c>
      <c r="QT28" s="211"/>
      <c r="QU28" s="216"/>
      <c r="QW28" s="90"/>
      <c r="QX28" s="87"/>
      <c r="QY28" s="87"/>
      <c r="QZ28" s="87">
        <f t="shared" si="56"/>
        <v>0</v>
      </c>
      <c r="RA28" s="80">
        <v>46341</v>
      </c>
      <c r="RB28" s="89"/>
      <c r="RC28" s="82"/>
      <c r="RE28" s="84"/>
      <c r="RF28" s="87"/>
      <c r="RG28" s="87"/>
      <c r="RH28" s="87">
        <f t="shared" si="57"/>
        <v>0</v>
      </c>
      <c r="RI28" s="80">
        <v>46341</v>
      </c>
      <c r="RJ28" s="89"/>
      <c r="RK28" s="170"/>
      <c r="RM28" s="84"/>
      <c r="RN28" s="87"/>
      <c r="RO28" s="87"/>
      <c r="RP28" s="87">
        <f t="shared" si="58"/>
        <v>0</v>
      </c>
      <c r="RQ28" s="80">
        <v>46341</v>
      </c>
      <c r="RR28" s="89"/>
      <c r="RS28" s="82"/>
      <c r="RT28" s="162"/>
      <c r="RU28" s="84"/>
      <c r="RV28" s="87"/>
      <c r="RW28" s="87"/>
      <c r="RX28" s="87">
        <f t="shared" si="59"/>
        <v>0</v>
      </c>
      <c r="RY28" s="80">
        <v>46341</v>
      </c>
      <c r="RZ28" s="89"/>
      <c r="SA28" s="82"/>
      <c r="SC28" s="84"/>
      <c r="SD28" s="87"/>
      <c r="SE28" s="87"/>
      <c r="SF28" s="87">
        <f t="shared" si="60"/>
        <v>0</v>
      </c>
      <c r="SG28" s="80">
        <v>46341</v>
      </c>
      <c r="SH28" s="89"/>
      <c r="SI28" s="82"/>
      <c r="SK28" s="84"/>
      <c r="SL28" s="87"/>
      <c r="SM28" s="87"/>
      <c r="SN28" s="87">
        <f t="shared" si="61"/>
        <v>0</v>
      </c>
      <c r="SO28" s="80">
        <v>46341</v>
      </c>
      <c r="SP28" s="91"/>
      <c r="SQ28" s="82"/>
      <c r="SS28" s="84"/>
      <c r="ST28" s="87"/>
      <c r="SU28" s="87"/>
      <c r="SV28" s="87">
        <f t="shared" si="62"/>
        <v>0</v>
      </c>
      <c r="SW28" s="80">
        <v>46341</v>
      </c>
      <c r="SX28" s="89"/>
      <c r="SY28" s="82"/>
      <c r="TA28" s="84"/>
      <c r="TB28" s="87"/>
      <c r="TC28" s="87"/>
      <c r="TD28" s="87">
        <f t="shared" si="63"/>
        <v>0</v>
      </c>
      <c r="TE28" s="80">
        <v>46341</v>
      </c>
      <c r="TF28" s="91"/>
      <c r="TG28" s="82"/>
      <c r="TI28" s="84"/>
      <c r="TJ28" s="87"/>
      <c r="TK28" s="87"/>
      <c r="TL28" s="87">
        <f t="shared" si="64"/>
        <v>0</v>
      </c>
      <c r="TM28" s="80">
        <v>46341</v>
      </c>
      <c r="TN28" s="89"/>
      <c r="TO28" s="82"/>
      <c r="TP28"/>
      <c r="TQ28" s="84"/>
      <c r="TR28" s="87"/>
      <c r="TS28" s="87"/>
      <c r="TT28" s="87">
        <f t="shared" si="65"/>
        <v>0</v>
      </c>
      <c r="TU28" s="80">
        <v>46341</v>
      </c>
      <c r="TV28" s="91"/>
      <c r="TW28" s="82"/>
      <c r="TY28" s="84"/>
      <c r="TZ28" s="87"/>
      <c r="UA28" s="87"/>
      <c r="UB28" s="87">
        <f t="shared" si="66"/>
        <v>0</v>
      </c>
      <c r="UC28" s="80">
        <v>46341</v>
      </c>
      <c r="UD28" s="91"/>
      <c r="UE28" s="82"/>
      <c r="UG28" s="84"/>
      <c r="UH28" s="87"/>
      <c r="UI28" s="87"/>
      <c r="UJ28" s="87">
        <f t="shared" si="67"/>
        <v>0</v>
      </c>
      <c r="UK28" s="80">
        <v>46341</v>
      </c>
      <c r="UL28" s="89"/>
      <c r="UM28" s="82"/>
      <c r="UO28" s="84"/>
      <c r="UP28" s="87"/>
      <c r="UQ28" s="87"/>
      <c r="UR28" s="87">
        <f t="shared" si="68"/>
        <v>0</v>
      </c>
      <c r="US28" s="80">
        <v>46341</v>
      </c>
      <c r="UT28" s="89"/>
      <c r="UU28" s="82"/>
      <c r="UW28" s="84"/>
      <c r="UX28" s="87"/>
      <c r="UY28" s="87"/>
      <c r="UZ28" s="87">
        <f t="shared" si="69"/>
        <v>0</v>
      </c>
      <c r="VA28" s="80">
        <v>46341</v>
      </c>
      <c r="VB28" s="89"/>
      <c r="VC28" s="82"/>
      <c r="VE28" s="84"/>
      <c r="VF28" s="186"/>
      <c r="VG28" s="87"/>
      <c r="VH28" s="87">
        <f t="shared" si="70"/>
        <v>0</v>
      </c>
      <c r="VI28" s="80">
        <v>46341</v>
      </c>
      <c r="VJ28" s="89"/>
      <c r="VK28" s="82"/>
      <c r="VM28" s="84"/>
      <c r="VN28" s="87"/>
      <c r="VO28" s="87"/>
      <c r="VP28" s="87">
        <f t="shared" si="71"/>
        <v>0</v>
      </c>
      <c r="VQ28" s="80">
        <v>46341</v>
      </c>
      <c r="VR28" s="91"/>
      <c r="VS28" s="82"/>
      <c r="VU28" s="84"/>
      <c r="VV28" s="87"/>
      <c r="VW28" s="87"/>
      <c r="VX28" s="87">
        <f t="shared" si="72"/>
        <v>0</v>
      </c>
      <c r="VY28" s="80">
        <v>46341</v>
      </c>
      <c r="VZ28" s="89"/>
      <c r="WA28" s="82"/>
      <c r="WC28" s="84"/>
      <c r="WD28" s="87"/>
      <c r="WE28" s="87"/>
      <c r="WF28" s="87">
        <f t="shared" si="73"/>
        <v>0</v>
      </c>
      <c r="WG28" s="80">
        <v>46341</v>
      </c>
      <c r="WH28" s="89"/>
      <c r="WI28" s="82"/>
      <c r="WJ28"/>
      <c r="WK28" s="84"/>
      <c r="WL28" s="87"/>
      <c r="WM28" s="87"/>
      <c r="WN28" s="87">
        <f t="shared" si="74"/>
        <v>0</v>
      </c>
      <c r="WO28" s="80">
        <v>46341</v>
      </c>
      <c r="WP28" s="89"/>
      <c r="WQ28" s="82"/>
      <c r="WS28" s="84"/>
      <c r="WT28" s="87"/>
      <c r="WU28" s="87"/>
      <c r="WV28" s="87">
        <f t="shared" si="75"/>
        <v>0</v>
      </c>
      <c r="WW28" s="80">
        <v>46341</v>
      </c>
      <c r="WX28" s="91"/>
      <c r="WY28" s="82"/>
      <c r="XA28" s="84"/>
      <c r="XB28" s="87"/>
      <c r="XC28" s="87"/>
      <c r="XD28" s="87">
        <f t="shared" si="76"/>
        <v>0</v>
      </c>
      <c r="XE28" s="80">
        <v>46341</v>
      </c>
      <c r="XF28" s="91"/>
      <c r="XG28" s="82"/>
      <c r="XI28" s="84"/>
      <c r="XJ28" s="87"/>
      <c r="XK28" s="87"/>
      <c r="XL28" s="87">
        <f t="shared" si="77"/>
        <v>0</v>
      </c>
      <c r="XM28" s="80">
        <v>46341</v>
      </c>
      <c r="XN28" s="91"/>
      <c r="XO28" s="82"/>
      <c r="XQ28" s="84"/>
      <c r="XR28" s="87"/>
      <c r="XS28" s="87"/>
      <c r="XT28" s="87">
        <f t="shared" si="78"/>
        <v>0</v>
      </c>
      <c r="XU28" s="80">
        <v>46341</v>
      </c>
      <c r="XV28" s="91"/>
      <c r="XW28" s="82"/>
      <c r="XY28" s="84"/>
      <c r="XZ28" s="87"/>
      <c r="YA28" s="87"/>
      <c r="YB28" s="87">
        <f t="shared" si="79"/>
        <v>0</v>
      </c>
      <c r="YC28" s="80">
        <v>46341</v>
      </c>
      <c r="YD28" s="89"/>
      <c r="YE28" s="82"/>
      <c r="YG28" s="84"/>
      <c r="YH28" s="87"/>
      <c r="YI28" s="87"/>
      <c r="YJ28" s="87">
        <f t="shared" si="80"/>
        <v>0</v>
      </c>
      <c r="YK28" s="80">
        <v>46341</v>
      </c>
      <c r="YL28" s="89"/>
      <c r="YM28" s="82"/>
      <c r="YO28" s="84"/>
      <c r="YP28" s="87"/>
      <c r="YQ28" s="87"/>
      <c r="YR28" s="87">
        <f t="shared" si="81"/>
        <v>0</v>
      </c>
      <c r="YS28" s="80">
        <v>46341</v>
      </c>
      <c r="YT28" s="89"/>
      <c r="YU28" s="82"/>
      <c r="YW28" s="84"/>
      <c r="YX28" s="87"/>
      <c r="YY28" s="87"/>
      <c r="YZ28" s="87">
        <f t="shared" si="82"/>
        <v>0</v>
      </c>
      <c r="ZA28" s="80">
        <v>46341</v>
      </c>
      <c r="ZB28" s="89"/>
      <c r="ZC28" s="82"/>
      <c r="ZE28" s="84"/>
      <c r="ZF28" s="87"/>
      <c r="ZG28" s="87"/>
      <c r="ZH28" s="87">
        <f t="shared" si="83"/>
        <v>0</v>
      </c>
      <c r="ZI28" s="80">
        <v>46341</v>
      </c>
      <c r="ZJ28" s="89"/>
      <c r="ZK28" s="82"/>
      <c r="ZM28" s="84"/>
      <c r="ZN28" s="87"/>
      <c r="ZO28" s="87"/>
      <c r="ZP28" s="87">
        <f t="shared" si="84"/>
        <v>0</v>
      </c>
      <c r="ZQ28" s="80">
        <v>46341</v>
      </c>
      <c r="ZR28" s="89"/>
      <c r="ZS28" s="82"/>
      <c r="ZU28" s="84"/>
      <c r="ZV28" s="87"/>
      <c r="ZW28" s="87"/>
      <c r="ZX28" s="87">
        <f t="shared" si="85"/>
        <v>0</v>
      </c>
      <c r="ZY28" s="80">
        <v>46341</v>
      </c>
      <c r="ZZ28" s="89"/>
      <c r="AAA28" s="82"/>
      <c r="AAB28"/>
      <c r="AAC28" s="84"/>
      <c r="AAD28" s="87"/>
      <c r="AAE28" s="87"/>
      <c r="AAF28" s="87">
        <f t="shared" si="86"/>
        <v>0</v>
      </c>
      <c r="AAG28" s="80">
        <v>46341</v>
      </c>
      <c r="AAH28" s="89"/>
      <c r="AAI28" s="82"/>
      <c r="AAK28" s="84"/>
      <c r="AAL28" s="87"/>
      <c r="AAM28" s="87"/>
      <c r="AAN28" s="87">
        <f t="shared" si="87"/>
        <v>0</v>
      </c>
      <c r="AAO28" s="80">
        <v>46341</v>
      </c>
      <c r="AAP28" s="89"/>
      <c r="AAQ28" s="82"/>
      <c r="AAS28" s="84"/>
      <c r="AAT28" s="87"/>
      <c r="AAU28" s="87"/>
      <c r="AAV28" s="87">
        <f t="shared" si="88"/>
        <v>0</v>
      </c>
      <c r="AAW28" s="80">
        <v>46341</v>
      </c>
      <c r="AAX28" s="89"/>
      <c r="AAY28" s="82"/>
      <c r="ABA28" s="84"/>
      <c r="ABB28" s="87"/>
      <c r="ABC28" s="87"/>
      <c r="ABD28" s="87">
        <f t="shared" si="89"/>
        <v>0</v>
      </c>
      <c r="ABE28" s="80">
        <v>46341</v>
      </c>
      <c r="ABF28" s="89"/>
      <c r="ABG28" s="82"/>
      <c r="ABI28" s="84"/>
      <c r="ABJ28" s="87"/>
      <c r="ABK28" s="87"/>
      <c r="ABL28" s="87">
        <f t="shared" si="90"/>
        <v>0</v>
      </c>
      <c r="ABM28" s="80">
        <v>46341</v>
      </c>
      <c r="ABN28" s="89"/>
      <c r="ABO28" s="82"/>
      <c r="ABQ28" s="84"/>
      <c r="ABR28" s="87"/>
      <c r="ABS28" s="87"/>
      <c r="ABT28" s="87">
        <f t="shared" si="91"/>
        <v>0</v>
      </c>
      <c r="ABU28" s="80">
        <v>46341</v>
      </c>
      <c r="ABV28" s="89"/>
      <c r="ABW28" s="82"/>
      <c r="ABY28" s="84"/>
      <c r="ABZ28" s="87"/>
      <c r="ACA28" s="87"/>
      <c r="ACB28" s="87">
        <f t="shared" si="92"/>
        <v>0</v>
      </c>
      <c r="ACC28" s="80">
        <v>46341</v>
      </c>
      <c r="ACD28" s="89"/>
      <c r="ACE28" s="82"/>
    </row>
    <row r="29" spans="1:759" ht="12" customHeight="1" thickBot="1" x14ac:dyDescent="0.3">
      <c r="A29" s="84"/>
      <c r="B29" s="350"/>
      <c r="C29" s="222"/>
      <c r="D29" s="87">
        <f t="shared" si="2"/>
        <v>1700</v>
      </c>
      <c r="E29" s="80">
        <v>46341</v>
      </c>
      <c r="F29" s="374"/>
      <c r="G29" s="382"/>
      <c r="I29" s="84"/>
      <c r="J29" s="87"/>
      <c r="K29" s="87"/>
      <c r="L29" s="87">
        <f t="shared" si="0"/>
        <v>1000</v>
      </c>
      <c r="M29" s="163">
        <v>46341</v>
      </c>
      <c r="N29" s="220"/>
      <c r="O29" s="82"/>
      <c r="P29" s="110"/>
      <c r="Q29" s="90"/>
      <c r="R29" s="87"/>
      <c r="S29" s="87"/>
      <c r="T29" s="87">
        <f t="shared" si="1"/>
        <v>4000</v>
      </c>
      <c r="U29" s="80">
        <v>46341</v>
      </c>
      <c r="V29" s="220"/>
      <c r="W29" s="82"/>
      <c r="X29" s="124"/>
      <c r="Y29" s="84"/>
      <c r="Z29" s="222"/>
      <c r="AA29" s="222"/>
      <c r="AB29" s="222">
        <f t="shared" si="3"/>
        <v>1000</v>
      </c>
      <c r="AC29" s="80">
        <v>46341</v>
      </c>
      <c r="AD29" s="220"/>
      <c r="AE29" s="82"/>
      <c r="AF29" s="172"/>
      <c r="AG29" s="84"/>
      <c r="AH29" s="222"/>
      <c r="AI29" s="222"/>
      <c r="AJ29" s="87">
        <f t="shared" si="4"/>
        <v>2000</v>
      </c>
      <c r="AK29" s="80">
        <v>46341</v>
      </c>
      <c r="AL29" s="220"/>
      <c r="AM29" s="82"/>
      <c r="AN29" s="105"/>
      <c r="AO29" s="84"/>
      <c r="AP29" s="222"/>
      <c r="AQ29" s="222"/>
      <c r="AR29" s="87">
        <f t="shared" si="5"/>
        <v>1000</v>
      </c>
      <c r="AS29" s="80">
        <v>46341</v>
      </c>
      <c r="AT29" s="220"/>
      <c r="AU29" s="82"/>
      <c r="AW29" s="84"/>
      <c r="AX29" s="87"/>
      <c r="AY29" s="87"/>
      <c r="AZ29" s="87">
        <f t="shared" si="6"/>
        <v>1150</v>
      </c>
      <c r="BA29" s="80">
        <v>46341</v>
      </c>
      <c r="BB29" s="374"/>
      <c r="BC29" s="82"/>
      <c r="BD29" s="352"/>
      <c r="BE29" s="84"/>
      <c r="BF29" s="87"/>
      <c r="BG29" s="87"/>
      <c r="BH29" s="87">
        <f t="shared" si="7"/>
        <v>7000</v>
      </c>
      <c r="BI29" s="80">
        <v>46341</v>
      </c>
      <c r="BJ29" s="220"/>
      <c r="BK29" s="82"/>
      <c r="BL29" s="172"/>
      <c r="BM29" s="84"/>
      <c r="BN29" s="222"/>
      <c r="BO29" s="222"/>
      <c r="BP29" s="87">
        <f t="shared" si="8"/>
        <v>1000</v>
      </c>
      <c r="BQ29" s="80">
        <v>46341</v>
      </c>
      <c r="BR29" s="220"/>
      <c r="BS29" s="82"/>
      <c r="BT29" s="172"/>
      <c r="BU29" s="347"/>
      <c r="BV29" s="87"/>
      <c r="BW29" s="87"/>
      <c r="BX29" s="87">
        <f t="shared" si="9"/>
        <v>0</v>
      </c>
      <c r="BY29" s="80">
        <v>46341</v>
      </c>
      <c r="BZ29" s="220"/>
      <c r="CA29" s="82"/>
      <c r="CB29" s="72"/>
      <c r="CC29" s="84"/>
      <c r="CD29" s="87"/>
      <c r="CE29" s="87"/>
      <c r="CF29" s="87">
        <f t="shared" si="10"/>
        <v>0</v>
      </c>
      <c r="CG29" s="88">
        <v>46356</v>
      </c>
      <c r="CH29" s="220"/>
      <c r="CI29" s="82"/>
      <c r="CJ29" s="72"/>
      <c r="CK29" s="99"/>
      <c r="CL29" s="222"/>
      <c r="CM29" s="222"/>
      <c r="CN29" s="87">
        <f t="shared" si="11"/>
        <v>0</v>
      </c>
      <c r="CO29" s="88">
        <v>46356</v>
      </c>
      <c r="CP29" s="220"/>
      <c r="CQ29" s="82"/>
      <c r="CS29" s="84"/>
      <c r="CT29" s="87"/>
      <c r="CU29" s="87"/>
      <c r="CV29" s="87">
        <f t="shared" si="12"/>
        <v>0</v>
      </c>
      <c r="CW29" s="88">
        <v>46356</v>
      </c>
      <c r="CX29" s="220"/>
      <c r="CY29" s="82"/>
      <c r="DA29" s="84"/>
      <c r="DB29" s="87"/>
      <c r="DC29" s="87"/>
      <c r="DD29" s="87">
        <f t="shared" si="13"/>
        <v>0</v>
      </c>
      <c r="DE29" s="88">
        <v>46356</v>
      </c>
      <c r="DF29" s="220"/>
      <c r="DG29" s="82"/>
      <c r="DH29" s="124"/>
      <c r="DI29" s="84"/>
      <c r="DJ29" s="87"/>
      <c r="DK29" s="87"/>
      <c r="DL29" s="87">
        <f t="shared" si="14"/>
        <v>0</v>
      </c>
      <c r="DM29" s="80">
        <v>46341</v>
      </c>
      <c r="DN29" s="220"/>
      <c r="DO29" s="82"/>
      <c r="DP29" s="172"/>
      <c r="DQ29" s="90"/>
      <c r="DR29" s="87"/>
      <c r="DS29" s="87"/>
      <c r="DT29" s="87">
        <f t="shared" si="15"/>
        <v>0</v>
      </c>
      <c r="DU29" s="80">
        <v>46341</v>
      </c>
      <c r="DV29" s="220"/>
      <c r="DW29" s="82"/>
      <c r="DX29" s="72"/>
      <c r="DY29" s="90"/>
      <c r="DZ29" s="222"/>
      <c r="EA29" s="222"/>
      <c r="EB29" s="87">
        <f t="shared" si="16"/>
        <v>0</v>
      </c>
      <c r="EC29" s="80">
        <v>46341</v>
      </c>
      <c r="ED29" s="220"/>
      <c r="EE29" s="82"/>
      <c r="EF29" s="72"/>
      <c r="EG29" s="84"/>
      <c r="EH29" s="87"/>
      <c r="EI29" s="87"/>
      <c r="EJ29" s="87">
        <f t="shared" si="17"/>
        <v>0</v>
      </c>
      <c r="EK29" s="80">
        <v>46341</v>
      </c>
      <c r="EL29" s="220"/>
      <c r="EM29" s="82"/>
      <c r="EN29" s="358"/>
      <c r="EO29" s="90"/>
      <c r="EP29" s="87"/>
      <c r="EQ29" s="87"/>
      <c r="ER29" s="87">
        <f t="shared" si="18"/>
        <v>0</v>
      </c>
      <c r="ES29" s="80">
        <v>46341</v>
      </c>
      <c r="ET29" s="220"/>
      <c r="EU29" s="82"/>
      <c r="EW29" s="90"/>
      <c r="EX29" s="222"/>
      <c r="EY29" s="222"/>
      <c r="EZ29" s="87">
        <f t="shared" si="19"/>
        <v>0</v>
      </c>
      <c r="FA29" s="80">
        <v>46341</v>
      </c>
      <c r="FB29" s="220"/>
      <c r="FC29" s="82"/>
      <c r="FE29" s="84"/>
      <c r="FF29" s="87"/>
      <c r="FG29" s="87"/>
      <c r="FH29" s="87">
        <f t="shared" si="93"/>
        <v>0</v>
      </c>
      <c r="FI29" s="80">
        <v>46341</v>
      </c>
      <c r="FJ29" s="220"/>
      <c r="FK29" s="82"/>
      <c r="FL29" s="72"/>
      <c r="FM29" s="90"/>
      <c r="FN29" s="87"/>
      <c r="FO29" s="87"/>
      <c r="FP29" s="87">
        <f t="shared" si="20"/>
        <v>0</v>
      </c>
      <c r="FQ29" s="80">
        <v>46341</v>
      </c>
      <c r="FR29" s="220"/>
      <c r="FS29" s="82"/>
      <c r="FT29" s="59"/>
      <c r="FU29" s="84"/>
      <c r="FV29" s="87"/>
      <c r="FW29" s="87"/>
      <c r="FX29" s="87">
        <f t="shared" si="21"/>
        <v>0</v>
      </c>
      <c r="FY29" s="163">
        <v>46341</v>
      </c>
      <c r="FZ29" s="220"/>
      <c r="GA29" s="82"/>
      <c r="GB29" s="197"/>
      <c r="GC29" s="99"/>
      <c r="GD29" s="87"/>
      <c r="GE29" s="87"/>
      <c r="GF29" s="87">
        <f t="shared" si="22"/>
        <v>0</v>
      </c>
      <c r="GG29" s="80">
        <v>46341</v>
      </c>
      <c r="GH29" s="220"/>
      <c r="GI29" s="82"/>
      <c r="GJ29"/>
      <c r="GK29" s="84"/>
      <c r="GL29" s="87"/>
      <c r="GM29" s="87"/>
      <c r="GN29" s="87">
        <f t="shared" si="23"/>
        <v>0</v>
      </c>
      <c r="GO29" s="88">
        <v>46356</v>
      </c>
      <c r="GP29" s="91"/>
      <c r="GQ29" s="82"/>
      <c r="GS29" s="84"/>
      <c r="GT29" s="87"/>
      <c r="GU29" s="87"/>
      <c r="GV29" s="87">
        <f t="shared" si="24"/>
        <v>0</v>
      </c>
      <c r="GW29" s="88">
        <v>46356</v>
      </c>
      <c r="GX29" s="91"/>
      <c r="GY29" s="82"/>
      <c r="GZ29"/>
      <c r="HA29" s="90"/>
      <c r="HB29" s="87"/>
      <c r="HC29" s="87"/>
      <c r="HD29" s="87">
        <f t="shared" si="25"/>
        <v>0</v>
      </c>
      <c r="HE29" s="88">
        <v>46356</v>
      </c>
      <c r="HF29" s="220"/>
      <c r="HG29" s="82"/>
      <c r="HI29" s="90"/>
      <c r="HJ29" s="87"/>
      <c r="HK29" s="87"/>
      <c r="HL29" s="87">
        <f t="shared" si="26"/>
        <v>0</v>
      </c>
      <c r="HM29" s="88">
        <v>46356</v>
      </c>
      <c r="HN29" s="220"/>
      <c r="HO29" s="82"/>
      <c r="HQ29" s="84"/>
      <c r="HR29" s="87"/>
      <c r="HS29" s="87"/>
      <c r="HT29" s="87">
        <f t="shared" si="27"/>
        <v>0</v>
      </c>
      <c r="HU29" s="88">
        <v>46356</v>
      </c>
      <c r="HV29" s="220"/>
      <c r="HW29" s="82"/>
      <c r="HY29" s="90"/>
      <c r="HZ29" s="87"/>
      <c r="IA29" s="87"/>
      <c r="IB29" s="87">
        <f t="shared" si="28"/>
        <v>0</v>
      </c>
      <c r="IC29" s="88">
        <v>46356</v>
      </c>
      <c r="ID29" s="220"/>
      <c r="IE29" s="82"/>
      <c r="IF29"/>
      <c r="IG29" s="90"/>
      <c r="IH29" s="87"/>
      <c r="II29" s="87"/>
      <c r="IJ29" s="87">
        <f t="shared" si="29"/>
        <v>0</v>
      </c>
      <c r="IK29" s="88">
        <v>46356</v>
      </c>
      <c r="IL29" s="91"/>
      <c r="IM29" s="82"/>
      <c r="IO29" s="84"/>
      <c r="IP29" s="87"/>
      <c r="IQ29" s="87"/>
      <c r="IR29" s="87">
        <f>SUM(IR28,IP29,-IQ29)</f>
        <v>0</v>
      </c>
      <c r="IS29" s="88">
        <v>46356</v>
      </c>
      <c r="IT29" s="91"/>
      <c r="IU29" s="82"/>
      <c r="IW29" s="90"/>
      <c r="IX29" s="87"/>
      <c r="IY29" s="87"/>
      <c r="IZ29" s="87">
        <f t="shared" si="31"/>
        <v>0</v>
      </c>
      <c r="JA29" s="88">
        <v>46356</v>
      </c>
      <c r="JB29" s="91"/>
      <c r="JC29" s="82"/>
      <c r="JE29" s="90"/>
      <c r="JF29" s="87"/>
      <c r="JG29" s="87"/>
      <c r="JH29" s="87">
        <f t="shared" si="32"/>
        <v>0</v>
      </c>
      <c r="JI29" s="88">
        <v>46356</v>
      </c>
      <c r="JJ29" s="220"/>
      <c r="JK29" s="82"/>
      <c r="JM29" s="84"/>
      <c r="JN29" s="87"/>
      <c r="JO29" s="87"/>
      <c r="JP29" s="87">
        <f t="shared" si="33"/>
        <v>0</v>
      </c>
      <c r="JQ29" s="163">
        <v>46356</v>
      </c>
      <c r="JR29" s="89"/>
      <c r="JS29" s="82"/>
      <c r="JT29"/>
      <c r="JU29" s="90"/>
      <c r="JV29" s="87"/>
      <c r="JW29" s="87"/>
      <c r="JX29" s="87">
        <f t="shared" si="94"/>
        <v>0</v>
      </c>
      <c r="JY29" s="163">
        <v>46356</v>
      </c>
      <c r="JZ29" s="91"/>
      <c r="KA29" s="82"/>
      <c r="KC29" s="90"/>
      <c r="KD29" s="87"/>
      <c r="KE29" s="87"/>
      <c r="KF29" s="87">
        <f t="shared" si="34"/>
        <v>0</v>
      </c>
      <c r="KG29" s="163">
        <v>46356</v>
      </c>
      <c r="KH29" s="86"/>
      <c r="KI29" s="109"/>
      <c r="KK29" s="90"/>
      <c r="KL29" s="87"/>
      <c r="KM29" s="87"/>
      <c r="KN29" s="87">
        <f t="shared" si="35"/>
        <v>0</v>
      </c>
      <c r="KO29" s="163">
        <v>46356</v>
      </c>
      <c r="KP29" s="89"/>
      <c r="KQ29" s="82"/>
      <c r="KS29" s="84"/>
      <c r="KT29" s="87"/>
      <c r="KU29" s="87"/>
      <c r="KV29" s="87">
        <f t="shared" si="36"/>
        <v>0</v>
      </c>
      <c r="KW29" s="88">
        <v>46356</v>
      </c>
      <c r="KX29" s="89"/>
      <c r="KY29" s="82"/>
      <c r="LA29" s="84"/>
      <c r="LB29" s="87"/>
      <c r="LC29" s="87"/>
      <c r="LD29" s="87">
        <f t="shared" si="37"/>
        <v>0</v>
      </c>
      <c r="LE29" s="163">
        <v>46356</v>
      </c>
      <c r="LF29" s="91"/>
      <c r="LG29" s="82"/>
      <c r="LH29"/>
      <c r="LI29" s="99"/>
      <c r="LJ29" s="87"/>
      <c r="LK29" s="87"/>
      <c r="LL29" s="87">
        <f t="shared" si="38"/>
        <v>0</v>
      </c>
      <c r="LM29" s="88">
        <v>46356</v>
      </c>
      <c r="LN29" s="89"/>
      <c r="LO29" s="82"/>
      <c r="LQ29" s="84"/>
      <c r="LR29" s="87"/>
      <c r="LS29" s="87"/>
      <c r="LT29" s="87">
        <f t="shared" si="39"/>
        <v>0</v>
      </c>
      <c r="LU29" s="88">
        <v>46356</v>
      </c>
      <c r="LV29" s="89"/>
      <c r="LW29" s="82"/>
      <c r="LY29" s="84"/>
      <c r="LZ29" s="87"/>
      <c r="MA29" s="87"/>
      <c r="MB29" s="87">
        <f t="shared" si="40"/>
        <v>0</v>
      </c>
      <c r="MC29" s="88">
        <v>46356</v>
      </c>
      <c r="MD29" s="89"/>
      <c r="ME29" s="82"/>
      <c r="MG29" s="90"/>
      <c r="MH29" s="87"/>
      <c r="MI29" s="87"/>
      <c r="MJ29" s="87">
        <f t="shared" si="41"/>
        <v>0</v>
      </c>
      <c r="MK29" s="88">
        <v>46356</v>
      </c>
      <c r="ML29" s="89"/>
      <c r="MM29" s="82"/>
      <c r="MN29" s="43"/>
      <c r="MO29" s="90"/>
      <c r="MP29" s="87"/>
      <c r="MQ29" s="87"/>
      <c r="MR29" s="87">
        <f t="shared" si="42"/>
        <v>0</v>
      </c>
      <c r="MS29" s="88">
        <v>46356</v>
      </c>
      <c r="MT29" s="89"/>
      <c r="MU29" s="82"/>
      <c r="MW29" s="99"/>
      <c r="MX29" s="87"/>
      <c r="MY29" s="87"/>
      <c r="MZ29" s="87">
        <f t="shared" si="43"/>
        <v>0</v>
      </c>
      <c r="NA29" s="88">
        <v>46356</v>
      </c>
      <c r="NB29" s="89"/>
      <c r="NC29" s="82"/>
      <c r="NE29" s="84"/>
      <c r="NF29" s="87"/>
      <c r="NG29" s="87"/>
      <c r="NH29" s="87">
        <f t="shared" si="44"/>
        <v>0</v>
      </c>
      <c r="NI29" s="88">
        <v>46356</v>
      </c>
      <c r="NJ29" s="91"/>
      <c r="NK29" s="82"/>
      <c r="NM29" s="84"/>
      <c r="NN29" s="87"/>
      <c r="NO29" s="87"/>
      <c r="NP29" s="87">
        <f t="shared" si="45"/>
        <v>0</v>
      </c>
      <c r="NQ29" s="88">
        <v>46356</v>
      </c>
      <c r="NR29" s="91"/>
      <c r="NS29" s="82"/>
      <c r="NU29" s="84"/>
      <c r="NV29" s="87"/>
      <c r="NW29" s="87"/>
      <c r="NX29" s="87">
        <f t="shared" si="46"/>
        <v>0</v>
      </c>
      <c r="NY29" s="88">
        <v>46356</v>
      </c>
      <c r="NZ29" s="89"/>
      <c r="OA29" s="82"/>
      <c r="OC29" s="90"/>
      <c r="OD29" s="87"/>
      <c r="OE29" s="87"/>
      <c r="OF29" s="87">
        <f t="shared" si="47"/>
        <v>0</v>
      </c>
      <c r="OG29" s="88">
        <v>46356</v>
      </c>
      <c r="OH29" s="89"/>
      <c r="OI29" s="82"/>
      <c r="OK29" s="84"/>
      <c r="OL29" s="87"/>
      <c r="OM29" s="87"/>
      <c r="ON29" s="87">
        <f t="shared" si="48"/>
        <v>0</v>
      </c>
      <c r="OO29" s="88">
        <v>46356</v>
      </c>
      <c r="OP29" s="91"/>
      <c r="OQ29" s="82"/>
      <c r="OS29" s="90"/>
      <c r="OT29" s="87"/>
      <c r="OU29" s="87"/>
      <c r="OV29" s="87">
        <f t="shared" si="49"/>
        <v>0</v>
      </c>
      <c r="OW29" s="88">
        <v>46356</v>
      </c>
      <c r="OX29" s="89"/>
      <c r="OY29" s="82"/>
      <c r="PA29" s="90"/>
      <c r="PB29" s="87"/>
      <c r="PC29" s="87"/>
      <c r="PD29" s="87">
        <f t="shared" si="50"/>
        <v>0</v>
      </c>
      <c r="PE29" s="88">
        <v>46356</v>
      </c>
      <c r="PF29" s="89"/>
      <c r="PG29" s="82"/>
      <c r="PI29" s="99"/>
      <c r="PJ29" s="87"/>
      <c r="PK29" s="87"/>
      <c r="PL29" s="87">
        <f t="shared" si="51"/>
        <v>0</v>
      </c>
      <c r="PM29" s="88">
        <v>46356</v>
      </c>
      <c r="PN29" s="212"/>
      <c r="PO29" s="216"/>
      <c r="PP29"/>
      <c r="PQ29" s="90"/>
      <c r="PR29" s="87"/>
      <c r="PS29" s="87"/>
      <c r="PT29" s="87">
        <f t="shared" si="52"/>
        <v>0</v>
      </c>
      <c r="PU29" s="88">
        <v>46356</v>
      </c>
      <c r="PV29" s="89"/>
      <c r="PW29" s="82"/>
      <c r="PY29" s="84"/>
      <c r="PZ29" s="87"/>
      <c r="QA29" s="87"/>
      <c r="QB29" s="87">
        <f t="shared" si="53"/>
        <v>0</v>
      </c>
      <c r="QC29" s="88">
        <v>46356</v>
      </c>
      <c r="QD29" s="91"/>
      <c r="QE29" s="82"/>
      <c r="QG29" s="90"/>
      <c r="QH29" s="87"/>
      <c r="QI29" s="87"/>
      <c r="QJ29" s="87">
        <f t="shared" si="54"/>
        <v>0</v>
      </c>
      <c r="QK29" s="88">
        <v>46356</v>
      </c>
      <c r="QL29" s="89"/>
      <c r="QM29" s="82"/>
      <c r="QO29" s="90"/>
      <c r="QP29" s="87"/>
      <c r="QQ29" s="87"/>
      <c r="QR29" s="87">
        <f t="shared" si="55"/>
        <v>0</v>
      </c>
      <c r="QS29" s="88">
        <v>46356</v>
      </c>
      <c r="QT29" s="211"/>
      <c r="QU29" s="216"/>
      <c r="QW29" s="90"/>
      <c r="QX29" s="87"/>
      <c r="QY29" s="87"/>
      <c r="QZ29" s="87">
        <f t="shared" si="56"/>
        <v>0</v>
      </c>
      <c r="RA29" s="88">
        <v>46356</v>
      </c>
      <c r="RB29" s="89"/>
      <c r="RC29" s="82"/>
      <c r="RE29" s="84"/>
      <c r="RF29" s="87"/>
      <c r="RG29" s="87"/>
      <c r="RH29" s="87">
        <f t="shared" si="57"/>
        <v>0</v>
      </c>
      <c r="RI29" s="88">
        <v>46356</v>
      </c>
      <c r="RJ29" s="89"/>
      <c r="RK29" s="170"/>
      <c r="RM29" s="84"/>
      <c r="RN29" s="87"/>
      <c r="RO29" s="87"/>
      <c r="RP29" s="87">
        <f t="shared" si="58"/>
        <v>0</v>
      </c>
      <c r="RQ29" s="88">
        <v>46356</v>
      </c>
      <c r="RR29" s="89"/>
      <c r="RS29" s="82"/>
      <c r="RT29" s="132"/>
      <c r="RU29" s="84"/>
      <c r="RV29" s="87"/>
      <c r="RW29" s="87"/>
      <c r="RX29" s="87">
        <f t="shared" si="59"/>
        <v>0</v>
      </c>
      <c r="RY29" s="88">
        <v>46356</v>
      </c>
      <c r="RZ29" s="91"/>
      <c r="SA29" s="82"/>
      <c r="SC29" s="84"/>
      <c r="SD29" s="87"/>
      <c r="SE29" s="87"/>
      <c r="SF29" s="87">
        <f t="shared" si="60"/>
        <v>0</v>
      </c>
      <c r="SG29" s="88">
        <v>46356</v>
      </c>
      <c r="SH29" s="89"/>
      <c r="SI29" s="82"/>
      <c r="SK29" s="84"/>
      <c r="SL29" s="87"/>
      <c r="SM29" s="87"/>
      <c r="SN29" s="87">
        <f t="shared" si="61"/>
        <v>0</v>
      </c>
      <c r="SO29" s="88">
        <v>46356</v>
      </c>
      <c r="SP29" s="91"/>
      <c r="SQ29" s="82"/>
      <c r="SS29" s="84"/>
      <c r="ST29" s="87"/>
      <c r="SU29" s="87"/>
      <c r="SV29" s="87">
        <f t="shared" si="62"/>
        <v>0</v>
      </c>
      <c r="SW29" s="88">
        <v>46356</v>
      </c>
      <c r="SX29" s="89"/>
      <c r="SY29" s="82"/>
      <c r="TA29" s="84"/>
      <c r="TB29" s="87"/>
      <c r="TC29" s="87"/>
      <c r="TD29" s="87">
        <f t="shared" si="63"/>
        <v>0</v>
      </c>
      <c r="TE29" s="88">
        <v>46356</v>
      </c>
      <c r="TF29" s="91"/>
      <c r="TG29" s="82"/>
      <c r="TI29" s="84"/>
      <c r="TJ29" s="87"/>
      <c r="TK29" s="87"/>
      <c r="TL29" s="87">
        <f t="shared" si="64"/>
        <v>0</v>
      </c>
      <c r="TM29" s="88">
        <v>46356</v>
      </c>
      <c r="TN29" s="89"/>
      <c r="TO29" s="82"/>
      <c r="TP29"/>
      <c r="TQ29" s="84"/>
      <c r="TR29" s="87"/>
      <c r="TS29" s="87"/>
      <c r="TT29" s="87">
        <f t="shared" si="65"/>
        <v>0</v>
      </c>
      <c r="TU29" s="88">
        <v>46356</v>
      </c>
      <c r="TV29" s="91"/>
      <c r="TW29" s="82"/>
      <c r="TY29" s="84"/>
      <c r="TZ29" s="87"/>
      <c r="UA29" s="87"/>
      <c r="UB29" s="87">
        <f t="shared" si="66"/>
        <v>0</v>
      </c>
      <c r="UC29" s="88">
        <v>46356</v>
      </c>
      <c r="UD29" s="91"/>
      <c r="UE29" s="82"/>
      <c r="UG29" s="84"/>
      <c r="UH29" s="87"/>
      <c r="UI29" s="87"/>
      <c r="UJ29" s="87">
        <f t="shared" si="67"/>
        <v>0</v>
      </c>
      <c r="UK29" s="88">
        <v>46356</v>
      </c>
      <c r="UL29" s="91"/>
      <c r="UM29" s="82"/>
      <c r="UO29" s="84"/>
      <c r="UP29" s="87"/>
      <c r="UQ29" s="87"/>
      <c r="UR29" s="87">
        <f t="shared" si="68"/>
        <v>0</v>
      </c>
      <c r="US29" s="88">
        <v>46356</v>
      </c>
      <c r="UT29" s="89"/>
      <c r="UU29" s="82"/>
      <c r="UW29" s="84"/>
      <c r="UX29" s="87"/>
      <c r="UY29" s="87"/>
      <c r="UZ29" s="87">
        <f t="shared" si="69"/>
        <v>0</v>
      </c>
      <c r="VA29" s="88">
        <v>46356</v>
      </c>
      <c r="VB29" s="89"/>
      <c r="VC29" s="82"/>
      <c r="VE29" s="84"/>
      <c r="VF29" s="87"/>
      <c r="VG29" s="87"/>
      <c r="VH29" s="87">
        <f t="shared" si="70"/>
        <v>0</v>
      </c>
      <c r="VI29" s="88">
        <v>46356</v>
      </c>
      <c r="VJ29" s="89"/>
      <c r="VK29" s="82"/>
      <c r="VM29" s="84"/>
      <c r="VN29" s="87"/>
      <c r="VO29" s="87"/>
      <c r="VP29" s="87">
        <f t="shared" si="71"/>
        <v>0</v>
      </c>
      <c r="VQ29" s="88">
        <v>46356</v>
      </c>
      <c r="VR29" s="91"/>
      <c r="VS29" s="82"/>
      <c r="VU29" s="84"/>
      <c r="VV29" s="87"/>
      <c r="VW29" s="87"/>
      <c r="VX29" s="87">
        <f t="shared" si="72"/>
        <v>0</v>
      </c>
      <c r="VY29" s="88">
        <v>46356</v>
      </c>
      <c r="VZ29" s="89"/>
      <c r="WA29" s="82"/>
      <c r="WC29" s="84"/>
      <c r="WD29" s="87"/>
      <c r="WE29" s="87"/>
      <c r="WF29" s="87">
        <f t="shared" si="73"/>
        <v>0</v>
      </c>
      <c r="WG29" s="88">
        <v>46356</v>
      </c>
      <c r="WH29" s="89"/>
      <c r="WI29" s="82"/>
      <c r="WJ29"/>
      <c r="WK29" s="84"/>
      <c r="WL29" s="87"/>
      <c r="WM29" s="87"/>
      <c r="WN29" s="87">
        <f t="shared" si="74"/>
        <v>0</v>
      </c>
      <c r="WO29" s="88">
        <v>46356</v>
      </c>
      <c r="WP29" s="89"/>
      <c r="WQ29" s="82"/>
      <c r="WS29" s="84"/>
      <c r="WT29" s="87"/>
      <c r="WU29" s="87"/>
      <c r="WV29" s="87">
        <f t="shared" si="75"/>
        <v>0</v>
      </c>
      <c r="WW29" s="88">
        <v>46356</v>
      </c>
      <c r="WX29" s="91"/>
      <c r="WY29" s="82"/>
      <c r="XA29" s="84"/>
      <c r="XB29" s="87"/>
      <c r="XC29" s="87"/>
      <c r="XD29" s="87">
        <f t="shared" si="76"/>
        <v>0</v>
      </c>
      <c r="XE29" s="88">
        <v>46356</v>
      </c>
      <c r="XF29" s="91"/>
      <c r="XG29" s="82"/>
      <c r="XI29" s="84"/>
      <c r="XJ29" s="87"/>
      <c r="XK29" s="87"/>
      <c r="XL29" s="87">
        <f t="shared" si="77"/>
        <v>0</v>
      </c>
      <c r="XM29" s="88">
        <v>46356</v>
      </c>
      <c r="XN29" s="91"/>
      <c r="XO29" s="82"/>
      <c r="XQ29" s="84"/>
      <c r="XR29" s="87"/>
      <c r="XS29" s="87"/>
      <c r="XT29" s="87">
        <f t="shared" si="78"/>
        <v>0</v>
      </c>
      <c r="XU29" s="88">
        <v>46356</v>
      </c>
      <c r="XV29" s="91"/>
      <c r="XW29" s="82"/>
      <c r="XY29" s="84"/>
      <c r="XZ29" s="87"/>
      <c r="YA29" s="87"/>
      <c r="YB29" s="87">
        <f t="shared" si="79"/>
        <v>0</v>
      </c>
      <c r="YC29" s="88">
        <v>46356</v>
      </c>
      <c r="YD29" s="89"/>
      <c r="YE29" s="82"/>
      <c r="YG29" s="84"/>
      <c r="YH29" s="87"/>
      <c r="YI29" s="87"/>
      <c r="YJ29" s="87">
        <f t="shared" si="80"/>
        <v>0</v>
      </c>
      <c r="YK29" s="88">
        <v>46356</v>
      </c>
      <c r="YL29" s="89"/>
      <c r="YM29" s="82"/>
      <c r="YO29" s="84"/>
      <c r="YP29" s="87"/>
      <c r="YQ29" s="87"/>
      <c r="YR29" s="87">
        <f t="shared" si="81"/>
        <v>0</v>
      </c>
      <c r="YS29" s="88">
        <v>46356</v>
      </c>
      <c r="YT29" s="89"/>
      <c r="YU29" s="82"/>
      <c r="YW29" s="84"/>
      <c r="YX29" s="87"/>
      <c r="YY29" s="87"/>
      <c r="YZ29" s="87">
        <f t="shared" si="82"/>
        <v>0</v>
      </c>
      <c r="ZA29" s="88">
        <v>46356</v>
      </c>
      <c r="ZB29" s="89"/>
      <c r="ZC29" s="82"/>
      <c r="ZE29" s="84"/>
      <c r="ZF29" s="87"/>
      <c r="ZG29" s="87"/>
      <c r="ZH29" s="87">
        <f t="shared" si="83"/>
        <v>0</v>
      </c>
      <c r="ZI29" s="88">
        <v>46356</v>
      </c>
      <c r="ZJ29" s="89"/>
      <c r="ZK29" s="82"/>
      <c r="ZM29" s="84"/>
      <c r="ZN29" s="87"/>
      <c r="ZO29" s="87"/>
      <c r="ZP29" s="87">
        <f t="shared" si="84"/>
        <v>0</v>
      </c>
      <c r="ZQ29" s="88">
        <v>46356</v>
      </c>
      <c r="ZR29" s="89"/>
      <c r="ZS29" s="82"/>
      <c r="ZU29" s="84"/>
      <c r="ZV29" s="87"/>
      <c r="ZW29" s="87"/>
      <c r="ZX29" s="87">
        <f t="shared" si="85"/>
        <v>0</v>
      </c>
      <c r="ZY29" s="88">
        <v>46356</v>
      </c>
      <c r="ZZ29" s="89"/>
      <c r="AAA29" s="42"/>
      <c r="AAC29" s="84"/>
      <c r="AAD29" s="87"/>
      <c r="AAE29" s="87"/>
      <c r="AAF29" s="87">
        <f t="shared" si="86"/>
        <v>0</v>
      </c>
      <c r="AAG29" s="88">
        <v>46356</v>
      </c>
      <c r="AAH29" s="89"/>
      <c r="AAI29" s="82"/>
      <c r="AAK29" s="84"/>
      <c r="AAL29" s="87"/>
      <c r="AAM29" s="87"/>
      <c r="AAN29" s="87">
        <f t="shared" si="87"/>
        <v>0</v>
      </c>
      <c r="AAO29" s="88">
        <v>46356</v>
      </c>
      <c r="AAP29" s="89"/>
      <c r="AAQ29" s="82"/>
      <c r="AAS29" s="84"/>
      <c r="AAT29" s="87"/>
      <c r="AAU29" s="87"/>
      <c r="AAV29" s="87">
        <f t="shared" si="88"/>
        <v>0</v>
      </c>
      <c r="AAW29" s="88">
        <v>46356</v>
      </c>
      <c r="AAX29" s="89"/>
      <c r="AAY29" s="82"/>
      <c r="ABA29" s="84"/>
      <c r="ABB29" s="87"/>
      <c r="ABC29" s="87"/>
      <c r="ABD29" s="87">
        <f t="shared" si="89"/>
        <v>0</v>
      </c>
      <c r="ABE29" s="88">
        <v>46356</v>
      </c>
      <c r="ABF29" s="89"/>
      <c r="ABG29" s="82"/>
      <c r="ABI29" s="84"/>
      <c r="ABJ29" s="87"/>
      <c r="ABK29" s="87"/>
      <c r="ABL29" s="87">
        <f t="shared" si="90"/>
        <v>0</v>
      </c>
      <c r="ABM29" s="88">
        <v>46356</v>
      </c>
      <c r="ABN29" s="89"/>
      <c r="ABO29" s="82"/>
      <c r="ABQ29" s="84"/>
      <c r="ABR29" s="87"/>
      <c r="ABS29" s="87"/>
      <c r="ABT29" s="87">
        <f t="shared" si="91"/>
        <v>0</v>
      </c>
      <c r="ABU29" s="88">
        <v>46356</v>
      </c>
      <c r="ABV29" s="89"/>
      <c r="ABW29" s="82"/>
      <c r="ABY29" s="84"/>
      <c r="ABZ29" s="87"/>
      <c r="ACA29" s="87"/>
      <c r="ACB29" s="87">
        <f t="shared" si="92"/>
        <v>0</v>
      </c>
      <c r="ACC29" s="88">
        <v>46356</v>
      </c>
      <c r="ACD29" s="89"/>
      <c r="ACE29" s="82"/>
    </row>
    <row r="30" spans="1:759" ht="12" customHeight="1" thickBot="1" x14ac:dyDescent="0.3">
      <c r="A30" s="10"/>
      <c r="B30" s="350"/>
      <c r="C30" s="222"/>
      <c r="D30" s="87">
        <f t="shared" si="2"/>
        <v>1700</v>
      </c>
      <c r="E30" s="88">
        <v>46356</v>
      </c>
      <c r="F30" s="374"/>
      <c r="G30" s="382"/>
      <c r="H30" s="72"/>
      <c r="I30" s="84"/>
      <c r="J30" s="87"/>
      <c r="K30" s="87"/>
      <c r="L30" s="87">
        <f t="shared" si="0"/>
        <v>1000</v>
      </c>
      <c r="M30" s="163">
        <v>46356</v>
      </c>
      <c r="N30" s="220"/>
      <c r="O30" s="82"/>
      <c r="P30" s="72"/>
      <c r="Q30" s="90"/>
      <c r="R30" s="87"/>
      <c r="S30" s="87"/>
      <c r="T30" s="87">
        <f t="shared" si="1"/>
        <v>4000</v>
      </c>
      <c r="U30" s="88">
        <v>46356</v>
      </c>
      <c r="V30" s="220"/>
      <c r="W30" s="191"/>
      <c r="Y30" s="193"/>
      <c r="Z30" s="222"/>
      <c r="AA30" s="222"/>
      <c r="AB30" s="222">
        <f t="shared" si="3"/>
        <v>1000</v>
      </c>
      <c r="AC30" s="88">
        <v>46356</v>
      </c>
      <c r="AD30" s="220"/>
      <c r="AE30" s="82"/>
      <c r="AF30" s="72"/>
      <c r="AG30" s="84"/>
      <c r="AH30" s="222"/>
      <c r="AI30" s="222"/>
      <c r="AJ30" s="87">
        <f t="shared" si="4"/>
        <v>2000</v>
      </c>
      <c r="AK30" s="88">
        <v>46356</v>
      </c>
      <c r="AL30" s="220"/>
      <c r="AM30" s="82"/>
      <c r="AN30" s="105"/>
      <c r="AO30" s="84"/>
      <c r="AP30" s="222"/>
      <c r="AQ30" s="222"/>
      <c r="AR30" s="87">
        <f t="shared" si="5"/>
        <v>1000</v>
      </c>
      <c r="AS30" s="88">
        <v>46356</v>
      </c>
      <c r="AT30" s="220"/>
      <c r="AU30" s="82"/>
      <c r="AV30"/>
      <c r="AW30" s="84"/>
      <c r="AX30" s="87"/>
      <c r="AY30" s="87"/>
      <c r="AZ30" s="87">
        <f t="shared" si="6"/>
        <v>1150</v>
      </c>
      <c r="BA30" s="88">
        <v>46356</v>
      </c>
      <c r="BB30" s="374"/>
      <c r="BC30" s="82"/>
      <c r="BD30" s="354"/>
      <c r="BE30" s="90"/>
      <c r="BF30" s="87"/>
      <c r="BG30" s="87"/>
      <c r="BH30" s="87">
        <f t="shared" si="7"/>
        <v>7000</v>
      </c>
      <c r="BI30" s="88">
        <v>46356</v>
      </c>
      <c r="BJ30" s="220"/>
      <c r="BK30" s="82"/>
      <c r="BL30" s="172"/>
      <c r="BM30" s="84"/>
      <c r="BN30" s="222"/>
      <c r="BO30" s="222"/>
      <c r="BP30" s="87">
        <f t="shared" si="8"/>
        <v>1000</v>
      </c>
      <c r="BQ30" s="88">
        <v>46356</v>
      </c>
      <c r="BR30" s="220"/>
      <c r="BS30" s="42"/>
      <c r="BT30" s="394"/>
      <c r="BU30" s="84"/>
      <c r="BV30" s="87"/>
      <c r="BW30" s="87"/>
      <c r="BX30" s="87">
        <f t="shared" si="9"/>
        <v>0</v>
      </c>
      <c r="BY30" s="88">
        <v>46356</v>
      </c>
      <c r="BZ30" s="220"/>
      <c r="CA30" s="82"/>
      <c r="CB30" s="72"/>
      <c r="CC30" s="84"/>
      <c r="CD30" s="87"/>
      <c r="CE30" s="87"/>
      <c r="CF30" s="87">
        <f t="shared" si="10"/>
        <v>0</v>
      </c>
      <c r="CG30" s="93">
        <v>46371</v>
      </c>
      <c r="CH30" s="220"/>
      <c r="CI30" s="82"/>
      <c r="CJ30" s="72"/>
      <c r="CK30" s="99"/>
      <c r="CL30" s="222"/>
      <c r="CM30" s="222"/>
      <c r="CN30" s="87">
        <f t="shared" si="11"/>
        <v>0</v>
      </c>
      <c r="CO30" s="93">
        <v>46371</v>
      </c>
      <c r="CP30" s="220"/>
      <c r="CQ30" s="82"/>
      <c r="CR30"/>
      <c r="CS30" s="84"/>
      <c r="CT30" s="87"/>
      <c r="CU30" s="87"/>
      <c r="CV30" s="87">
        <f t="shared" si="12"/>
        <v>0</v>
      </c>
      <c r="CW30" s="93">
        <v>46371</v>
      </c>
      <c r="CX30" s="220"/>
      <c r="CY30" s="82"/>
      <c r="DA30" s="84"/>
      <c r="DB30" s="87"/>
      <c r="DC30" s="87"/>
      <c r="DD30" s="87">
        <f t="shared" si="13"/>
        <v>0</v>
      </c>
      <c r="DE30" s="93">
        <v>46371</v>
      </c>
      <c r="DF30" s="220"/>
      <c r="DG30" s="82"/>
      <c r="DI30" s="84"/>
      <c r="DJ30" s="87"/>
      <c r="DK30" s="87"/>
      <c r="DL30" s="87">
        <f t="shared" si="14"/>
        <v>0</v>
      </c>
      <c r="DM30" s="88">
        <v>46356</v>
      </c>
      <c r="DN30" s="220"/>
      <c r="DO30" s="82"/>
      <c r="DP30" s="172"/>
      <c r="DQ30" s="90"/>
      <c r="DR30" s="87"/>
      <c r="DS30" s="87"/>
      <c r="DT30" s="87">
        <f t="shared" si="15"/>
        <v>0</v>
      </c>
      <c r="DU30" s="88">
        <v>46356</v>
      </c>
      <c r="DV30" s="220"/>
      <c r="DW30" s="82"/>
      <c r="DX30" s="226"/>
      <c r="DY30" s="90"/>
      <c r="DZ30" s="222"/>
      <c r="EA30" s="222"/>
      <c r="EB30" s="87">
        <f t="shared" si="16"/>
        <v>0</v>
      </c>
      <c r="EC30" s="88">
        <v>46356</v>
      </c>
      <c r="ED30" s="220"/>
      <c r="EE30" s="82"/>
      <c r="EF30" s="72"/>
      <c r="EG30" s="84"/>
      <c r="EH30" s="87"/>
      <c r="EI30" s="87"/>
      <c r="EJ30" s="87">
        <f t="shared" si="17"/>
        <v>0</v>
      </c>
      <c r="EK30" s="88">
        <v>46356</v>
      </c>
      <c r="EL30" s="220"/>
      <c r="EM30" s="82"/>
      <c r="EN30" s="355"/>
      <c r="EO30" s="90"/>
      <c r="EP30" s="87"/>
      <c r="EQ30" s="87"/>
      <c r="ER30" s="87">
        <f t="shared" si="18"/>
        <v>0</v>
      </c>
      <c r="ES30" s="88">
        <v>46356</v>
      </c>
      <c r="ET30" s="220"/>
      <c r="EU30" s="82"/>
      <c r="EW30" s="90"/>
      <c r="EX30" s="222"/>
      <c r="EY30" s="222"/>
      <c r="EZ30" s="87">
        <f t="shared" si="19"/>
        <v>0</v>
      </c>
      <c r="FA30" s="88">
        <v>46356</v>
      </c>
      <c r="FB30" s="220"/>
      <c r="FC30" s="82"/>
      <c r="FE30" s="90"/>
      <c r="FF30" s="87"/>
      <c r="FG30" s="87"/>
      <c r="FH30" s="87">
        <f t="shared" si="93"/>
        <v>0</v>
      </c>
      <c r="FI30" s="88">
        <v>46356</v>
      </c>
      <c r="FJ30" s="220"/>
      <c r="FK30" s="82"/>
      <c r="FL30" s="72"/>
      <c r="FM30" s="90"/>
      <c r="FN30" s="87"/>
      <c r="FO30" s="87"/>
      <c r="FP30" s="87">
        <f t="shared" si="20"/>
        <v>0</v>
      </c>
      <c r="FQ30" s="88">
        <v>46356</v>
      </c>
      <c r="FR30" s="220"/>
      <c r="FS30" s="82"/>
      <c r="FT30" s="59"/>
      <c r="FU30" s="84"/>
      <c r="FV30" s="87"/>
      <c r="FW30" s="87"/>
      <c r="FX30" s="87">
        <f t="shared" si="21"/>
        <v>0</v>
      </c>
      <c r="FY30" s="163">
        <v>46356</v>
      </c>
      <c r="FZ30" s="220"/>
      <c r="GA30" s="82"/>
      <c r="GB30" s="296"/>
      <c r="GC30" s="90"/>
      <c r="GD30" s="87"/>
      <c r="GE30" s="87"/>
      <c r="GF30" s="87">
        <f t="shared" si="22"/>
        <v>0</v>
      </c>
      <c r="GG30" s="88">
        <v>46356</v>
      </c>
      <c r="GH30" s="220"/>
      <c r="GI30" s="82"/>
      <c r="GJ30"/>
      <c r="GK30" s="90"/>
      <c r="GL30" s="87"/>
      <c r="GM30" s="87"/>
      <c r="GN30" s="87">
        <f t="shared" si="23"/>
        <v>0</v>
      </c>
      <c r="GO30" s="93">
        <v>46371</v>
      </c>
      <c r="GP30" s="91"/>
      <c r="GQ30" s="82"/>
      <c r="GR30"/>
      <c r="GS30" s="90"/>
      <c r="GT30" s="87"/>
      <c r="GU30" s="87"/>
      <c r="GV30" s="87">
        <f t="shared" si="24"/>
        <v>0</v>
      </c>
      <c r="GW30" s="93">
        <v>46371</v>
      </c>
      <c r="GX30" s="89"/>
      <c r="GY30" s="82"/>
      <c r="GZ30"/>
      <c r="HA30" s="90"/>
      <c r="HB30" s="87"/>
      <c r="HC30" s="87"/>
      <c r="HD30" s="87">
        <f t="shared" si="25"/>
        <v>0</v>
      </c>
      <c r="HE30" s="93">
        <v>46371</v>
      </c>
      <c r="HF30" s="220"/>
      <c r="HG30" s="82"/>
      <c r="HH30"/>
      <c r="HI30" s="90"/>
      <c r="HJ30" s="87"/>
      <c r="HK30" s="87"/>
      <c r="HL30" s="87">
        <f t="shared" si="26"/>
        <v>0</v>
      </c>
      <c r="HM30" s="93">
        <v>46371</v>
      </c>
      <c r="HN30" s="220"/>
      <c r="HO30" s="82"/>
      <c r="HQ30" s="90"/>
      <c r="HR30" s="87"/>
      <c r="HS30" s="87"/>
      <c r="HT30" s="87">
        <f t="shared" si="27"/>
        <v>0</v>
      </c>
      <c r="HU30" s="93">
        <v>46371</v>
      </c>
      <c r="HV30" s="220"/>
      <c r="HW30" s="82"/>
      <c r="HY30" s="90"/>
      <c r="HZ30" s="87"/>
      <c r="IA30" s="87"/>
      <c r="IB30" s="87">
        <f t="shared" si="28"/>
        <v>0</v>
      </c>
      <c r="IC30" s="93">
        <v>46371</v>
      </c>
      <c r="ID30" s="89"/>
      <c r="IE30" s="82"/>
      <c r="IG30" s="90"/>
      <c r="IH30" s="87"/>
      <c r="II30" s="87"/>
      <c r="IJ30" s="87">
        <f t="shared" si="29"/>
        <v>0</v>
      </c>
      <c r="IK30" s="93">
        <v>46371</v>
      </c>
      <c r="IL30" s="91"/>
      <c r="IM30" s="82"/>
      <c r="IN30"/>
      <c r="IO30" s="84"/>
      <c r="IP30" s="87"/>
      <c r="IQ30" s="87"/>
      <c r="IR30" s="87">
        <f t="shared" si="30"/>
        <v>0</v>
      </c>
      <c r="IS30" s="93">
        <v>46371</v>
      </c>
      <c r="IT30" s="91"/>
      <c r="IU30" s="82"/>
      <c r="IW30" s="90"/>
      <c r="IX30" s="87"/>
      <c r="IY30" s="87"/>
      <c r="IZ30" s="87">
        <f t="shared" si="31"/>
        <v>0</v>
      </c>
      <c r="JA30" s="93">
        <v>46371</v>
      </c>
      <c r="JB30" s="89"/>
      <c r="JC30" s="82"/>
      <c r="JE30" s="90"/>
      <c r="JF30" s="87"/>
      <c r="JG30" s="87"/>
      <c r="JH30" s="87">
        <f t="shared" si="32"/>
        <v>0</v>
      </c>
      <c r="JI30" s="93">
        <v>46371</v>
      </c>
      <c r="JJ30" s="220"/>
      <c r="JK30" s="82"/>
      <c r="JM30" s="84"/>
      <c r="JN30" s="87"/>
      <c r="JO30" s="87"/>
      <c r="JP30" s="87">
        <f t="shared" si="33"/>
        <v>0</v>
      </c>
      <c r="JQ30" s="164">
        <v>42719</v>
      </c>
      <c r="JR30" s="91"/>
      <c r="JS30" s="82"/>
      <c r="JT30"/>
      <c r="JU30" s="90"/>
      <c r="JV30" s="87"/>
      <c r="JW30" s="87"/>
      <c r="JX30" s="87">
        <f t="shared" si="94"/>
        <v>0</v>
      </c>
      <c r="JY30" s="164">
        <v>46371</v>
      </c>
      <c r="JZ30" s="91"/>
      <c r="KA30" s="82"/>
      <c r="KC30" s="90"/>
      <c r="KD30" s="87"/>
      <c r="KE30" s="87"/>
      <c r="KF30" s="87">
        <f t="shared" si="34"/>
        <v>0</v>
      </c>
      <c r="KG30" s="164">
        <v>46371</v>
      </c>
      <c r="KH30" s="86"/>
      <c r="KI30" s="109"/>
      <c r="KK30" s="90"/>
      <c r="KL30" s="87"/>
      <c r="KM30" s="87"/>
      <c r="KN30" s="87">
        <f t="shared" si="35"/>
        <v>0</v>
      </c>
      <c r="KO30" s="164">
        <v>46371</v>
      </c>
      <c r="KP30" s="89"/>
      <c r="KQ30" s="82"/>
      <c r="KS30" s="84"/>
      <c r="KT30" s="87"/>
      <c r="KU30" s="87"/>
      <c r="KV30" s="87">
        <f t="shared" si="36"/>
        <v>0</v>
      </c>
      <c r="KW30" s="93">
        <v>46371</v>
      </c>
      <c r="KX30" s="89"/>
      <c r="KY30" s="82"/>
      <c r="KZ30" s="63">
        <v>0</v>
      </c>
      <c r="LA30" s="90"/>
      <c r="LB30" s="87"/>
      <c r="LC30" s="87"/>
      <c r="LD30" s="87">
        <f t="shared" si="37"/>
        <v>0</v>
      </c>
      <c r="LE30" s="164">
        <v>43084</v>
      </c>
      <c r="LF30" s="89"/>
      <c r="LG30" s="82"/>
      <c r="LI30" s="84"/>
      <c r="LJ30" s="87"/>
      <c r="LK30" s="87"/>
      <c r="LL30" s="87">
        <f t="shared" si="38"/>
        <v>0</v>
      </c>
      <c r="LM30" s="93">
        <v>46371</v>
      </c>
      <c r="LN30" s="89"/>
      <c r="LO30" s="82"/>
      <c r="LQ30" s="90"/>
      <c r="LR30" s="87"/>
      <c r="LS30" s="87"/>
      <c r="LT30" s="87">
        <f t="shared" si="39"/>
        <v>0</v>
      </c>
      <c r="LU30" s="93">
        <v>43084</v>
      </c>
      <c r="LV30" s="89"/>
      <c r="LW30" s="82"/>
      <c r="LY30" s="84"/>
      <c r="LZ30" s="87"/>
      <c r="MA30" s="87"/>
      <c r="MB30" s="87">
        <f t="shared" si="40"/>
        <v>0</v>
      </c>
      <c r="MC30" s="93">
        <v>46371</v>
      </c>
      <c r="MD30" s="89"/>
      <c r="ME30" s="82"/>
      <c r="MG30" s="90"/>
      <c r="MH30" s="87"/>
      <c r="MI30" s="87"/>
      <c r="MJ30" s="87">
        <f t="shared" si="41"/>
        <v>0</v>
      </c>
      <c r="MK30" s="93">
        <v>46371</v>
      </c>
      <c r="ML30" s="89"/>
      <c r="MM30" s="82"/>
      <c r="MO30" s="90"/>
      <c r="MP30" s="87"/>
      <c r="MQ30" s="87"/>
      <c r="MR30" s="87">
        <f t="shared" si="42"/>
        <v>0</v>
      </c>
      <c r="MS30" s="93">
        <v>46371</v>
      </c>
      <c r="MT30" s="89"/>
      <c r="MU30" s="82"/>
      <c r="MW30" s="84"/>
      <c r="MX30" s="87"/>
      <c r="MY30" s="87"/>
      <c r="MZ30" s="87">
        <f t="shared" si="43"/>
        <v>0</v>
      </c>
      <c r="NA30" s="93">
        <v>46371</v>
      </c>
      <c r="NB30" s="89"/>
      <c r="NC30" s="82"/>
      <c r="NE30" s="84"/>
      <c r="NF30" s="87"/>
      <c r="NG30" s="87"/>
      <c r="NH30" s="87">
        <f t="shared" si="44"/>
        <v>0</v>
      </c>
      <c r="NI30" s="93">
        <v>46371</v>
      </c>
      <c r="NJ30" s="89"/>
      <c r="NK30" s="82"/>
      <c r="NM30" s="90"/>
      <c r="NN30" s="87"/>
      <c r="NO30" s="87"/>
      <c r="NP30" s="87">
        <f t="shared" si="45"/>
        <v>0</v>
      </c>
      <c r="NQ30" s="93">
        <v>46371</v>
      </c>
      <c r="NR30" s="91"/>
      <c r="NS30" s="82"/>
      <c r="NU30" s="84"/>
      <c r="NV30" s="87"/>
      <c r="NW30" s="87"/>
      <c r="NX30" s="87">
        <f t="shared" si="46"/>
        <v>0</v>
      </c>
      <c r="NY30" s="93">
        <v>46371</v>
      </c>
      <c r="NZ30" s="89"/>
      <c r="OA30" s="82"/>
      <c r="OC30" s="90"/>
      <c r="OD30" s="87"/>
      <c r="OE30" s="87"/>
      <c r="OF30" s="87">
        <f t="shared" si="47"/>
        <v>0</v>
      </c>
      <c r="OG30" s="93">
        <v>46371</v>
      </c>
      <c r="OH30" s="89"/>
      <c r="OI30" s="82"/>
      <c r="OK30" s="84"/>
      <c r="OL30" s="87"/>
      <c r="OM30" s="87"/>
      <c r="ON30" s="87">
        <f t="shared" si="48"/>
        <v>0</v>
      </c>
      <c r="OO30" s="93">
        <v>46371</v>
      </c>
      <c r="OP30" s="91"/>
      <c r="OQ30" s="82"/>
      <c r="OS30" s="90"/>
      <c r="OT30" s="87"/>
      <c r="OU30" s="87"/>
      <c r="OV30" s="87">
        <f t="shared" si="49"/>
        <v>0</v>
      </c>
      <c r="OW30" s="93">
        <v>46371</v>
      </c>
      <c r="OX30" s="89"/>
      <c r="OY30" s="82"/>
      <c r="PA30" s="90"/>
      <c r="PB30" s="87"/>
      <c r="PC30" s="87"/>
      <c r="PD30" s="87">
        <f t="shared" si="50"/>
        <v>0</v>
      </c>
      <c r="PE30" s="93">
        <v>46371</v>
      </c>
      <c r="PF30" s="89"/>
      <c r="PG30" s="82"/>
      <c r="PI30" s="90"/>
      <c r="PJ30" s="87"/>
      <c r="PK30" s="87"/>
      <c r="PL30" s="87">
        <f t="shared" si="51"/>
        <v>0</v>
      </c>
      <c r="PM30" s="93">
        <v>46371</v>
      </c>
      <c r="PN30" s="212"/>
      <c r="PO30" s="216"/>
      <c r="PQ30" s="90"/>
      <c r="PR30" s="87"/>
      <c r="PS30" s="87"/>
      <c r="PT30" s="87">
        <f t="shared" si="52"/>
        <v>0</v>
      </c>
      <c r="PU30" s="93">
        <v>46371</v>
      </c>
      <c r="PV30" s="89"/>
      <c r="PW30" s="82"/>
      <c r="PY30" s="84"/>
      <c r="PZ30" s="87"/>
      <c r="QA30" s="87"/>
      <c r="QB30" s="87">
        <f t="shared" si="53"/>
        <v>0</v>
      </c>
      <c r="QC30" s="93">
        <v>46371</v>
      </c>
      <c r="QD30" s="89"/>
      <c r="QE30" s="42"/>
      <c r="QG30" s="90"/>
      <c r="QH30" s="87"/>
      <c r="QI30" s="87"/>
      <c r="QJ30" s="87">
        <f t="shared" si="54"/>
        <v>0</v>
      </c>
      <c r="QK30" s="93">
        <v>46371</v>
      </c>
      <c r="QL30" s="89"/>
      <c r="QM30" s="82"/>
      <c r="QO30" s="90"/>
      <c r="QP30" s="87"/>
      <c r="QQ30" s="87"/>
      <c r="QR30" s="87">
        <f t="shared" si="55"/>
        <v>0</v>
      </c>
      <c r="QS30" s="93">
        <v>46371</v>
      </c>
      <c r="QT30" s="211"/>
      <c r="QU30" s="216"/>
      <c r="QW30" s="90"/>
      <c r="QX30" s="87"/>
      <c r="QY30" s="87"/>
      <c r="QZ30" s="87">
        <f t="shared" si="56"/>
        <v>0</v>
      </c>
      <c r="RA30" s="93">
        <v>46371</v>
      </c>
      <c r="RB30" s="89"/>
      <c r="RC30" s="82"/>
      <c r="RE30" s="84"/>
      <c r="RF30" s="87"/>
      <c r="RG30" s="87"/>
      <c r="RH30" s="87">
        <f t="shared" si="57"/>
        <v>0</v>
      </c>
      <c r="RI30" s="93">
        <v>46371</v>
      </c>
      <c r="RJ30" s="89"/>
      <c r="RK30" s="178"/>
      <c r="RM30" s="84"/>
      <c r="RN30" s="87"/>
      <c r="RO30" s="87"/>
      <c r="RP30" s="87">
        <f t="shared" si="58"/>
        <v>0</v>
      </c>
      <c r="RQ30" s="93">
        <v>43084</v>
      </c>
      <c r="RR30" s="89"/>
      <c r="RS30" s="82"/>
      <c r="RU30" s="84"/>
      <c r="RV30" s="87"/>
      <c r="RW30" s="87"/>
      <c r="RX30" s="87">
        <f t="shared" si="59"/>
        <v>0</v>
      </c>
      <c r="RY30" s="93">
        <v>46371</v>
      </c>
      <c r="RZ30" s="89"/>
      <c r="SA30" s="82"/>
      <c r="SC30" s="84"/>
      <c r="SD30" s="87"/>
      <c r="SE30" s="87"/>
      <c r="SF30" s="87">
        <f t="shared" si="60"/>
        <v>0</v>
      </c>
      <c r="SG30" s="93">
        <v>46371</v>
      </c>
      <c r="SH30" s="89"/>
      <c r="SI30" s="82"/>
      <c r="SK30" s="84"/>
      <c r="SL30" s="87"/>
      <c r="SM30" s="87"/>
      <c r="SN30" s="87">
        <f t="shared" si="61"/>
        <v>0</v>
      </c>
      <c r="SO30" s="93">
        <v>46371</v>
      </c>
      <c r="SP30" s="91"/>
      <c r="SQ30" s="82"/>
      <c r="SS30" s="84"/>
      <c r="ST30" s="87"/>
      <c r="SU30" s="87"/>
      <c r="SV30" s="87">
        <f t="shared" si="62"/>
        <v>0</v>
      </c>
      <c r="SW30" s="93">
        <v>42719</v>
      </c>
      <c r="SX30" s="89"/>
      <c r="SY30" s="82"/>
      <c r="TA30" s="84"/>
      <c r="TB30" s="87"/>
      <c r="TC30" s="87"/>
      <c r="TD30" s="87">
        <f t="shared" si="63"/>
        <v>0</v>
      </c>
      <c r="TE30" s="93">
        <v>46371</v>
      </c>
      <c r="TF30" s="91"/>
      <c r="TG30" s="82"/>
      <c r="TI30" s="84"/>
      <c r="TJ30" s="87"/>
      <c r="TK30" s="87"/>
      <c r="TL30" s="87">
        <f t="shared" si="64"/>
        <v>0</v>
      </c>
      <c r="TM30" s="93">
        <v>46371</v>
      </c>
      <c r="TN30" s="89"/>
      <c r="TO30" s="82"/>
      <c r="TQ30" s="84"/>
      <c r="TR30" s="87"/>
      <c r="TS30" s="87"/>
      <c r="TT30" s="87">
        <f t="shared" si="65"/>
        <v>0</v>
      </c>
      <c r="TU30" s="93">
        <v>46371</v>
      </c>
      <c r="TV30" s="91"/>
      <c r="TW30" s="82"/>
      <c r="TY30" s="84"/>
      <c r="TZ30" s="87"/>
      <c r="UA30" s="87"/>
      <c r="UB30" s="87">
        <f t="shared" si="66"/>
        <v>0</v>
      </c>
      <c r="UC30" s="93">
        <v>46371</v>
      </c>
      <c r="UD30" s="89"/>
      <c r="UE30" s="82"/>
      <c r="UG30" s="84"/>
      <c r="UH30" s="87"/>
      <c r="UI30" s="87"/>
      <c r="UJ30" s="87">
        <f t="shared" si="67"/>
        <v>0</v>
      </c>
      <c r="UK30" s="93">
        <v>46371</v>
      </c>
      <c r="UL30" s="89"/>
      <c r="UM30" s="82"/>
      <c r="UO30" s="84"/>
      <c r="UP30" s="87"/>
      <c r="UQ30" s="87"/>
      <c r="UR30" s="87">
        <f t="shared" si="68"/>
        <v>0</v>
      </c>
      <c r="US30" s="93">
        <v>46371</v>
      </c>
      <c r="UT30" s="89"/>
      <c r="UU30" s="82"/>
      <c r="UW30" s="84"/>
      <c r="UX30" s="87"/>
      <c r="UY30" s="87"/>
      <c r="UZ30" s="87">
        <f t="shared" si="69"/>
        <v>0</v>
      </c>
      <c r="VA30" s="93">
        <v>46371</v>
      </c>
      <c r="VB30" s="89"/>
      <c r="VC30" s="82"/>
      <c r="VE30" s="84"/>
      <c r="VF30" s="87"/>
      <c r="VG30" s="87"/>
      <c r="VH30" s="87">
        <f t="shared" si="70"/>
        <v>0</v>
      </c>
      <c r="VI30" s="93">
        <v>46371</v>
      </c>
      <c r="VJ30" s="89"/>
      <c r="VK30" s="82"/>
      <c r="VM30" s="84"/>
      <c r="VN30" s="87"/>
      <c r="VO30" s="87"/>
      <c r="VP30" s="87">
        <f t="shared" si="71"/>
        <v>0</v>
      </c>
      <c r="VQ30" s="93">
        <v>46371</v>
      </c>
      <c r="VR30" s="89"/>
      <c r="VS30" s="82"/>
      <c r="VU30" s="84"/>
      <c r="VV30" s="87"/>
      <c r="VW30" s="87"/>
      <c r="VX30" s="87">
        <f t="shared" si="72"/>
        <v>0</v>
      </c>
      <c r="VY30" s="93">
        <v>46371</v>
      </c>
      <c r="VZ30" s="89"/>
      <c r="WA30" s="82"/>
      <c r="WC30" s="84"/>
      <c r="WD30" s="87"/>
      <c r="WE30" s="87"/>
      <c r="WF30" s="87">
        <f t="shared" si="73"/>
        <v>0</v>
      </c>
      <c r="WG30" s="93">
        <v>46371</v>
      </c>
      <c r="WH30" s="89"/>
      <c r="WI30" s="82"/>
      <c r="WK30" s="84"/>
      <c r="WL30" s="87"/>
      <c r="WM30" s="87"/>
      <c r="WN30" s="87">
        <f t="shared" si="74"/>
        <v>0</v>
      </c>
      <c r="WO30" s="93">
        <v>46371</v>
      </c>
      <c r="WP30" s="89"/>
      <c r="WQ30" s="82"/>
      <c r="WS30" s="84"/>
      <c r="WT30" s="87"/>
      <c r="WU30" s="87"/>
      <c r="WV30" s="87">
        <f t="shared" si="75"/>
        <v>0</v>
      </c>
      <c r="WW30" s="93">
        <v>46371</v>
      </c>
      <c r="WX30" s="89"/>
      <c r="WY30" s="82"/>
      <c r="XA30" s="84"/>
      <c r="XB30" s="87"/>
      <c r="XC30" s="87"/>
      <c r="XD30" s="87">
        <f t="shared" si="76"/>
        <v>0</v>
      </c>
      <c r="XE30" s="93">
        <v>46371</v>
      </c>
      <c r="XF30" s="91"/>
      <c r="XG30" s="82"/>
      <c r="XI30" s="84"/>
      <c r="XJ30" s="87"/>
      <c r="XK30" s="87"/>
      <c r="XL30" s="87">
        <f t="shared" si="77"/>
        <v>0</v>
      </c>
      <c r="XM30" s="93">
        <v>46371</v>
      </c>
      <c r="XN30" s="91"/>
      <c r="XO30" s="82"/>
      <c r="XQ30" s="84"/>
      <c r="XR30" s="87"/>
      <c r="XS30" s="87"/>
      <c r="XT30" s="87">
        <f t="shared" si="78"/>
        <v>0</v>
      </c>
      <c r="XU30" s="93">
        <v>46371</v>
      </c>
      <c r="XV30" s="91"/>
      <c r="XW30" s="82"/>
      <c r="XY30" s="84"/>
      <c r="XZ30" s="87"/>
      <c r="YA30" s="87"/>
      <c r="YB30" s="87">
        <f t="shared" si="79"/>
        <v>0</v>
      </c>
      <c r="YC30" s="93">
        <v>46371</v>
      </c>
      <c r="YD30" s="89"/>
      <c r="YE30" s="82"/>
      <c r="YG30" s="84"/>
      <c r="YH30" s="87"/>
      <c r="YI30" s="87"/>
      <c r="YJ30" s="87">
        <f t="shared" si="80"/>
        <v>0</v>
      </c>
      <c r="YK30" s="93">
        <v>46371</v>
      </c>
      <c r="YL30" s="89"/>
      <c r="YM30" s="82"/>
      <c r="YO30" s="84"/>
      <c r="YP30" s="87"/>
      <c r="YQ30" s="87"/>
      <c r="YR30" s="87">
        <f t="shared" si="81"/>
        <v>0</v>
      </c>
      <c r="YS30" s="93">
        <v>46371</v>
      </c>
      <c r="YT30" s="89"/>
      <c r="YU30" s="82"/>
      <c r="YW30" s="84"/>
      <c r="YX30" s="87"/>
      <c r="YY30" s="87"/>
      <c r="YZ30" s="87">
        <f t="shared" si="82"/>
        <v>0</v>
      </c>
      <c r="ZA30" s="93">
        <v>46371</v>
      </c>
      <c r="ZB30" s="89"/>
      <c r="ZC30" s="82"/>
      <c r="ZE30" s="84"/>
      <c r="ZF30" s="87"/>
      <c r="ZG30" s="87"/>
      <c r="ZH30" s="87">
        <f t="shared" si="83"/>
        <v>0</v>
      </c>
      <c r="ZI30" s="93">
        <v>46371</v>
      </c>
      <c r="ZJ30" s="89"/>
      <c r="ZK30" s="82"/>
      <c r="ZM30" s="10"/>
      <c r="ZN30" s="87"/>
      <c r="ZO30" s="87"/>
      <c r="ZP30" s="87">
        <f t="shared" si="84"/>
        <v>0</v>
      </c>
      <c r="ZQ30" s="93">
        <v>46371</v>
      </c>
      <c r="ZR30" s="89"/>
      <c r="ZS30" s="82"/>
      <c r="ZU30" s="84"/>
      <c r="ZV30" s="87"/>
      <c r="ZW30" s="87"/>
      <c r="ZX30" s="87">
        <f t="shared" si="85"/>
        <v>0</v>
      </c>
      <c r="ZY30" s="93">
        <v>46371</v>
      </c>
      <c r="ZZ30" s="89"/>
      <c r="AAA30" s="82"/>
      <c r="AAC30" s="84"/>
      <c r="AAD30" s="87"/>
      <c r="AAE30" s="87"/>
      <c r="AAF30" s="87">
        <f t="shared" si="86"/>
        <v>0</v>
      </c>
      <c r="AAG30" s="93">
        <v>46371</v>
      </c>
      <c r="AAH30" s="89"/>
      <c r="AAI30" s="82"/>
      <c r="AAK30" s="84"/>
      <c r="AAL30" s="87"/>
      <c r="AAM30" s="87"/>
      <c r="AAN30" s="87">
        <f t="shared" si="87"/>
        <v>0</v>
      </c>
      <c r="AAO30" s="93">
        <v>46371</v>
      </c>
      <c r="AAP30" s="89"/>
      <c r="AAQ30" s="82"/>
      <c r="AAS30" s="84"/>
      <c r="AAT30" s="87"/>
      <c r="AAU30" s="87"/>
      <c r="AAV30" s="87">
        <f t="shared" si="88"/>
        <v>0</v>
      </c>
      <c r="AAW30" s="93">
        <v>46371</v>
      </c>
      <c r="AAX30" s="89"/>
      <c r="AAY30" s="82"/>
      <c r="ABA30" s="84"/>
      <c r="ABB30" s="87"/>
      <c r="ABC30" s="87"/>
      <c r="ABD30" s="87">
        <f t="shared" si="89"/>
        <v>0</v>
      </c>
      <c r="ABE30" s="93">
        <v>46371</v>
      </c>
      <c r="ABF30" s="89"/>
      <c r="ABG30" s="82"/>
      <c r="ABI30" s="84"/>
      <c r="ABJ30" s="87"/>
      <c r="ABK30" s="87"/>
      <c r="ABL30" s="87">
        <f t="shared" si="90"/>
        <v>0</v>
      </c>
      <c r="ABM30" s="93">
        <v>46371</v>
      </c>
      <c r="ABN30" s="89"/>
      <c r="ABO30" s="82"/>
      <c r="ABQ30" s="84"/>
      <c r="ABR30" s="87"/>
      <c r="ABS30" s="87"/>
      <c r="ABT30" s="87">
        <f t="shared" si="91"/>
        <v>0</v>
      </c>
      <c r="ABU30" s="93">
        <v>46371</v>
      </c>
      <c r="ABV30" s="89"/>
      <c r="ABW30" s="82"/>
      <c r="ABY30" s="84"/>
      <c r="ABZ30" s="87"/>
      <c r="ACA30" s="87"/>
      <c r="ACB30" s="87">
        <f t="shared" si="92"/>
        <v>0</v>
      </c>
      <c r="ACC30" s="93">
        <v>46371</v>
      </c>
      <c r="ACD30" s="89"/>
      <c r="ACE30" s="82"/>
    </row>
    <row r="31" spans="1:759" ht="12" customHeight="1" x14ac:dyDescent="0.25">
      <c r="A31" s="10"/>
      <c r="B31" s="350"/>
      <c r="C31" s="222"/>
      <c r="D31" s="87">
        <f t="shared" si="2"/>
        <v>1700</v>
      </c>
      <c r="E31" s="93">
        <v>46371</v>
      </c>
      <c r="F31" s="212"/>
      <c r="G31" s="382"/>
      <c r="H31" s="72"/>
      <c r="I31" s="84"/>
      <c r="J31" s="87"/>
      <c r="K31" s="87"/>
      <c r="L31" s="87">
        <f t="shared" si="0"/>
        <v>1000</v>
      </c>
      <c r="M31" s="164">
        <v>46371</v>
      </c>
      <c r="N31" s="220"/>
      <c r="O31" s="82"/>
      <c r="P31" s="72"/>
      <c r="Q31" s="90"/>
      <c r="R31" s="87"/>
      <c r="S31" s="87"/>
      <c r="T31" s="87">
        <f t="shared" si="1"/>
        <v>4000</v>
      </c>
      <c r="U31" s="93">
        <v>46371</v>
      </c>
      <c r="V31" s="220"/>
      <c r="W31" s="82"/>
      <c r="X31" s="72"/>
      <c r="Y31" s="99"/>
      <c r="Z31" s="222"/>
      <c r="AA31" s="222"/>
      <c r="AB31" s="222">
        <f t="shared" si="3"/>
        <v>1000</v>
      </c>
      <c r="AC31" s="93">
        <v>46371</v>
      </c>
      <c r="AD31" s="220"/>
      <c r="AE31" s="82"/>
      <c r="AF31" s="72"/>
      <c r="AG31" s="84"/>
      <c r="AH31" s="222"/>
      <c r="AI31" s="222"/>
      <c r="AJ31" s="87">
        <f t="shared" si="4"/>
        <v>2000</v>
      </c>
      <c r="AK31" s="93">
        <v>46371</v>
      </c>
      <c r="AL31" s="220"/>
      <c r="AM31" s="82"/>
      <c r="AN31" s="172"/>
      <c r="AO31" s="84"/>
      <c r="AP31" s="222"/>
      <c r="AQ31" s="222"/>
      <c r="AR31" s="87">
        <f t="shared" si="5"/>
        <v>1000</v>
      </c>
      <c r="AS31" s="93">
        <v>46371</v>
      </c>
      <c r="AT31" s="220"/>
      <c r="AU31" s="82"/>
      <c r="AW31" s="90"/>
      <c r="AX31" s="87"/>
      <c r="AY31" s="87"/>
      <c r="AZ31" s="87">
        <f t="shared" si="6"/>
        <v>1150</v>
      </c>
      <c r="BA31" s="93">
        <v>46371</v>
      </c>
      <c r="BB31" s="374"/>
      <c r="BC31" s="82"/>
      <c r="BD31" s="72"/>
      <c r="BE31" s="90"/>
      <c r="BF31" s="87"/>
      <c r="BG31" s="87"/>
      <c r="BH31" s="87">
        <f t="shared" si="7"/>
        <v>7000</v>
      </c>
      <c r="BI31" s="93">
        <v>46371</v>
      </c>
      <c r="BJ31" s="220"/>
      <c r="BK31" s="82"/>
      <c r="BL31" s="172"/>
      <c r="BM31" s="84"/>
      <c r="BN31" s="222"/>
      <c r="BO31" s="222"/>
      <c r="BP31" s="87">
        <f t="shared" si="8"/>
        <v>1000</v>
      </c>
      <c r="BQ31" s="93">
        <v>46371</v>
      </c>
      <c r="BR31" s="220"/>
      <c r="BS31" s="82"/>
      <c r="BT31" s="172"/>
      <c r="BU31" s="90"/>
      <c r="BV31" s="87"/>
      <c r="BW31" s="87"/>
      <c r="BX31" s="87">
        <f t="shared" si="9"/>
        <v>0</v>
      </c>
      <c r="BY31" s="93">
        <v>46371</v>
      </c>
      <c r="BZ31" s="220"/>
      <c r="CA31" s="82"/>
      <c r="CB31" s="72"/>
      <c r="CC31" s="84"/>
      <c r="CD31" s="87"/>
      <c r="CE31" s="87"/>
      <c r="CF31" s="87">
        <f t="shared" si="10"/>
        <v>0</v>
      </c>
      <c r="CG31" s="96">
        <v>46386</v>
      </c>
      <c r="CH31" s="220"/>
      <c r="CI31" s="82"/>
      <c r="CJ31" s="72"/>
      <c r="CK31" s="99"/>
      <c r="CL31" s="222"/>
      <c r="CM31" s="222"/>
      <c r="CN31" s="87">
        <f t="shared" si="11"/>
        <v>0</v>
      </c>
      <c r="CO31" s="96">
        <v>46386</v>
      </c>
      <c r="CP31" s="220"/>
      <c r="CQ31" s="82"/>
      <c r="CR31" s="72"/>
      <c r="CS31" s="84"/>
      <c r="CT31" s="87"/>
      <c r="CU31" s="87"/>
      <c r="CV31" s="87">
        <f t="shared" si="12"/>
        <v>0</v>
      </c>
      <c r="CW31" s="96">
        <v>46386</v>
      </c>
      <c r="CX31" s="220"/>
      <c r="CY31" s="82"/>
      <c r="DA31" s="84"/>
      <c r="DB31" s="87"/>
      <c r="DC31" s="87"/>
      <c r="DD31" s="87">
        <f t="shared" si="13"/>
        <v>0</v>
      </c>
      <c r="DE31" s="96">
        <v>46386</v>
      </c>
      <c r="DF31" s="220"/>
      <c r="DG31" s="82"/>
      <c r="DH31" s="72"/>
      <c r="DI31" s="84"/>
      <c r="DJ31" s="87"/>
      <c r="DK31" s="87"/>
      <c r="DL31" s="87">
        <f t="shared" si="14"/>
        <v>0</v>
      </c>
      <c r="DM31" s="93">
        <v>46371</v>
      </c>
      <c r="DN31" s="220"/>
      <c r="DO31" s="82"/>
      <c r="DP31" s="172"/>
      <c r="DQ31" s="90"/>
      <c r="DR31" s="87"/>
      <c r="DS31" s="87"/>
      <c r="DT31" s="87">
        <f t="shared" si="15"/>
        <v>0</v>
      </c>
      <c r="DU31" s="93">
        <v>46371</v>
      </c>
      <c r="DV31" s="220"/>
      <c r="DW31" s="82"/>
      <c r="DX31" s="72"/>
      <c r="DY31" s="90"/>
      <c r="DZ31" s="222"/>
      <c r="EA31" s="222"/>
      <c r="EB31" s="87">
        <f t="shared" si="16"/>
        <v>0</v>
      </c>
      <c r="EC31" s="93">
        <v>46371</v>
      </c>
      <c r="ED31" s="89"/>
      <c r="EE31" s="82"/>
      <c r="EF31" s="72"/>
      <c r="EG31" s="84"/>
      <c r="EH31" s="87"/>
      <c r="EI31" s="87"/>
      <c r="EJ31" s="87">
        <f t="shared" si="17"/>
        <v>0</v>
      </c>
      <c r="EK31" s="93">
        <v>46371</v>
      </c>
      <c r="EL31" s="89"/>
      <c r="EM31" s="82"/>
      <c r="EN31" s="355"/>
      <c r="EO31" s="90"/>
      <c r="EP31" s="87"/>
      <c r="EQ31" s="87"/>
      <c r="ER31" s="87">
        <f t="shared" si="18"/>
        <v>0</v>
      </c>
      <c r="ES31" s="93">
        <v>46371</v>
      </c>
      <c r="ET31" s="89"/>
      <c r="EU31" s="82"/>
      <c r="EW31" s="90"/>
      <c r="EX31" s="222"/>
      <c r="EY31" s="222"/>
      <c r="EZ31" s="87">
        <f t="shared" si="19"/>
        <v>0</v>
      </c>
      <c r="FA31" s="93">
        <v>46371</v>
      </c>
      <c r="FB31" s="220"/>
      <c r="FC31" s="82"/>
      <c r="FD31"/>
      <c r="FE31" s="90"/>
      <c r="FF31" s="87"/>
      <c r="FG31" s="87"/>
      <c r="FH31" s="87">
        <f t="shared" si="93"/>
        <v>0</v>
      </c>
      <c r="FI31" s="93">
        <v>46371</v>
      </c>
      <c r="FJ31" s="89"/>
      <c r="FK31" s="82"/>
      <c r="FM31" s="90"/>
      <c r="FN31" s="87"/>
      <c r="FO31" s="87"/>
      <c r="FP31" s="87">
        <f t="shared" si="20"/>
        <v>0</v>
      </c>
      <c r="FQ31" s="93">
        <v>46371</v>
      </c>
      <c r="FR31" s="220"/>
      <c r="FS31" s="82"/>
      <c r="FT31" s="72"/>
      <c r="FU31" s="84"/>
      <c r="FV31" s="87"/>
      <c r="FW31" s="87"/>
      <c r="FX31" s="87">
        <f t="shared" si="21"/>
        <v>0</v>
      </c>
      <c r="FY31" s="164">
        <v>46371</v>
      </c>
      <c r="FZ31" s="220"/>
      <c r="GA31" s="82"/>
      <c r="GB31"/>
      <c r="GC31" s="90"/>
      <c r="GD31" s="87"/>
      <c r="GE31" s="87"/>
      <c r="GF31" s="87">
        <f t="shared" si="22"/>
        <v>0</v>
      </c>
      <c r="GG31" s="93">
        <v>46371</v>
      </c>
      <c r="GH31" s="220"/>
      <c r="GI31" s="82"/>
      <c r="GJ31"/>
      <c r="GK31" s="90"/>
      <c r="GL31" s="87"/>
      <c r="GM31" s="87"/>
      <c r="GN31" s="87">
        <f t="shared" si="23"/>
        <v>0</v>
      </c>
      <c r="GO31" s="96">
        <v>46386</v>
      </c>
      <c r="GP31" s="91"/>
      <c r="GQ31" s="82"/>
      <c r="GS31" s="90"/>
      <c r="GT31" s="87"/>
      <c r="GU31" s="87"/>
      <c r="GV31" s="87">
        <f t="shared" si="24"/>
        <v>0</v>
      </c>
      <c r="GW31" s="96">
        <v>46386</v>
      </c>
      <c r="GX31" s="89"/>
      <c r="GY31" s="82"/>
      <c r="HA31" s="90"/>
      <c r="HB31" s="87"/>
      <c r="HC31" s="87"/>
      <c r="HD31" s="87">
        <f t="shared" si="25"/>
        <v>0</v>
      </c>
      <c r="HE31" s="96">
        <v>46386</v>
      </c>
      <c r="HF31" s="220"/>
      <c r="HG31" s="82"/>
      <c r="HI31" s="90"/>
      <c r="HJ31" s="87"/>
      <c r="HK31" s="87"/>
      <c r="HL31" s="87">
        <f t="shared" si="26"/>
        <v>0</v>
      </c>
      <c r="HM31" s="96">
        <v>46386</v>
      </c>
      <c r="HN31" s="220"/>
      <c r="HO31" s="82"/>
      <c r="HQ31" s="90"/>
      <c r="HR31" s="87"/>
      <c r="HS31" s="87"/>
      <c r="HT31" s="87">
        <f t="shared" si="27"/>
        <v>0</v>
      </c>
      <c r="HU31" s="96">
        <v>46386</v>
      </c>
      <c r="HV31" s="220"/>
      <c r="HW31" s="82"/>
      <c r="HY31" s="90"/>
      <c r="HZ31" s="87"/>
      <c r="IA31" s="87"/>
      <c r="IB31" s="87">
        <f t="shared" si="28"/>
        <v>0</v>
      </c>
      <c r="IC31" s="96">
        <v>46386</v>
      </c>
      <c r="ID31" s="89"/>
      <c r="IE31" s="82"/>
      <c r="IG31" s="90"/>
      <c r="IH31" s="87"/>
      <c r="II31" s="87"/>
      <c r="IJ31" s="87">
        <f t="shared" si="29"/>
        <v>0</v>
      </c>
      <c r="IK31" s="96">
        <v>46386</v>
      </c>
      <c r="IL31" s="89"/>
      <c r="IM31" s="82"/>
      <c r="IO31" s="84"/>
      <c r="IP31" s="87"/>
      <c r="IQ31" s="87"/>
      <c r="IR31" s="87">
        <f t="shared" si="30"/>
        <v>0</v>
      </c>
      <c r="IS31" s="96">
        <v>46386</v>
      </c>
      <c r="IT31" s="91"/>
      <c r="IU31" s="82"/>
      <c r="IW31" s="90"/>
      <c r="IX31" s="87"/>
      <c r="IY31" s="87"/>
      <c r="IZ31" s="87">
        <f t="shared" si="31"/>
        <v>0</v>
      </c>
      <c r="JA31" s="96">
        <v>46386</v>
      </c>
      <c r="JB31" s="89"/>
      <c r="JC31" s="82"/>
      <c r="JE31" s="90"/>
      <c r="JF31" s="87"/>
      <c r="JG31" s="87"/>
      <c r="JH31" s="87">
        <f t="shared" si="32"/>
        <v>0</v>
      </c>
      <c r="JI31" s="96">
        <v>46386</v>
      </c>
      <c r="JJ31" s="220"/>
      <c r="JK31" s="82"/>
      <c r="JM31" s="84"/>
      <c r="JN31" s="87"/>
      <c r="JO31" s="87"/>
      <c r="JP31" s="87">
        <f t="shared" si="33"/>
        <v>0</v>
      </c>
      <c r="JQ31" s="164">
        <v>42734</v>
      </c>
      <c r="JR31" s="91"/>
      <c r="JS31" s="82"/>
      <c r="JU31" s="90"/>
      <c r="JV31" s="87"/>
      <c r="JW31" s="87"/>
      <c r="JX31" s="87">
        <f t="shared" si="94"/>
        <v>0</v>
      </c>
      <c r="JY31" s="164">
        <v>46386</v>
      </c>
      <c r="JZ31" s="91"/>
      <c r="KA31" s="82"/>
      <c r="KC31" s="90"/>
      <c r="KD31" s="87"/>
      <c r="KE31" s="87"/>
      <c r="KF31" s="87">
        <f t="shared" si="34"/>
        <v>0</v>
      </c>
      <c r="KG31" s="164">
        <v>46386</v>
      </c>
      <c r="KH31" s="86"/>
      <c r="KI31" s="109"/>
      <c r="KK31" s="90"/>
      <c r="KL31" s="87"/>
      <c r="KM31" s="87"/>
      <c r="KN31" s="87">
        <f t="shared" si="35"/>
        <v>0</v>
      </c>
      <c r="KO31" s="164">
        <v>46386</v>
      </c>
      <c r="KP31" s="89"/>
      <c r="KQ31" s="82"/>
      <c r="KS31" s="84"/>
      <c r="KT31" s="87"/>
      <c r="KU31" s="87"/>
      <c r="KV31" s="87">
        <f t="shared" si="36"/>
        <v>0</v>
      </c>
      <c r="KW31" s="96">
        <v>46386</v>
      </c>
      <c r="KX31" s="89"/>
      <c r="KY31" s="82"/>
      <c r="KZ31" s="63">
        <v>0</v>
      </c>
      <c r="LA31" s="90"/>
      <c r="LB31" s="87"/>
      <c r="LC31" s="87"/>
      <c r="LD31" s="87">
        <f t="shared" si="37"/>
        <v>0</v>
      </c>
      <c r="LE31" s="164">
        <v>43099</v>
      </c>
      <c r="LF31" s="89"/>
      <c r="LG31" s="82"/>
      <c r="LI31" s="99"/>
      <c r="LJ31" s="87"/>
      <c r="LK31" s="87"/>
      <c r="LL31" s="87">
        <f t="shared" si="38"/>
        <v>0</v>
      </c>
      <c r="LM31" s="96">
        <v>46386</v>
      </c>
      <c r="LN31" s="89"/>
      <c r="LO31" s="82"/>
      <c r="LQ31" s="90"/>
      <c r="LR31" s="87"/>
      <c r="LS31" s="87"/>
      <c r="LT31" s="87">
        <f t="shared" si="39"/>
        <v>0</v>
      </c>
      <c r="LU31" s="96">
        <v>43099</v>
      </c>
      <c r="LV31" s="89"/>
      <c r="LW31" s="82"/>
      <c r="LY31" s="84"/>
      <c r="LZ31" s="87"/>
      <c r="MA31" s="87"/>
      <c r="MB31" s="87">
        <f t="shared" si="40"/>
        <v>0</v>
      </c>
      <c r="MC31" s="96">
        <v>46386</v>
      </c>
      <c r="MD31" s="89"/>
      <c r="ME31" s="82"/>
      <c r="MG31" s="90"/>
      <c r="MH31" s="87"/>
      <c r="MI31" s="87"/>
      <c r="MJ31" s="87">
        <f t="shared" si="41"/>
        <v>0</v>
      </c>
      <c r="MK31" s="96">
        <v>46386</v>
      </c>
      <c r="ML31" s="89"/>
      <c r="MM31" s="82"/>
      <c r="MO31" s="90"/>
      <c r="MP31" s="87"/>
      <c r="MQ31" s="87"/>
      <c r="MR31" s="87">
        <f t="shared" si="42"/>
        <v>0</v>
      </c>
      <c r="MS31" s="96">
        <v>46386</v>
      </c>
      <c r="MT31" s="89"/>
      <c r="MU31" s="82"/>
      <c r="MW31" s="84"/>
      <c r="MX31" s="87"/>
      <c r="MY31" s="87"/>
      <c r="MZ31" s="87">
        <f t="shared" si="43"/>
        <v>0</v>
      </c>
      <c r="NA31" s="96">
        <v>46386</v>
      </c>
      <c r="NB31" s="89"/>
      <c r="NC31" s="82"/>
      <c r="NE31" s="84"/>
      <c r="NF31" s="87"/>
      <c r="NG31" s="87"/>
      <c r="NH31" s="87">
        <f t="shared" si="44"/>
        <v>0</v>
      </c>
      <c r="NI31" s="96">
        <v>46386</v>
      </c>
      <c r="NJ31" s="89"/>
      <c r="NK31" s="82"/>
      <c r="NM31" s="90"/>
      <c r="NN31" s="87"/>
      <c r="NO31" s="87"/>
      <c r="NP31" s="87">
        <f t="shared" si="45"/>
        <v>0</v>
      </c>
      <c r="NQ31" s="96">
        <v>46386</v>
      </c>
      <c r="NR31" s="89"/>
      <c r="NS31" s="82"/>
      <c r="NU31" s="84"/>
      <c r="NV31" s="87"/>
      <c r="NW31" s="87"/>
      <c r="NX31" s="87">
        <f t="shared" si="46"/>
        <v>0</v>
      </c>
      <c r="NY31" s="96">
        <v>46386</v>
      </c>
      <c r="NZ31" s="89"/>
      <c r="OA31" s="82"/>
      <c r="OC31" s="90"/>
      <c r="OD31" s="87"/>
      <c r="OE31" s="87"/>
      <c r="OF31" s="87">
        <f t="shared" si="47"/>
        <v>0</v>
      </c>
      <c r="OG31" s="96">
        <v>46386</v>
      </c>
      <c r="OH31" s="89"/>
      <c r="OI31" s="82"/>
      <c r="OK31" s="84"/>
      <c r="OL31" s="87"/>
      <c r="OM31" s="87"/>
      <c r="ON31" s="87">
        <f t="shared" si="48"/>
        <v>0</v>
      </c>
      <c r="OO31" s="96">
        <v>46386</v>
      </c>
      <c r="OP31" s="91"/>
      <c r="OQ31" s="82"/>
      <c r="OS31" s="90"/>
      <c r="OT31" s="87"/>
      <c r="OU31" s="87"/>
      <c r="OV31" s="87">
        <f t="shared" si="49"/>
        <v>0</v>
      </c>
      <c r="OW31" s="96">
        <v>46386</v>
      </c>
      <c r="OX31" s="89"/>
      <c r="OY31" s="82"/>
      <c r="PA31" s="90"/>
      <c r="PB31" s="87"/>
      <c r="PC31" s="87"/>
      <c r="PD31" s="87">
        <f t="shared" si="50"/>
        <v>0</v>
      </c>
      <c r="PE31" s="96">
        <v>46386</v>
      </c>
      <c r="PF31" s="89"/>
      <c r="PG31" s="82"/>
      <c r="PI31" s="90"/>
      <c r="PJ31" s="87"/>
      <c r="PK31" s="87"/>
      <c r="PL31" s="87">
        <f t="shared" si="51"/>
        <v>0</v>
      </c>
      <c r="PM31" s="96">
        <v>46386</v>
      </c>
      <c r="PN31" s="211"/>
      <c r="PO31" s="216"/>
      <c r="PQ31" s="90"/>
      <c r="PR31" s="87"/>
      <c r="PS31" s="87"/>
      <c r="PT31" s="87">
        <f t="shared" si="52"/>
        <v>0</v>
      </c>
      <c r="PU31" s="96">
        <v>46386</v>
      </c>
      <c r="PV31" s="89"/>
      <c r="PW31" s="82"/>
      <c r="PY31" s="84"/>
      <c r="PZ31" s="87"/>
      <c r="QA31" s="87"/>
      <c r="QB31" s="87">
        <f t="shared" si="53"/>
        <v>0</v>
      </c>
      <c r="QC31" s="96">
        <v>46386</v>
      </c>
      <c r="QD31" s="89"/>
      <c r="QE31" s="82"/>
      <c r="QG31" s="90"/>
      <c r="QH31" s="87"/>
      <c r="QI31" s="87"/>
      <c r="QJ31" s="87">
        <f t="shared" si="54"/>
        <v>0</v>
      </c>
      <c r="QK31" s="96">
        <v>46386</v>
      </c>
      <c r="QL31" s="89"/>
      <c r="QM31" s="82"/>
      <c r="QO31" s="90"/>
      <c r="QP31" s="87"/>
      <c r="QQ31" s="87"/>
      <c r="QR31" s="87">
        <f t="shared" si="55"/>
        <v>0</v>
      </c>
      <c r="QS31" s="96">
        <v>46386</v>
      </c>
      <c r="QT31" s="211"/>
      <c r="QU31" s="216"/>
      <c r="QW31" s="90"/>
      <c r="QX31" s="87"/>
      <c r="QY31" s="87"/>
      <c r="QZ31" s="87">
        <f t="shared" si="56"/>
        <v>0</v>
      </c>
      <c r="RA31" s="96">
        <v>46386</v>
      </c>
      <c r="RB31" s="89"/>
      <c r="RC31" s="82"/>
      <c r="RE31" s="90"/>
      <c r="RF31" s="87"/>
      <c r="RG31" s="87"/>
      <c r="RH31" s="87">
        <f t="shared" si="57"/>
        <v>0</v>
      </c>
      <c r="RI31" s="96">
        <v>46386</v>
      </c>
      <c r="RJ31" s="89"/>
      <c r="RK31" s="170"/>
      <c r="RM31" s="90"/>
      <c r="RN31" s="87"/>
      <c r="RO31" s="87"/>
      <c r="RP31" s="87">
        <f t="shared" si="58"/>
        <v>0</v>
      </c>
      <c r="RQ31" s="96">
        <v>43099</v>
      </c>
      <c r="RR31" s="89"/>
      <c r="RS31" s="82"/>
      <c r="RT31" s="285"/>
      <c r="RU31" s="99"/>
      <c r="RV31" s="87"/>
      <c r="RW31" s="87"/>
      <c r="RX31" s="87">
        <f t="shared" si="59"/>
        <v>0</v>
      </c>
      <c r="RY31" s="96">
        <v>46386</v>
      </c>
      <c r="RZ31" s="89"/>
      <c r="SA31" s="82"/>
      <c r="SC31" s="90"/>
      <c r="SD31" s="87"/>
      <c r="SE31" s="87"/>
      <c r="SF31" s="87">
        <f t="shared" si="60"/>
        <v>0</v>
      </c>
      <c r="SG31" s="96">
        <v>46386</v>
      </c>
      <c r="SH31" s="89"/>
      <c r="SI31" s="82"/>
      <c r="SK31" s="90"/>
      <c r="SL31" s="87"/>
      <c r="SM31" s="87"/>
      <c r="SN31" s="87">
        <f t="shared" si="61"/>
        <v>0</v>
      </c>
      <c r="SO31" s="96">
        <v>46386</v>
      </c>
      <c r="SP31" s="91"/>
      <c r="SQ31" s="82"/>
      <c r="SS31" s="90"/>
      <c r="ST31" s="87"/>
      <c r="SU31" s="87"/>
      <c r="SV31" s="87">
        <f t="shared" si="62"/>
        <v>0</v>
      </c>
      <c r="SW31" s="96">
        <v>42734</v>
      </c>
      <c r="SX31" s="89"/>
      <c r="SY31" s="82"/>
      <c r="TA31" s="90"/>
      <c r="TB31" s="87"/>
      <c r="TC31" s="87"/>
      <c r="TD31" s="87">
        <f t="shared" si="63"/>
        <v>0</v>
      </c>
      <c r="TE31" s="96">
        <v>46386</v>
      </c>
      <c r="TF31" s="91"/>
      <c r="TG31" s="82"/>
      <c r="TI31" s="99"/>
      <c r="TJ31" s="87"/>
      <c r="TK31" s="87"/>
      <c r="TL31" s="87">
        <f t="shared" si="64"/>
        <v>0</v>
      </c>
      <c r="TM31" s="96">
        <v>46386</v>
      </c>
      <c r="TN31" s="89"/>
      <c r="TO31" s="82"/>
      <c r="TQ31" s="90"/>
      <c r="TR31" s="87"/>
      <c r="TS31" s="87"/>
      <c r="TT31" s="87">
        <f t="shared" si="65"/>
        <v>0</v>
      </c>
      <c r="TU31" s="96">
        <v>46386</v>
      </c>
      <c r="TV31" s="91"/>
      <c r="TW31" s="82"/>
      <c r="TY31" s="90"/>
      <c r="TZ31" s="87"/>
      <c r="UA31" s="87"/>
      <c r="UB31" s="87">
        <f t="shared" si="66"/>
        <v>0</v>
      </c>
      <c r="UC31" s="96">
        <v>46386</v>
      </c>
      <c r="UD31" s="89"/>
      <c r="UE31" s="82"/>
      <c r="UG31" s="90"/>
      <c r="UH31" s="87"/>
      <c r="UI31" s="87"/>
      <c r="UJ31" s="87">
        <f t="shared" si="67"/>
        <v>0</v>
      </c>
      <c r="UK31" s="96">
        <v>46386</v>
      </c>
      <c r="UL31" s="89"/>
      <c r="UM31" s="82"/>
      <c r="UO31" s="90"/>
      <c r="UP31" s="87"/>
      <c r="UQ31" s="87"/>
      <c r="UR31" s="87">
        <f t="shared" si="68"/>
        <v>0</v>
      </c>
      <c r="US31" s="96">
        <v>46386</v>
      </c>
      <c r="UT31" s="89"/>
      <c r="UU31" s="82"/>
      <c r="UW31" s="90"/>
      <c r="UX31" s="87"/>
      <c r="UY31" s="87"/>
      <c r="UZ31" s="87">
        <f t="shared" si="69"/>
        <v>0</v>
      </c>
      <c r="VA31" s="96">
        <v>46386</v>
      </c>
      <c r="VB31" s="89"/>
      <c r="VC31" s="82"/>
      <c r="VE31" s="90"/>
      <c r="VF31" s="87"/>
      <c r="VG31" s="87"/>
      <c r="VH31" s="87">
        <f t="shared" si="70"/>
        <v>0</v>
      </c>
      <c r="VI31" s="96">
        <v>46386</v>
      </c>
      <c r="VJ31" s="89"/>
      <c r="VK31" s="82"/>
      <c r="VM31" s="90"/>
      <c r="VN31" s="87"/>
      <c r="VO31" s="87"/>
      <c r="VP31" s="87">
        <f t="shared" si="71"/>
        <v>0</v>
      </c>
      <c r="VQ31" s="96">
        <v>46386</v>
      </c>
      <c r="VR31" s="89"/>
      <c r="VS31" s="82"/>
      <c r="VU31" s="90"/>
      <c r="VV31" s="87"/>
      <c r="VW31" s="87"/>
      <c r="VX31" s="87">
        <f t="shared" si="72"/>
        <v>0</v>
      </c>
      <c r="VY31" s="96">
        <v>46386</v>
      </c>
      <c r="VZ31" s="89"/>
      <c r="WA31" s="82"/>
      <c r="WC31" s="90"/>
      <c r="WD31" s="87"/>
      <c r="WE31" s="87"/>
      <c r="WF31" s="87">
        <f t="shared" si="73"/>
        <v>0</v>
      </c>
      <c r="WG31" s="96">
        <v>46386</v>
      </c>
      <c r="WH31" s="89"/>
      <c r="WI31" s="82"/>
      <c r="WK31" s="90"/>
      <c r="WL31" s="87"/>
      <c r="WM31" s="87"/>
      <c r="WN31" s="87">
        <f t="shared" si="74"/>
        <v>0</v>
      </c>
      <c r="WO31" s="96">
        <v>46386</v>
      </c>
      <c r="WP31" s="89"/>
      <c r="WQ31" s="82"/>
      <c r="WS31" s="90"/>
      <c r="WT31" s="87"/>
      <c r="WU31" s="87"/>
      <c r="WV31" s="87">
        <f t="shared" si="75"/>
        <v>0</v>
      </c>
      <c r="WW31" s="96">
        <v>46386</v>
      </c>
      <c r="WX31" s="89"/>
      <c r="WY31" s="82"/>
      <c r="XA31" s="84"/>
      <c r="XB31" s="87"/>
      <c r="XC31" s="87"/>
      <c r="XD31" s="87">
        <f t="shared" si="76"/>
        <v>0</v>
      </c>
      <c r="XE31" s="96">
        <v>46386</v>
      </c>
      <c r="XF31" s="91"/>
      <c r="XG31" s="82"/>
      <c r="XI31" s="90"/>
      <c r="XJ31" s="87"/>
      <c r="XK31" s="87"/>
      <c r="XL31" s="87">
        <f t="shared" si="77"/>
        <v>0</v>
      </c>
      <c r="XM31" s="96">
        <v>46386</v>
      </c>
      <c r="XN31" s="89"/>
      <c r="XO31" s="82"/>
      <c r="XQ31" s="90"/>
      <c r="XR31" s="87"/>
      <c r="XS31" s="87"/>
      <c r="XT31" s="87">
        <f t="shared" si="78"/>
        <v>0</v>
      </c>
      <c r="XU31" s="96">
        <v>46386</v>
      </c>
      <c r="XV31" s="91"/>
      <c r="XW31" s="82"/>
      <c r="XY31" s="90"/>
      <c r="XZ31" s="87"/>
      <c r="YA31" s="87"/>
      <c r="YB31" s="87">
        <f t="shared" si="79"/>
        <v>0</v>
      </c>
      <c r="YC31" s="96">
        <v>46386</v>
      </c>
      <c r="YD31" s="89"/>
      <c r="YE31" s="82"/>
      <c r="YG31" s="90"/>
      <c r="YH31" s="87"/>
      <c r="YI31" s="87"/>
      <c r="YJ31" s="87">
        <f t="shared" si="80"/>
        <v>0</v>
      </c>
      <c r="YK31" s="96">
        <v>46386</v>
      </c>
      <c r="YL31" s="89"/>
      <c r="YM31" s="82"/>
      <c r="YO31" s="90"/>
      <c r="YP31" s="87"/>
      <c r="YQ31" s="87"/>
      <c r="YR31" s="87">
        <f t="shared" si="81"/>
        <v>0</v>
      </c>
      <c r="YS31" s="96">
        <v>46386</v>
      </c>
      <c r="YT31" s="89"/>
      <c r="YU31" s="82"/>
      <c r="YW31" s="90"/>
      <c r="YX31" s="87"/>
      <c r="YY31" s="87"/>
      <c r="YZ31" s="87">
        <f t="shared" si="82"/>
        <v>0</v>
      </c>
      <c r="ZA31" s="96">
        <v>46386</v>
      </c>
      <c r="ZB31" s="89"/>
      <c r="ZC31" s="82"/>
      <c r="ZE31" s="90"/>
      <c r="ZF31" s="87"/>
      <c r="ZG31" s="87"/>
      <c r="ZH31" s="87">
        <f t="shared" si="83"/>
        <v>0</v>
      </c>
      <c r="ZI31" s="96">
        <v>46386</v>
      </c>
      <c r="ZJ31" s="89"/>
      <c r="ZK31" s="82"/>
      <c r="ZM31" s="90"/>
      <c r="ZN31" s="87"/>
      <c r="ZO31" s="87"/>
      <c r="ZP31" s="87">
        <f t="shared" si="84"/>
        <v>0</v>
      </c>
      <c r="ZQ31" s="96">
        <v>46386</v>
      </c>
      <c r="ZR31" s="89"/>
      <c r="ZS31" s="82"/>
      <c r="ZU31" s="90"/>
      <c r="ZV31" s="87"/>
      <c r="ZW31" s="87"/>
      <c r="ZX31" s="87">
        <f t="shared" si="85"/>
        <v>0</v>
      </c>
      <c r="ZY31" s="96">
        <v>46386</v>
      </c>
      <c r="ZZ31" s="89"/>
      <c r="AAA31" s="82"/>
      <c r="AAC31" s="90"/>
      <c r="AAD31" s="87"/>
      <c r="AAE31" s="87"/>
      <c r="AAF31" s="87">
        <f t="shared" si="86"/>
        <v>0</v>
      </c>
      <c r="AAG31" s="96">
        <v>46386</v>
      </c>
      <c r="AAH31" s="89"/>
      <c r="AAI31" s="82"/>
      <c r="AAK31" s="90"/>
      <c r="AAL31" s="87"/>
      <c r="AAM31" s="87"/>
      <c r="AAN31" s="87">
        <f t="shared" si="87"/>
        <v>0</v>
      </c>
      <c r="AAO31" s="96">
        <v>46386</v>
      </c>
      <c r="AAP31" s="89"/>
      <c r="AAQ31" s="82"/>
      <c r="AAS31" s="90"/>
      <c r="AAT31" s="87"/>
      <c r="AAU31" s="87"/>
      <c r="AAV31" s="87">
        <f t="shared" si="88"/>
        <v>0</v>
      </c>
      <c r="AAW31" s="96">
        <v>46386</v>
      </c>
      <c r="AAX31" s="89"/>
      <c r="AAY31" s="82"/>
      <c r="ABA31" s="90"/>
      <c r="ABB31" s="87"/>
      <c r="ABC31" s="87"/>
      <c r="ABD31" s="87">
        <f t="shared" si="89"/>
        <v>0</v>
      </c>
      <c r="ABE31" s="96">
        <v>46386</v>
      </c>
      <c r="ABF31" s="89"/>
      <c r="ABG31" s="82"/>
      <c r="ABI31" s="90"/>
      <c r="ABJ31" s="87"/>
      <c r="ABK31" s="87"/>
      <c r="ABL31" s="87">
        <f t="shared" si="90"/>
        <v>0</v>
      </c>
      <c r="ABM31" s="96">
        <v>46386</v>
      </c>
      <c r="ABN31" s="89"/>
      <c r="ABO31" s="82"/>
      <c r="ABQ31" s="90"/>
      <c r="ABR31" s="87"/>
      <c r="ABS31" s="87"/>
      <c r="ABT31" s="87">
        <f t="shared" si="91"/>
        <v>0</v>
      </c>
      <c r="ABU31" s="96">
        <v>46386</v>
      </c>
      <c r="ABV31" s="89"/>
      <c r="ABW31" s="82"/>
      <c r="ABY31" s="90"/>
      <c r="ABZ31" s="87"/>
      <c r="ACA31" s="87"/>
      <c r="ACB31" s="87">
        <f t="shared" si="92"/>
        <v>0</v>
      </c>
      <c r="ACC31" s="96">
        <v>46386</v>
      </c>
      <c r="ACD31" s="89"/>
      <c r="ACE31" s="82"/>
    </row>
    <row r="32" spans="1:759" ht="12" customHeight="1" x14ac:dyDescent="0.25">
      <c r="A32" s="84"/>
      <c r="B32" s="350"/>
      <c r="C32" s="222"/>
      <c r="D32" s="87">
        <f t="shared" si="2"/>
        <v>1700</v>
      </c>
      <c r="E32" s="96">
        <v>46386</v>
      </c>
      <c r="F32" s="212"/>
      <c r="G32" s="382"/>
      <c r="H32" s="72"/>
      <c r="I32" s="84"/>
      <c r="J32" s="87"/>
      <c r="K32" s="87"/>
      <c r="L32" s="87">
        <f t="shared" si="0"/>
        <v>1000</v>
      </c>
      <c r="M32" s="164">
        <v>46386</v>
      </c>
      <c r="N32" s="220"/>
      <c r="O32" s="82"/>
      <c r="P32" s="72"/>
      <c r="Q32" s="90"/>
      <c r="R32" s="87"/>
      <c r="S32" s="87"/>
      <c r="T32" s="87">
        <f t="shared" si="1"/>
        <v>4000</v>
      </c>
      <c r="U32" s="96">
        <v>46386</v>
      </c>
      <c r="V32" s="89"/>
      <c r="W32" s="82"/>
      <c r="X32" s="72"/>
      <c r="Y32" s="99"/>
      <c r="Z32" s="222"/>
      <c r="AA32" s="222"/>
      <c r="AB32" s="222">
        <f t="shared" si="3"/>
        <v>1000</v>
      </c>
      <c r="AC32" s="96">
        <v>46386</v>
      </c>
      <c r="AD32" s="220"/>
      <c r="AE32" s="82"/>
      <c r="AF32" s="72"/>
      <c r="AG32" s="84"/>
      <c r="AH32" s="222"/>
      <c r="AI32" s="222"/>
      <c r="AJ32" s="87">
        <f t="shared" si="4"/>
        <v>2000</v>
      </c>
      <c r="AK32" s="96">
        <v>46386</v>
      </c>
      <c r="AL32" s="220"/>
      <c r="AM32" s="82"/>
      <c r="AN32" s="72"/>
      <c r="AO32" s="84"/>
      <c r="AP32" s="222"/>
      <c r="AQ32" s="222"/>
      <c r="AR32" s="87">
        <f t="shared" si="5"/>
        <v>1000</v>
      </c>
      <c r="AS32" s="96">
        <v>46386</v>
      </c>
      <c r="AT32" s="220"/>
      <c r="AU32" s="82"/>
      <c r="AV32" s="72"/>
      <c r="AW32" s="90"/>
      <c r="AX32" s="87"/>
      <c r="AY32" s="87"/>
      <c r="AZ32" s="87">
        <f t="shared" si="6"/>
        <v>1150</v>
      </c>
      <c r="BA32" s="96">
        <v>46386</v>
      </c>
      <c r="BB32" s="374"/>
      <c r="BC32" s="82"/>
      <c r="BD32" s="72"/>
      <c r="BE32" s="90"/>
      <c r="BF32" s="87"/>
      <c r="BG32" s="87"/>
      <c r="BH32" s="87">
        <f t="shared" si="7"/>
        <v>7000</v>
      </c>
      <c r="BI32" s="96">
        <v>46386</v>
      </c>
      <c r="BJ32" s="220"/>
      <c r="BK32" s="82"/>
      <c r="BL32" s="72"/>
      <c r="BM32" s="84"/>
      <c r="BN32" s="222"/>
      <c r="BO32" s="222"/>
      <c r="BP32" s="87">
        <f t="shared" si="8"/>
        <v>1000</v>
      </c>
      <c r="BQ32" s="96">
        <v>46386</v>
      </c>
      <c r="BR32" s="89"/>
      <c r="BS32" s="82"/>
      <c r="BT32" s="72"/>
      <c r="BU32" s="90"/>
      <c r="BV32" s="87"/>
      <c r="BW32" s="87"/>
      <c r="BX32" s="87">
        <f t="shared" si="9"/>
        <v>0</v>
      </c>
      <c r="BY32" s="96">
        <v>46386</v>
      </c>
      <c r="BZ32" s="220"/>
      <c r="CA32" s="82"/>
      <c r="CB32" s="72"/>
      <c r="CC32" s="84"/>
      <c r="CD32" s="87"/>
      <c r="CE32" s="87"/>
      <c r="CF32" s="87">
        <f t="shared" si="10"/>
        <v>0</v>
      </c>
      <c r="CG32" s="114"/>
      <c r="CH32" s="220"/>
      <c r="CI32" s="82"/>
      <c r="CJ32" s="72"/>
      <c r="CK32" s="84"/>
      <c r="CL32" s="222"/>
      <c r="CM32" s="222"/>
      <c r="CN32" s="87">
        <f t="shared" si="11"/>
        <v>0</v>
      </c>
      <c r="CO32" s="114"/>
      <c r="CP32" s="220"/>
      <c r="CQ32" s="82"/>
      <c r="CR32" s="72"/>
      <c r="CS32" s="84"/>
      <c r="CT32" s="87"/>
      <c r="CU32" s="87"/>
      <c r="CV32" s="87">
        <f t="shared" si="12"/>
        <v>0</v>
      </c>
      <c r="CW32" s="114"/>
      <c r="CX32" s="220"/>
      <c r="CY32" s="82"/>
      <c r="CZ32" s="72"/>
      <c r="DA32" s="84"/>
      <c r="DB32" s="87"/>
      <c r="DC32" s="87"/>
      <c r="DD32" s="87">
        <f t="shared" si="13"/>
        <v>0</v>
      </c>
      <c r="DE32" s="114"/>
      <c r="DF32" s="220"/>
      <c r="DG32" s="82"/>
      <c r="DH32" s="72"/>
      <c r="DI32" s="84"/>
      <c r="DJ32" s="87"/>
      <c r="DK32" s="87"/>
      <c r="DL32" s="87">
        <f t="shared" si="14"/>
        <v>0</v>
      </c>
      <c r="DM32" s="96">
        <v>46386</v>
      </c>
      <c r="DN32" s="220"/>
      <c r="DO32" s="82"/>
      <c r="DP32" s="72"/>
      <c r="DQ32" s="90"/>
      <c r="DR32" s="87"/>
      <c r="DS32" s="87"/>
      <c r="DT32" s="87">
        <f t="shared" si="15"/>
        <v>0</v>
      </c>
      <c r="DU32" s="96">
        <v>46386</v>
      </c>
      <c r="DV32" s="220"/>
      <c r="DW32" s="82"/>
      <c r="DX32" s="72"/>
      <c r="DY32" s="90"/>
      <c r="DZ32" s="222"/>
      <c r="EA32" s="222"/>
      <c r="EB32" s="87">
        <f t="shared" si="16"/>
        <v>0</v>
      </c>
      <c r="EC32" s="96">
        <v>46386</v>
      </c>
      <c r="ED32" s="89"/>
      <c r="EE32" s="82"/>
      <c r="EF32" s="72"/>
      <c r="EG32" s="90"/>
      <c r="EH32" s="87"/>
      <c r="EI32" s="87"/>
      <c r="EJ32" s="87">
        <f t="shared" si="17"/>
        <v>0</v>
      </c>
      <c r="EK32" s="96">
        <v>46386</v>
      </c>
      <c r="EL32" s="89"/>
      <c r="EM32" s="82"/>
      <c r="EN32" s="358"/>
      <c r="EO32" s="90"/>
      <c r="EP32" s="87"/>
      <c r="EQ32" s="87"/>
      <c r="ER32" s="87">
        <f t="shared" si="18"/>
        <v>0</v>
      </c>
      <c r="ES32" s="96">
        <v>46386</v>
      </c>
      <c r="ET32" s="89"/>
      <c r="EU32" s="82"/>
      <c r="EW32" s="90"/>
      <c r="EX32" s="222"/>
      <c r="EY32" s="222"/>
      <c r="EZ32" s="87">
        <f t="shared" si="19"/>
        <v>0</v>
      </c>
      <c r="FA32" s="96">
        <v>46386</v>
      </c>
      <c r="FB32" s="220"/>
      <c r="FC32" s="82"/>
      <c r="FE32" s="90"/>
      <c r="FF32" s="87"/>
      <c r="FG32" s="87"/>
      <c r="FH32" s="87">
        <f t="shared" si="93"/>
        <v>0</v>
      </c>
      <c r="FI32" s="96">
        <v>46386</v>
      </c>
      <c r="FJ32" s="89"/>
      <c r="FK32" s="82"/>
      <c r="FM32" s="90"/>
      <c r="FN32" s="87"/>
      <c r="FO32" s="87"/>
      <c r="FP32" s="87">
        <f t="shared" si="20"/>
        <v>0</v>
      </c>
      <c r="FQ32" s="96">
        <v>46386</v>
      </c>
      <c r="FR32" s="89"/>
      <c r="FS32" s="82"/>
      <c r="FT32" s="72"/>
      <c r="FU32" s="84"/>
      <c r="FV32" s="87"/>
      <c r="FW32" s="87"/>
      <c r="FX32" s="87">
        <f t="shared" si="21"/>
        <v>0</v>
      </c>
      <c r="FY32" s="164">
        <v>46386</v>
      </c>
      <c r="FZ32" s="220"/>
      <c r="GA32" s="82"/>
      <c r="GC32" s="90"/>
      <c r="GD32" s="87"/>
      <c r="GE32" s="87"/>
      <c r="GF32" s="87">
        <f t="shared" si="22"/>
        <v>0</v>
      </c>
      <c r="GG32" s="96">
        <v>46386</v>
      </c>
      <c r="GH32" s="220"/>
      <c r="GI32" s="82"/>
      <c r="GJ32"/>
      <c r="GK32" s="90"/>
      <c r="GL32" s="87"/>
      <c r="GM32" s="87"/>
      <c r="GN32" s="87">
        <f t="shared" si="23"/>
        <v>0</v>
      </c>
      <c r="GO32" s="114"/>
      <c r="GP32" s="89"/>
      <c r="GQ32" s="82"/>
      <c r="GS32" s="90"/>
      <c r="GT32" s="87"/>
      <c r="GU32" s="87"/>
      <c r="GV32" s="87">
        <f t="shared" si="24"/>
        <v>0</v>
      </c>
      <c r="GW32" s="114"/>
      <c r="GX32" s="89"/>
      <c r="GY32" s="82"/>
      <c r="HA32" s="90"/>
      <c r="HB32" s="87"/>
      <c r="HC32" s="87"/>
      <c r="HD32" s="87">
        <f t="shared" si="25"/>
        <v>0</v>
      </c>
      <c r="HE32" s="114"/>
      <c r="HF32" s="89"/>
      <c r="HG32" s="82"/>
      <c r="HI32" s="90"/>
      <c r="HJ32" s="87"/>
      <c r="HK32" s="87"/>
      <c r="HL32" s="87">
        <f t="shared" si="26"/>
        <v>0</v>
      </c>
      <c r="HM32" s="114"/>
      <c r="HN32" s="220"/>
      <c r="HO32" s="82"/>
      <c r="HQ32" s="90"/>
      <c r="HR32" s="87"/>
      <c r="HS32" s="87"/>
      <c r="HT32" s="87">
        <f t="shared" si="27"/>
        <v>0</v>
      </c>
      <c r="HU32" s="114"/>
      <c r="HV32" s="89"/>
      <c r="HW32" s="82"/>
      <c r="HY32" s="90"/>
      <c r="HZ32" s="87"/>
      <c r="IA32" s="87"/>
      <c r="IB32" s="87">
        <f t="shared" si="28"/>
        <v>0</v>
      </c>
      <c r="IC32" s="114"/>
      <c r="ID32" s="89"/>
      <c r="IE32" s="82"/>
      <c r="IG32" s="90"/>
      <c r="IH32" s="87"/>
      <c r="II32" s="87"/>
      <c r="IJ32" s="87">
        <f t="shared" si="29"/>
        <v>0</v>
      </c>
      <c r="IK32" s="114"/>
      <c r="IL32" s="89"/>
      <c r="IM32" s="82"/>
      <c r="IO32" s="84"/>
      <c r="IP32" s="87"/>
      <c r="IQ32" s="87"/>
      <c r="IR32" s="87">
        <f t="shared" si="30"/>
        <v>0</v>
      </c>
      <c r="IS32" s="114"/>
      <c r="IT32" s="91"/>
      <c r="IU32" s="82"/>
      <c r="IW32" s="90"/>
      <c r="IX32" s="87"/>
      <c r="IY32" s="87"/>
      <c r="IZ32" s="87">
        <f t="shared" si="31"/>
        <v>0</v>
      </c>
      <c r="JA32" s="114"/>
      <c r="JB32" s="89"/>
      <c r="JC32" s="82"/>
      <c r="JE32" s="90"/>
      <c r="JF32" s="87"/>
      <c r="JG32" s="87"/>
      <c r="JH32" s="87">
        <f t="shared" si="32"/>
        <v>0</v>
      </c>
      <c r="JI32" s="114"/>
      <c r="JJ32" s="220"/>
      <c r="JK32" s="82"/>
      <c r="JM32" s="84"/>
      <c r="JN32" s="87"/>
      <c r="JO32" s="87"/>
      <c r="JP32" s="87">
        <f t="shared" si="33"/>
        <v>0</v>
      </c>
      <c r="JQ32" s="165"/>
      <c r="JR32" s="91"/>
      <c r="JS32" s="82"/>
      <c r="JU32" s="90"/>
      <c r="JV32" s="87"/>
      <c r="JW32" s="87"/>
      <c r="JX32" s="87">
        <f t="shared" si="94"/>
        <v>0</v>
      </c>
      <c r="JY32" s="165"/>
      <c r="JZ32" s="91"/>
      <c r="KA32" s="82"/>
      <c r="KC32" s="90"/>
      <c r="KD32" s="87"/>
      <c r="KE32" s="87"/>
      <c r="KF32" s="87">
        <f t="shared" si="34"/>
        <v>0</v>
      </c>
      <c r="KG32" s="165"/>
      <c r="KH32" s="86"/>
      <c r="KI32" s="109"/>
      <c r="KK32" s="90"/>
      <c r="KL32" s="87"/>
      <c r="KM32" s="87"/>
      <c r="KN32" s="87">
        <f t="shared" si="35"/>
        <v>0</v>
      </c>
      <c r="KO32" s="165"/>
      <c r="KP32" s="89"/>
      <c r="KQ32" s="82"/>
      <c r="KS32" s="84"/>
      <c r="KT32" s="87"/>
      <c r="KU32" s="87"/>
      <c r="KV32" s="87">
        <f t="shared" si="36"/>
        <v>0</v>
      </c>
      <c r="KW32" s="114"/>
      <c r="KX32" s="89"/>
      <c r="KY32" s="82"/>
      <c r="LA32" s="90"/>
      <c r="LB32" s="87"/>
      <c r="LC32" s="87"/>
      <c r="LD32" s="87">
        <f t="shared" si="37"/>
        <v>0</v>
      </c>
      <c r="LE32" s="165"/>
      <c r="LF32" s="89"/>
      <c r="LG32" s="82"/>
      <c r="LI32" s="99"/>
      <c r="LJ32" s="87"/>
      <c r="LK32" s="87"/>
      <c r="LL32" s="87">
        <f t="shared" si="38"/>
        <v>0</v>
      </c>
      <c r="LM32" s="114"/>
      <c r="LN32" s="89"/>
      <c r="LO32" s="82"/>
      <c r="LQ32" s="90"/>
      <c r="LR32" s="87"/>
      <c r="LS32" s="87"/>
      <c r="LT32" s="87">
        <f t="shared" si="39"/>
        <v>0</v>
      </c>
      <c r="LU32" s="114"/>
      <c r="LV32" s="89"/>
      <c r="LW32" s="82"/>
      <c r="LY32" s="84"/>
      <c r="LZ32" s="87"/>
      <c r="MA32" s="87"/>
      <c r="MB32" s="87">
        <f t="shared" si="40"/>
        <v>0</v>
      </c>
      <c r="MC32" s="114"/>
      <c r="MD32" s="89"/>
      <c r="ME32" s="82"/>
      <c r="MG32" s="90"/>
      <c r="MH32" s="87"/>
      <c r="MI32" s="87"/>
      <c r="MJ32" s="87">
        <f t="shared" si="41"/>
        <v>0</v>
      </c>
      <c r="MK32" s="114"/>
      <c r="ML32" s="89"/>
      <c r="MM32" s="82"/>
      <c r="MO32" s="90"/>
      <c r="MP32" s="87"/>
      <c r="MQ32" s="87"/>
      <c r="MR32" s="87">
        <f t="shared" si="42"/>
        <v>0</v>
      </c>
      <c r="MS32" s="114"/>
      <c r="MT32" s="89"/>
      <c r="MU32" s="82"/>
      <c r="MW32" s="84"/>
      <c r="MX32" s="87"/>
      <c r="MY32" s="87"/>
      <c r="MZ32" s="87">
        <f t="shared" si="43"/>
        <v>0</v>
      </c>
      <c r="NA32" s="114"/>
      <c r="NB32" s="89"/>
      <c r="NC32" s="82"/>
      <c r="NE32" s="84"/>
      <c r="NF32" s="87"/>
      <c r="NG32" s="87"/>
      <c r="NH32" s="87">
        <f t="shared" si="44"/>
        <v>0</v>
      </c>
      <c r="NI32" s="114"/>
      <c r="NJ32" s="89"/>
      <c r="NK32" s="82"/>
      <c r="NM32" s="90"/>
      <c r="NN32" s="87"/>
      <c r="NO32" s="87"/>
      <c r="NP32" s="87">
        <f t="shared" si="45"/>
        <v>0</v>
      </c>
      <c r="NQ32" s="114"/>
      <c r="NR32" s="89"/>
      <c r="NS32" s="82"/>
      <c r="NU32" s="84"/>
      <c r="NV32" s="87"/>
      <c r="NW32" s="87"/>
      <c r="NX32" s="87">
        <f t="shared" si="46"/>
        <v>0</v>
      </c>
      <c r="NY32" s="114"/>
      <c r="NZ32" s="89"/>
      <c r="OA32" s="82"/>
      <c r="OC32" s="90"/>
      <c r="OD32" s="87"/>
      <c r="OE32" s="87"/>
      <c r="OF32" s="87">
        <f t="shared" si="47"/>
        <v>0</v>
      </c>
      <c r="OG32" s="114"/>
      <c r="OH32" s="89"/>
      <c r="OI32" s="82"/>
      <c r="OK32" s="84"/>
      <c r="OL32" s="87"/>
      <c r="OM32" s="87"/>
      <c r="ON32" s="87">
        <f t="shared" si="48"/>
        <v>0</v>
      </c>
      <c r="OO32" s="114"/>
      <c r="OP32" s="91"/>
      <c r="OQ32" s="82"/>
      <c r="OS32" s="90"/>
      <c r="OT32" s="87"/>
      <c r="OU32" s="87"/>
      <c r="OV32" s="87">
        <f t="shared" si="49"/>
        <v>0</v>
      </c>
      <c r="OW32" s="114"/>
      <c r="OX32" s="89"/>
      <c r="OY32" s="82"/>
      <c r="PA32" s="90"/>
      <c r="PB32" s="87"/>
      <c r="PC32" s="87"/>
      <c r="PD32" s="87">
        <f t="shared" si="50"/>
        <v>0</v>
      </c>
      <c r="PE32" s="114"/>
      <c r="PF32" s="89"/>
      <c r="PG32" s="82"/>
      <c r="PI32" s="90"/>
      <c r="PJ32" s="87"/>
      <c r="PK32" s="87"/>
      <c r="PL32" s="87">
        <f t="shared" si="51"/>
        <v>0</v>
      </c>
      <c r="PM32" s="114"/>
      <c r="PN32" s="211"/>
      <c r="PO32" s="216"/>
      <c r="PQ32" s="90"/>
      <c r="PR32" s="87"/>
      <c r="PS32" s="87"/>
      <c r="PT32" s="87">
        <f t="shared" si="52"/>
        <v>0</v>
      </c>
      <c r="PU32" s="114"/>
      <c r="PV32" s="89"/>
      <c r="PW32" s="82"/>
      <c r="PY32" s="84"/>
      <c r="PZ32" s="87"/>
      <c r="QA32" s="87"/>
      <c r="QB32" s="87">
        <f t="shared" si="53"/>
        <v>0</v>
      </c>
      <c r="QC32" s="114"/>
      <c r="QD32" s="89"/>
      <c r="QE32" s="82"/>
      <c r="QG32" s="90"/>
      <c r="QH32" s="87"/>
      <c r="QI32" s="87"/>
      <c r="QJ32" s="87">
        <f t="shared" si="54"/>
        <v>0</v>
      </c>
      <c r="QK32" s="114"/>
      <c r="QL32" s="89"/>
      <c r="QM32" s="82"/>
      <c r="QO32" s="90"/>
      <c r="QP32" s="87"/>
      <c r="QQ32" s="87"/>
      <c r="QR32" s="87">
        <f t="shared" si="55"/>
        <v>0</v>
      </c>
      <c r="QS32" s="114"/>
      <c r="QT32" s="211"/>
      <c r="QU32" s="216"/>
      <c r="QW32" s="90"/>
      <c r="QX32" s="87"/>
      <c r="QY32" s="87"/>
      <c r="QZ32" s="87">
        <f t="shared" si="56"/>
        <v>0</v>
      </c>
      <c r="RA32" s="114"/>
      <c r="RB32" s="89"/>
      <c r="RC32" s="82"/>
      <c r="RE32" s="90"/>
      <c r="RF32" s="87"/>
      <c r="RG32" s="87"/>
      <c r="RH32" s="87">
        <f t="shared" si="57"/>
        <v>0</v>
      </c>
      <c r="RI32" s="114"/>
      <c r="RJ32" s="89"/>
      <c r="RK32" s="170"/>
      <c r="RM32" s="90"/>
      <c r="RN32" s="87"/>
      <c r="RO32" s="87"/>
      <c r="RP32" s="87">
        <f t="shared" si="58"/>
        <v>0</v>
      </c>
      <c r="RQ32" s="114"/>
      <c r="RR32" s="89"/>
      <c r="RS32" s="82"/>
      <c r="RU32" s="99"/>
      <c r="RV32" s="87"/>
      <c r="RW32" s="87"/>
      <c r="RX32" s="87">
        <f t="shared" si="59"/>
        <v>0</v>
      </c>
      <c r="RY32" s="114"/>
      <c r="RZ32" s="89"/>
      <c r="SA32" s="82"/>
      <c r="SC32" s="90"/>
      <c r="SD32" s="87"/>
      <c r="SE32" s="87"/>
      <c r="SF32" s="87">
        <f t="shared" si="60"/>
        <v>0</v>
      </c>
      <c r="SG32" s="114"/>
      <c r="SH32" s="89"/>
      <c r="SI32" s="82"/>
      <c r="SK32" s="90"/>
      <c r="SL32" s="87"/>
      <c r="SM32" s="87"/>
      <c r="SN32" s="87">
        <f t="shared" si="61"/>
        <v>0</v>
      </c>
      <c r="SO32" s="114"/>
      <c r="SP32" s="89"/>
      <c r="SQ32" s="82"/>
      <c r="SS32" s="90"/>
      <c r="ST32" s="87"/>
      <c r="SU32" s="87"/>
      <c r="SV32" s="87">
        <f t="shared" si="62"/>
        <v>0</v>
      </c>
      <c r="SW32" s="114"/>
      <c r="SX32" s="89"/>
      <c r="SY32" s="82"/>
      <c r="TA32" s="90"/>
      <c r="TB32" s="87"/>
      <c r="TC32" s="87"/>
      <c r="TD32" s="87">
        <f t="shared" si="63"/>
        <v>0</v>
      </c>
      <c r="TE32" s="114"/>
      <c r="TF32" s="91"/>
      <c r="TG32" s="82"/>
      <c r="TI32" s="99"/>
      <c r="TJ32" s="87"/>
      <c r="TK32" s="87"/>
      <c r="TL32" s="87">
        <f t="shared" si="64"/>
        <v>0</v>
      </c>
      <c r="TM32" s="114"/>
      <c r="TN32" s="89"/>
      <c r="TO32" s="82"/>
      <c r="TQ32" s="90"/>
      <c r="TR32" s="87"/>
      <c r="TS32" s="87"/>
      <c r="TT32" s="87">
        <f t="shared" si="65"/>
        <v>0</v>
      </c>
      <c r="TU32" s="114"/>
      <c r="TV32" s="91"/>
      <c r="TW32" s="82"/>
      <c r="TY32" s="90"/>
      <c r="TZ32" s="87"/>
      <c r="UA32" s="87"/>
      <c r="UB32" s="87">
        <f t="shared" si="66"/>
        <v>0</v>
      </c>
      <c r="UC32" s="114"/>
      <c r="UD32" s="89"/>
      <c r="UE32" s="82"/>
      <c r="UG32" s="90"/>
      <c r="UH32" s="87"/>
      <c r="UI32" s="87"/>
      <c r="UJ32" s="87">
        <f t="shared" si="67"/>
        <v>0</v>
      </c>
      <c r="UK32" s="114"/>
      <c r="UL32" s="89"/>
      <c r="UM32" s="82"/>
      <c r="UO32" s="90"/>
      <c r="UP32" s="87"/>
      <c r="UQ32" s="87"/>
      <c r="UR32" s="87">
        <f t="shared" si="68"/>
        <v>0</v>
      </c>
      <c r="US32" s="114"/>
      <c r="UT32" s="89"/>
      <c r="UU32" s="82"/>
      <c r="UW32" s="90"/>
      <c r="UX32" s="87"/>
      <c r="UY32" s="87"/>
      <c r="UZ32" s="87">
        <f t="shared" si="69"/>
        <v>0</v>
      </c>
      <c r="VA32" s="114"/>
      <c r="VB32" s="89"/>
      <c r="VC32" s="82"/>
      <c r="VE32" s="90"/>
      <c r="VF32" s="87"/>
      <c r="VG32" s="87"/>
      <c r="VH32" s="87">
        <f t="shared" si="70"/>
        <v>0</v>
      </c>
      <c r="VI32" s="114"/>
      <c r="VJ32" s="89"/>
      <c r="VK32" s="82"/>
      <c r="VM32" s="90"/>
      <c r="VN32" s="87"/>
      <c r="VO32" s="87"/>
      <c r="VP32" s="87">
        <f t="shared" si="71"/>
        <v>0</v>
      </c>
      <c r="VQ32" s="114"/>
      <c r="VR32" s="89"/>
      <c r="VS32" s="82"/>
      <c r="VU32" s="90"/>
      <c r="VV32" s="87"/>
      <c r="VW32" s="87"/>
      <c r="VX32" s="87">
        <f t="shared" si="72"/>
        <v>0</v>
      </c>
      <c r="VY32" s="114"/>
      <c r="VZ32" s="89"/>
      <c r="WA32" s="82"/>
      <c r="WC32" s="90"/>
      <c r="WD32" s="87"/>
      <c r="WE32" s="87"/>
      <c r="WF32" s="87">
        <f t="shared" si="73"/>
        <v>0</v>
      </c>
      <c r="WG32" s="114"/>
      <c r="WH32" s="89"/>
      <c r="WI32" s="82"/>
      <c r="WK32" s="90"/>
      <c r="WL32" s="87"/>
      <c r="WM32" s="87"/>
      <c r="WN32" s="87">
        <f t="shared" si="74"/>
        <v>0</v>
      </c>
      <c r="WO32" s="114"/>
      <c r="WP32" s="89"/>
      <c r="WQ32" s="82"/>
      <c r="WS32" s="90"/>
      <c r="WT32" s="87"/>
      <c r="WU32" s="87"/>
      <c r="WV32" s="87">
        <f t="shared" si="75"/>
        <v>0</v>
      </c>
      <c r="WW32" s="114"/>
      <c r="WX32" s="89"/>
      <c r="WY32" s="82"/>
      <c r="XA32" s="99"/>
      <c r="XB32" s="86"/>
      <c r="XC32" s="87"/>
      <c r="XD32" s="87">
        <f t="shared" si="76"/>
        <v>0</v>
      </c>
      <c r="XE32" s="114"/>
      <c r="XF32" s="89"/>
      <c r="XG32" s="82"/>
      <c r="XI32" s="90"/>
      <c r="XJ32" s="87"/>
      <c r="XK32" s="87"/>
      <c r="XL32" s="87">
        <f t="shared" si="77"/>
        <v>0</v>
      </c>
      <c r="XM32" s="114"/>
      <c r="XN32" s="89"/>
      <c r="XO32" s="82"/>
      <c r="XQ32" s="90"/>
      <c r="XR32" s="87"/>
      <c r="XS32" s="87"/>
      <c r="XT32" s="87">
        <f t="shared" si="78"/>
        <v>0</v>
      </c>
      <c r="XU32" s="114"/>
      <c r="XV32" s="89"/>
      <c r="XW32" s="82"/>
      <c r="XY32" s="90"/>
      <c r="XZ32" s="87"/>
      <c r="YA32" s="87"/>
      <c r="YB32" s="87">
        <f t="shared" si="79"/>
        <v>0</v>
      </c>
      <c r="YC32" s="114"/>
      <c r="YD32" s="89"/>
      <c r="YE32" s="82"/>
      <c r="YG32" s="90"/>
      <c r="YH32" s="87"/>
      <c r="YI32" s="87"/>
      <c r="YJ32" s="87">
        <f t="shared" si="80"/>
        <v>0</v>
      </c>
      <c r="YK32" s="114"/>
      <c r="YL32" s="89"/>
      <c r="YM32" s="82"/>
      <c r="YO32" s="90"/>
      <c r="YP32" s="87"/>
      <c r="YQ32" s="87"/>
      <c r="YR32" s="87">
        <f t="shared" si="81"/>
        <v>0</v>
      </c>
      <c r="YS32" s="114"/>
      <c r="YT32" s="89"/>
      <c r="YU32" s="82"/>
      <c r="YW32" s="90"/>
      <c r="YX32" s="87"/>
      <c r="YY32" s="87"/>
      <c r="YZ32" s="87">
        <f t="shared" si="82"/>
        <v>0</v>
      </c>
      <c r="ZA32" s="114"/>
      <c r="ZB32" s="89"/>
      <c r="ZC32" s="82"/>
      <c r="ZE32" s="90"/>
      <c r="ZF32" s="87"/>
      <c r="ZG32" s="87"/>
      <c r="ZH32" s="87">
        <f t="shared" si="83"/>
        <v>0</v>
      </c>
      <c r="ZI32" s="114"/>
      <c r="ZJ32" s="89"/>
      <c r="ZK32" s="82"/>
      <c r="ZM32" s="90"/>
      <c r="ZN32" s="87"/>
      <c r="ZO32" s="87"/>
      <c r="ZP32" s="87">
        <f t="shared" si="84"/>
        <v>0</v>
      </c>
      <c r="ZQ32" s="114"/>
      <c r="ZR32" s="89"/>
      <c r="ZS32" s="82"/>
      <c r="ZU32" s="90"/>
      <c r="ZV32" s="87"/>
      <c r="ZW32" s="87"/>
      <c r="ZX32" s="87">
        <f t="shared" si="85"/>
        <v>0</v>
      </c>
      <c r="ZY32" s="114"/>
      <c r="ZZ32" s="89"/>
      <c r="AAA32" s="82"/>
      <c r="AAC32" s="90"/>
      <c r="AAD32" s="87"/>
      <c r="AAE32" s="87"/>
      <c r="AAF32" s="87">
        <f t="shared" si="86"/>
        <v>0</v>
      </c>
      <c r="AAG32" s="114"/>
      <c r="AAH32" s="89"/>
      <c r="AAI32" s="82"/>
      <c r="AAK32" s="90"/>
      <c r="AAL32" s="87"/>
      <c r="AAM32" s="87"/>
      <c r="AAN32" s="87">
        <f t="shared" si="87"/>
        <v>0</v>
      </c>
      <c r="AAO32" s="114"/>
      <c r="AAP32" s="89"/>
      <c r="AAQ32" s="82"/>
      <c r="AAS32" s="90"/>
      <c r="AAT32" s="87"/>
      <c r="AAU32" s="87"/>
      <c r="AAV32" s="87">
        <f t="shared" si="88"/>
        <v>0</v>
      </c>
      <c r="AAW32" s="114"/>
      <c r="AAX32" s="89"/>
      <c r="AAY32" s="82"/>
      <c r="ABA32" s="90"/>
      <c r="ABB32" s="87"/>
      <c r="ABC32" s="87"/>
      <c r="ABD32" s="87">
        <f t="shared" si="89"/>
        <v>0</v>
      </c>
      <c r="ABE32" s="114"/>
      <c r="ABF32" s="89"/>
      <c r="ABG32" s="82"/>
      <c r="ABI32" s="90"/>
      <c r="ABJ32" s="87"/>
      <c r="ABK32" s="87"/>
      <c r="ABL32" s="87">
        <f t="shared" si="90"/>
        <v>0</v>
      </c>
      <c r="ABM32" s="114"/>
      <c r="ABN32" s="89"/>
      <c r="ABO32" s="82"/>
      <c r="ABQ32" s="90"/>
      <c r="ABR32" s="87"/>
      <c r="ABS32" s="87"/>
      <c r="ABT32" s="87">
        <f t="shared" si="91"/>
        <v>0</v>
      </c>
      <c r="ABU32" s="114"/>
      <c r="ABV32" s="89"/>
      <c r="ABW32" s="82"/>
      <c r="ABY32" s="90"/>
      <c r="ABZ32" s="87"/>
      <c r="ACA32" s="87"/>
      <c r="ACB32" s="87">
        <f t="shared" si="92"/>
        <v>0</v>
      </c>
      <c r="ACC32" s="114"/>
      <c r="ACD32" s="89"/>
      <c r="ACE32" s="82"/>
    </row>
    <row r="33" spans="1:759" ht="12" customHeight="1" x14ac:dyDescent="0.25">
      <c r="A33" s="84"/>
      <c r="B33" s="350"/>
      <c r="C33" s="222"/>
      <c r="D33" s="87">
        <f t="shared" si="2"/>
        <v>1700</v>
      </c>
      <c r="E33" s="114"/>
      <c r="F33" s="212"/>
      <c r="G33" s="382"/>
      <c r="H33" s="72"/>
      <c r="I33" s="84"/>
      <c r="J33" s="87"/>
      <c r="K33" s="87"/>
      <c r="L33" s="87">
        <f t="shared" si="0"/>
        <v>1000</v>
      </c>
      <c r="M33" s="114"/>
      <c r="N33" s="220"/>
      <c r="O33" s="82"/>
      <c r="P33" s="72"/>
      <c r="Q33" s="90"/>
      <c r="R33" s="87"/>
      <c r="S33" s="87"/>
      <c r="T33" s="87">
        <f t="shared" si="1"/>
        <v>4000</v>
      </c>
      <c r="U33" s="114"/>
      <c r="V33" s="89"/>
      <c r="W33" s="82"/>
      <c r="X33" s="72"/>
      <c r="Y33" s="99"/>
      <c r="Z33" s="222"/>
      <c r="AA33" s="222"/>
      <c r="AB33" s="297">
        <f t="shared" si="3"/>
        <v>1000</v>
      </c>
      <c r="AC33" s="114"/>
      <c r="AD33" s="220"/>
      <c r="AE33" s="82"/>
      <c r="AF33" s="72"/>
      <c r="AG33" s="84"/>
      <c r="AH33" s="222"/>
      <c r="AI33" s="222"/>
      <c r="AJ33" s="87">
        <f t="shared" si="4"/>
        <v>2000</v>
      </c>
      <c r="AK33" s="114"/>
      <c r="AL33" s="220"/>
      <c r="AM33" s="82"/>
      <c r="AN33" s="72"/>
      <c r="AO33" s="84"/>
      <c r="AP33" s="222"/>
      <c r="AQ33" s="222"/>
      <c r="AR33" s="87">
        <f t="shared" si="5"/>
        <v>1000</v>
      </c>
      <c r="AS33" s="114"/>
      <c r="AT33" s="220"/>
      <c r="AU33" s="82"/>
      <c r="AV33" s="72"/>
      <c r="AW33" s="90"/>
      <c r="AX33" s="87"/>
      <c r="AY33" s="87"/>
      <c r="AZ33" s="87">
        <f t="shared" si="6"/>
        <v>1150</v>
      </c>
      <c r="BA33" s="114"/>
      <c r="BB33" s="211"/>
      <c r="BC33" s="82"/>
      <c r="BD33" s="72"/>
      <c r="BE33" s="90"/>
      <c r="BF33" s="87"/>
      <c r="BG33" s="87"/>
      <c r="BH33" s="87">
        <f t="shared" si="7"/>
        <v>7000</v>
      </c>
      <c r="BI33" s="114"/>
      <c r="BJ33" s="220"/>
      <c r="BK33" s="82"/>
      <c r="BL33" s="72"/>
      <c r="BM33" s="84"/>
      <c r="BN33" s="222"/>
      <c r="BO33" s="222"/>
      <c r="BP33" s="87">
        <f t="shared" si="8"/>
        <v>1000</v>
      </c>
      <c r="BQ33" s="114"/>
      <c r="BR33" s="89"/>
      <c r="BS33" s="82"/>
      <c r="BT33" s="72"/>
      <c r="BU33" s="90"/>
      <c r="BV33" s="87"/>
      <c r="BW33" s="87"/>
      <c r="BX33" s="87">
        <f t="shared" si="9"/>
        <v>0</v>
      </c>
      <c r="BY33" s="114"/>
      <c r="BZ33" s="89"/>
      <c r="CA33" s="82"/>
      <c r="CB33" s="72"/>
      <c r="CC33" s="90"/>
      <c r="CD33" s="87"/>
      <c r="CE33" s="87"/>
      <c r="CF33" s="87">
        <f t="shared" si="10"/>
        <v>0</v>
      </c>
      <c r="CG33" s="114"/>
      <c r="CH33" s="89"/>
      <c r="CI33" s="82"/>
      <c r="CJ33" s="72"/>
      <c r="CK33" s="90"/>
      <c r="CL33" s="222"/>
      <c r="CM33" s="222"/>
      <c r="CN33" s="87">
        <f t="shared" si="11"/>
        <v>0</v>
      </c>
      <c r="CO33" s="114"/>
      <c r="CP33" s="220"/>
      <c r="CQ33" s="82"/>
      <c r="CR33" s="72"/>
      <c r="CS33" s="84"/>
      <c r="CT33" s="87"/>
      <c r="CU33" s="87"/>
      <c r="CV33" s="87">
        <f t="shared" si="12"/>
        <v>0</v>
      </c>
      <c r="CW33" s="114"/>
      <c r="CX33" s="220"/>
      <c r="CY33" s="82"/>
      <c r="CZ33" s="72"/>
      <c r="DA33" s="84"/>
      <c r="DB33" s="87"/>
      <c r="DC33" s="87"/>
      <c r="DD33" s="87">
        <f t="shared" si="13"/>
        <v>0</v>
      </c>
      <c r="DE33" s="114"/>
      <c r="DF33" s="220"/>
      <c r="DG33" s="82"/>
      <c r="DH33" s="72"/>
      <c r="DI33" s="84"/>
      <c r="DJ33" s="87"/>
      <c r="DK33" s="87"/>
      <c r="DL33" s="87">
        <f t="shared" si="14"/>
        <v>0</v>
      </c>
      <c r="DM33" s="114"/>
      <c r="DN33" s="220"/>
      <c r="DO33" s="82"/>
      <c r="DP33" s="72"/>
      <c r="DQ33" s="90"/>
      <c r="DR33" s="87"/>
      <c r="DS33" s="87"/>
      <c r="DT33" s="87">
        <f t="shared" si="15"/>
        <v>0</v>
      </c>
      <c r="DU33" s="114"/>
      <c r="DV33" s="220"/>
      <c r="DW33" s="82"/>
      <c r="DX33" s="72"/>
      <c r="DY33" s="90"/>
      <c r="DZ33" s="87"/>
      <c r="EA33" s="87"/>
      <c r="EB33" s="87">
        <f t="shared" si="16"/>
        <v>0</v>
      </c>
      <c r="EC33" s="114"/>
      <c r="ED33" s="89"/>
      <c r="EE33" s="82"/>
      <c r="EF33" s="72"/>
      <c r="EG33" s="90"/>
      <c r="EH33" s="87"/>
      <c r="EI33" s="87"/>
      <c r="EJ33" s="87">
        <f t="shared" si="17"/>
        <v>0</v>
      </c>
      <c r="EK33" s="114"/>
      <c r="EL33" s="89"/>
      <c r="EM33" s="82"/>
      <c r="EO33" s="90"/>
      <c r="EP33" s="87"/>
      <c r="EQ33" s="87"/>
      <c r="ER33" s="87">
        <f t="shared" si="18"/>
        <v>0</v>
      </c>
      <c r="ES33" s="114"/>
      <c r="ET33" s="89"/>
      <c r="EU33" s="82"/>
      <c r="EW33" s="90"/>
      <c r="EX33" s="222"/>
      <c r="EY33" s="222"/>
      <c r="EZ33" s="87">
        <f t="shared" si="19"/>
        <v>0</v>
      </c>
      <c r="FA33" s="114"/>
      <c r="FB33" s="220"/>
      <c r="FC33" s="82"/>
      <c r="FE33" s="90"/>
      <c r="FF33" s="87"/>
      <c r="FG33" s="87"/>
      <c r="FH33" s="87">
        <f t="shared" si="93"/>
        <v>0</v>
      </c>
      <c r="FI33" s="114"/>
      <c r="FJ33" s="89"/>
      <c r="FK33" s="82"/>
      <c r="FM33" s="90"/>
      <c r="FN33" s="87"/>
      <c r="FO33" s="87"/>
      <c r="FP33" s="87">
        <f t="shared" si="20"/>
        <v>0</v>
      </c>
      <c r="FQ33" s="114"/>
      <c r="FR33" s="89"/>
      <c r="FS33" s="82"/>
      <c r="FT33" s="72"/>
      <c r="FU33" s="84"/>
      <c r="FV33" s="87"/>
      <c r="FW33" s="87"/>
      <c r="FX33" s="87">
        <f t="shared" si="21"/>
        <v>0</v>
      </c>
      <c r="FY33" s="165"/>
      <c r="FZ33" s="220"/>
      <c r="GA33" s="82"/>
      <c r="GC33" s="90"/>
      <c r="GD33" s="87"/>
      <c r="GE33" s="87"/>
      <c r="GF33" s="87">
        <f t="shared" si="22"/>
        <v>0</v>
      </c>
      <c r="GG33" s="114"/>
      <c r="GH33" s="220"/>
      <c r="GI33" s="82"/>
      <c r="GK33" s="90"/>
      <c r="GL33" s="87"/>
      <c r="GM33" s="87"/>
      <c r="GN33" s="87">
        <f t="shared" si="23"/>
        <v>0</v>
      </c>
      <c r="GO33" s="114"/>
      <c r="GP33" s="89"/>
      <c r="GQ33" s="82"/>
      <c r="GS33" s="90"/>
      <c r="GT33" s="87"/>
      <c r="GU33" s="87"/>
      <c r="GV33" s="87">
        <f t="shared" si="24"/>
        <v>0</v>
      </c>
      <c r="GW33" s="114"/>
      <c r="GX33" s="89"/>
      <c r="GY33" s="82"/>
      <c r="HA33" s="90"/>
      <c r="HB33" s="87"/>
      <c r="HC33" s="87"/>
      <c r="HD33" s="87">
        <f t="shared" si="25"/>
        <v>0</v>
      </c>
      <c r="HE33" s="114"/>
      <c r="HF33" s="89"/>
      <c r="HG33" s="82"/>
      <c r="HI33" s="90"/>
      <c r="HJ33" s="87"/>
      <c r="HK33" s="87"/>
      <c r="HL33" s="87">
        <f t="shared" si="26"/>
        <v>0</v>
      </c>
      <c r="HM33" s="114"/>
      <c r="HN33" s="89"/>
      <c r="HO33" s="82"/>
      <c r="HQ33" s="90"/>
      <c r="HR33" s="87"/>
      <c r="HS33" s="87"/>
      <c r="HT33" s="87">
        <f t="shared" si="27"/>
        <v>0</v>
      </c>
      <c r="HU33" s="114"/>
      <c r="HV33" s="89"/>
      <c r="HW33" s="82"/>
      <c r="HY33" s="90"/>
      <c r="HZ33" s="87"/>
      <c r="IA33" s="87"/>
      <c r="IB33" s="87">
        <f t="shared" si="28"/>
        <v>0</v>
      </c>
      <c r="IC33" s="114"/>
      <c r="ID33" s="89"/>
      <c r="IE33" s="82"/>
      <c r="IG33" s="90"/>
      <c r="IH33" s="87"/>
      <c r="II33" s="87"/>
      <c r="IJ33" s="87">
        <f t="shared" si="29"/>
        <v>0</v>
      </c>
      <c r="IK33" s="114"/>
      <c r="IL33" s="89"/>
      <c r="IM33" s="82"/>
      <c r="IO33" s="90"/>
      <c r="IP33" s="87"/>
      <c r="IQ33" s="87"/>
      <c r="IR33" s="87">
        <f t="shared" si="30"/>
        <v>0</v>
      </c>
      <c r="IS33" s="114"/>
      <c r="IT33" s="89"/>
      <c r="IU33" s="82"/>
      <c r="IW33" s="90"/>
      <c r="IX33" s="87"/>
      <c r="IY33" s="87"/>
      <c r="IZ33" s="87">
        <f t="shared" si="31"/>
        <v>0</v>
      </c>
      <c r="JA33" s="114"/>
      <c r="JB33" s="89"/>
      <c r="JC33" s="82"/>
      <c r="JE33" s="90"/>
      <c r="JF33" s="87"/>
      <c r="JG33" s="87"/>
      <c r="JH33" s="87">
        <f t="shared" si="32"/>
        <v>0</v>
      </c>
      <c r="JI33" s="114"/>
      <c r="JJ33" s="89"/>
      <c r="JK33" s="82"/>
      <c r="JM33" s="84"/>
      <c r="JN33" s="87"/>
      <c r="JO33" s="87"/>
      <c r="JP33" s="87">
        <f t="shared" si="33"/>
        <v>0</v>
      </c>
      <c r="JQ33" s="165"/>
      <c r="JR33" s="91"/>
      <c r="JS33" s="82"/>
      <c r="JU33" s="90"/>
      <c r="JV33" s="87"/>
      <c r="JW33" s="87"/>
      <c r="JX33" s="87">
        <f t="shared" si="94"/>
        <v>0</v>
      </c>
      <c r="JY33" s="165"/>
      <c r="JZ33" s="89"/>
      <c r="KA33" s="82"/>
      <c r="KC33" s="90"/>
      <c r="KD33" s="87"/>
      <c r="KE33" s="87"/>
      <c r="KF33" s="87">
        <f t="shared" si="34"/>
        <v>0</v>
      </c>
      <c r="KG33" s="165"/>
      <c r="KH33" s="86"/>
      <c r="KI33" s="109"/>
      <c r="KK33" s="90"/>
      <c r="KL33" s="87"/>
      <c r="KM33" s="87"/>
      <c r="KN33" s="87">
        <f t="shared" si="35"/>
        <v>0</v>
      </c>
      <c r="KO33" s="114"/>
      <c r="KP33" s="89"/>
      <c r="KQ33" s="82"/>
      <c r="KS33" s="90"/>
      <c r="KT33" s="87"/>
      <c r="KU33" s="87"/>
      <c r="KV33" s="87">
        <f t="shared" si="36"/>
        <v>0</v>
      </c>
      <c r="KW33" s="114"/>
      <c r="KX33" s="89"/>
      <c r="KY33" s="82"/>
      <c r="LA33" s="90"/>
      <c r="LB33" s="87"/>
      <c r="LC33" s="87"/>
      <c r="LD33" s="87">
        <f t="shared" si="37"/>
        <v>0</v>
      </c>
      <c r="LE33" s="165"/>
      <c r="LF33" s="89"/>
      <c r="LG33" s="82"/>
      <c r="LI33" s="99"/>
      <c r="LJ33" s="87"/>
      <c r="LK33" s="87"/>
      <c r="LL33" s="87">
        <f t="shared" si="38"/>
        <v>0</v>
      </c>
      <c r="LM33" s="114"/>
      <c r="LN33" s="89"/>
      <c r="LO33" s="82"/>
      <c r="LQ33" s="90"/>
      <c r="LR33" s="87"/>
      <c r="LS33" s="87"/>
      <c r="LT33" s="87">
        <f t="shared" si="39"/>
        <v>0</v>
      </c>
      <c r="LU33" s="114"/>
      <c r="LV33" s="89"/>
      <c r="LW33" s="82"/>
      <c r="LY33" s="84"/>
      <c r="LZ33" s="87"/>
      <c r="MA33" s="87"/>
      <c r="MB33" s="87">
        <f t="shared" si="40"/>
        <v>0</v>
      </c>
      <c r="MC33" s="114"/>
      <c r="MD33" s="89"/>
      <c r="ME33" s="82"/>
      <c r="MG33" s="90"/>
      <c r="MH33" s="87"/>
      <c r="MI33" s="87"/>
      <c r="MJ33" s="87">
        <f t="shared" si="41"/>
        <v>0</v>
      </c>
      <c r="MK33" s="114"/>
      <c r="ML33" s="89"/>
      <c r="MM33" s="82"/>
      <c r="MO33" s="90"/>
      <c r="MP33" s="87"/>
      <c r="MQ33" s="87"/>
      <c r="MR33" s="87">
        <f t="shared" si="42"/>
        <v>0</v>
      </c>
      <c r="MS33" s="114"/>
      <c r="MT33" s="89"/>
      <c r="MU33" s="82"/>
      <c r="MW33" s="84"/>
      <c r="MX33" s="87"/>
      <c r="MY33" s="87"/>
      <c r="MZ33" s="87">
        <f t="shared" si="43"/>
        <v>0</v>
      </c>
      <c r="NA33" s="114"/>
      <c r="NB33" s="89"/>
      <c r="NC33" s="82"/>
      <c r="NE33" s="84"/>
      <c r="NF33" s="87"/>
      <c r="NG33" s="87"/>
      <c r="NH33" s="87">
        <f t="shared" si="44"/>
        <v>0</v>
      </c>
      <c r="NI33" s="114"/>
      <c r="NJ33" s="89"/>
      <c r="NK33" s="82"/>
      <c r="NM33" s="90"/>
      <c r="NN33" s="87"/>
      <c r="NO33" s="87"/>
      <c r="NP33" s="87">
        <f t="shared" si="45"/>
        <v>0</v>
      </c>
      <c r="NQ33" s="114"/>
      <c r="NR33" s="89"/>
      <c r="NS33" s="82"/>
      <c r="NU33" s="90"/>
      <c r="NV33" s="87"/>
      <c r="NW33" s="87"/>
      <c r="NX33" s="87">
        <f t="shared" si="46"/>
        <v>0</v>
      </c>
      <c r="NY33" s="114"/>
      <c r="NZ33" s="89"/>
      <c r="OA33" s="82"/>
      <c r="OC33" s="90"/>
      <c r="OD33" s="87"/>
      <c r="OE33" s="87"/>
      <c r="OF33" s="87">
        <f t="shared" si="47"/>
        <v>0</v>
      </c>
      <c r="OG33" s="114"/>
      <c r="OH33" s="89"/>
      <c r="OI33" s="82"/>
      <c r="OK33" s="84"/>
      <c r="OL33" s="87"/>
      <c r="OM33" s="87"/>
      <c r="ON33" s="87">
        <f t="shared" si="48"/>
        <v>0</v>
      </c>
      <c r="OO33" s="114"/>
      <c r="OP33" s="91"/>
      <c r="OQ33" s="82"/>
      <c r="OS33" s="90"/>
      <c r="OT33" s="87"/>
      <c r="OU33" s="87"/>
      <c r="OV33" s="87">
        <f t="shared" si="49"/>
        <v>0</v>
      </c>
      <c r="OW33" s="114"/>
      <c r="OX33" s="89"/>
      <c r="OY33" s="82"/>
      <c r="PA33" s="90"/>
      <c r="PB33" s="87"/>
      <c r="PC33" s="87"/>
      <c r="PD33" s="87">
        <f t="shared" si="50"/>
        <v>0</v>
      </c>
      <c r="PE33" s="114"/>
      <c r="PF33" s="89"/>
      <c r="PG33" s="82"/>
      <c r="PI33" s="90"/>
      <c r="PJ33" s="87"/>
      <c r="PK33" s="87"/>
      <c r="PL33" s="87">
        <f t="shared" si="51"/>
        <v>0</v>
      </c>
      <c r="PM33" s="114"/>
      <c r="PN33" s="211"/>
      <c r="PO33" s="216"/>
      <c r="PQ33" s="90"/>
      <c r="PR33" s="87"/>
      <c r="PS33" s="87"/>
      <c r="PT33" s="87">
        <f t="shared" si="52"/>
        <v>0</v>
      </c>
      <c r="PU33" s="114"/>
      <c r="PV33" s="89"/>
      <c r="PW33" s="82"/>
      <c r="PY33" s="84"/>
      <c r="PZ33" s="87"/>
      <c r="QA33" s="87"/>
      <c r="QB33" s="87">
        <f t="shared" si="53"/>
        <v>0</v>
      </c>
      <c r="QC33" s="114"/>
      <c r="QD33" s="89"/>
      <c r="QE33" s="82"/>
      <c r="QG33" s="90"/>
      <c r="QH33" s="87"/>
      <c r="QI33" s="87"/>
      <c r="QJ33" s="87">
        <f t="shared" si="54"/>
        <v>0</v>
      </c>
      <c r="QK33" s="114"/>
      <c r="QL33" s="89"/>
      <c r="QM33" s="82"/>
      <c r="QO33" s="90"/>
      <c r="QP33" s="87"/>
      <c r="QQ33" s="87"/>
      <c r="QR33" s="87">
        <f t="shared" si="55"/>
        <v>0</v>
      </c>
      <c r="QS33" s="114"/>
      <c r="QT33" s="211"/>
      <c r="QU33" s="216"/>
      <c r="QW33" s="90"/>
      <c r="QX33" s="87"/>
      <c r="QY33" s="87"/>
      <c r="QZ33" s="87">
        <f t="shared" si="56"/>
        <v>0</v>
      </c>
      <c r="RA33" s="114"/>
      <c r="RB33" s="89"/>
      <c r="RC33" s="82"/>
      <c r="RE33" s="90"/>
      <c r="RF33" s="87"/>
      <c r="RG33" s="87"/>
      <c r="RH33" s="87">
        <f t="shared" si="57"/>
        <v>0</v>
      </c>
      <c r="RI33" s="114"/>
      <c r="RJ33" s="89"/>
      <c r="RK33" s="170"/>
      <c r="RM33" s="90"/>
      <c r="RN33" s="87"/>
      <c r="RO33" s="87"/>
      <c r="RP33" s="87">
        <f t="shared" si="58"/>
        <v>0</v>
      </c>
      <c r="RQ33" s="114"/>
      <c r="RR33" s="89"/>
      <c r="RS33" s="82"/>
      <c r="RU33" s="99"/>
      <c r="RV33" s="87"/>
      <c r="RW33" s="87"/>
      <c r="RX33" s="87">
        <f t="shared" si="59"/>
        <v>0</v>
      </c>
      <c r="RY33" s="114"/>
      <c r="RZ33" s="89"/>
      <c r="SA33" s="82"/>
      <c r="SC33" s="90"/>
      <c r="SD33" s="87"/>
      <c r="SE33" s="87"/>
      <c r="SF33" s="87">
        <f t="shared" si="60"/>
        <v>0</v>
      </c>
      <c r="SG33" s="114"/>
      <c r="SH33" s="89"/>
      <c r="SI33" s="82"/>
      <c r="SK33" s="90"/>
      <c r="SL33" s="87"/>
      <c r="SM33" s="87"/>
      <c r="SN33" s="87">
        <f t="shared" si="61"/>
        <v>0</v>
      </c>
      <c r="SO33" s="114"/>
      <c r="SP33" s="89"/>
      <c r="SQ33" s="82"/>
      <c r="SS33" s="90"/>
      <c r="ST33" s="87"/>
      <c r="SU33" s="87"/>
      <c r="SV33" s="87">
        <f t="shared" si="62"/>
        <v>0</v>
      </c>
      <c r="SW33" s="114"/>
      <c r="SX33" s="89"/>
      <c r="SY33" s="82"/>
      <c r="TA33" s="90"/>
      <c r="TB33" s="87"/>
      <c r="TC33" s="87"/>
      <c r="TD33" s="87">
        <f t="shared" si="63"/>
        <v>0</v>
      </c>
      <c r="TE33" s="114"/>
      <c r="TF33" s="91"/>
      <c r="TG33" s="82"/>
      <c r="TI33" s="99"/>
      <c r="TJ33" s="87"/>
      <c r="TK33" s="87"/>
      <c r="TL33" s="87">
        <f t="shared" si="64"/>
        <v>0</v>
      </c>
      <c r="TM33" s="114"/>
      <c r="TN33" s="89"/>
      <c r="TO33" s="82"/>
      <c r="TQ33" s="90"/>
      <c r="TR33" s="87"/>
      <c r="TS33" s="87"/>
      <c r="TT33" s="87">
        <f t="shared" si="65"/>
        <v>0</v>
      </c>
      <c r="TU33" s="114"/>
      <c r="TV33" s="91"/>
      <c r="TW33" s="82"/>
      <c r="TY33" s="90"/>
      <c r="TZ33" s="87"/>
      <c r="UA33" s="87"/>
      <c r="UB33" s="87">
        <f t="shared" si="66"/>
        <v>0</v>
      </c>
      <c r="UC33" s="114"/>
      <c r="UD33" s="89"/>
      <c r="UE33" s="82"/>
      <c r="UG33" s="90"/>
      <c r="UH33" s="87"/>
      <c r="UI33" s="87"/>
      <c r="UJ33" s="87">
        <f t="shared" si="67"/>
        <v>0</v>
      </c>
      <c r="UK33" s="114"/>
      <c r="UL33" s="89"/>
      <c r="UM33" s="82"/>
      <c r="UO33" s="90"/>
      <c r="UP33" s="87"/>
      <c r="UQ33" s="87"/>
      <c r="UR33" s="87">
        <f t="shared" si="68"/>
        <v>0</v>
      </c>
      <c r="US33" s="114"/>
      <c r="UT33" s="89"/>
      <c r="UU33" s="82"/>
      <c r="UW33" s="90"/>
      <c r="UX33" s="87"/>
      <c r="UY33" s="87"/>
      <c r="UZ33" s="87">
        <f t="shared" si="69"/>
        <v>0</v>
      </c>
      <c r="VA33" s="114"/>
      <c r="VB33" s="89"/>
      <c r="VC33" s="82"/>
      <c r="VE33" s="90"/>
      <c r="VF33" s="87"/>
      <c r="VG33" s="87"/>
      <c r="VH33" s="87">
        <f t="shared" si="70"/>
        <v>0</v>
      </c>
      <c r="VI33" s="114"/>
      <c r="VJ33" s="89"/>
      <c r="VK33" s="82"/>
      <c r="VM33" s="90"/>
      <c r="VN33" s="87"/>
      <c r="VO33" s="87"/>
      <c r="VP33" s="87">
        <f t="shared" si="71"/>
        <v>0</v>
      </c>
      <c r="VQ33" s="114"/>
      <c r="VR33" s="89"/>
      <c r="VS33" s="82"/>
      <c r="VU33" s="90"/>
      <c r="VV33" s="87"/>
      <c r="VW33" s="87"/>
      <c r="VX33" s="87">
        <f t="shared" si="72"/>
        <v>0</v>
      </c>
      <c r="VY33" s="114"/>
      <c r="VZ33" s="89"/>
      <c r="WA33" s="82"/>
      <c r="WC33" s="90"/>
      <c r="WD33" s="87"/>
      <c r="WE33" s="87"/>
      <c r="WF33" s="87">
        <f t="shared" si="73"/>
        <v>0</v>
      </c>
      <c r="WG33" s="114"/>
      <c r="WH33" s="89"/>
      <c r="WI33" s="82"/>
      <c r="WK33" s="90"/>
      <c r="WL33" s="87"/>
      <c r="WM33" s="87"/>
      <c r="WN33" s="87">
        <f t="shared" si="74"/>
        <v>0</v>
      </c>
      <c r="WO33" s="114"/>
      <c r="WP33" s="89"/>
      <c r="WQ33" s="82"/>
      <c r="WS33" s="90"/>
      <c r="WT33" s="87"/>
      <c r="WU33" s="87"/>
      <c r="WV33" s="87">
        <f t="shared" si="75"/>
        <v>0</v>
      </c>
      <c r="WW33" s="114"/>
      <c r="WX33" s="89"/>
      <c r="WY33" s="82"/>
      <c r="XA33" s="90"/>
      <c r="XB33" s="87"/>
      <c r="XC33" s="87"/>
      <c r="XD33" s="87">
        <f t="shared" si="76"/>
        <v>0</v>
      </c>
      <c r="XE33" s="114"/>
      <c r="XF33" s="89"/>
      <c r="XG33" s="82"/>
      <c r="XI33" s="90"/>
      <c r="XJ33" s="87"/>
      <c r="XK33" s="87"/>
      <c r="XL33" s="87">
        <f t="shared" si="77"/>
        <v>0</v>
      </c>
      <c r="XM33" s="114"/>
      <c r="XN33" s="89"/>
      <c r="XO33" s="82"/>
      <c r="XQ33" s="90"/>
      <c r="XR33" s="87"/>
      <c r="XS33" s="87"/>
      <c r="XT33" s="87">
        <f t="shared" si="78"/>
        <v>0</v>
      </c>
      <c r="XU33" s="114"/>
      <c r="XV33" s="89"/>
      <c r="XW33" s="82"/>
      <c r="XY33" s="90"/>
      <c r="XZ33" s="87"/>
      <c r="YA33" s="87"/>
      <c r="YB33" s="87">
        <f t="shared" si="79"/>
        <v>0</v>
      </c>
      <c r="YC33" s="114"/>
      <c r="YD33" s="89"/>
      <c r="YE33" s="82"/>
      <c r="YG33" s="90"/>
      <c r="YH33" s="87"/>
      <c r="YI33" s="87"/>
      <c r="YJ33" s="87">
        <f t="shared" si="80"/>
        <v>0</v>
      </c>
      <c r="YK33" s="114"/>
      <c r="YL33" s="89"/>
      <c r="YM33" s="82"/>
      <c r="YO33" s="90"/>
      <c r="YP33" s="87"/>
      <c r="YQ33" s="87"/>
      <c r="YR33" s="87">
        <f t="shared" si="81"/>
        <v>0</v>
      </c>
      <c r="YS33" s="114"/>
      <c r="YT33" s="89"/>
      <c r="YU33" s="82"/>
      <c r="YW33" s="90"/>
      <c r="YX33" s="87"/>
      <c r="YY33" s="87"/>
      <c r="YZ33" s="87">
        <f t="shared" si="82"/>
        <v>0</v>
      </c>
      <c r="ZA33" s="114"/>
      <c r="ZB33" s="89"/>
      <c r="ZC33" s="82"/>
      <c r="ZE33" s="90"/>
      <c r="ZF33" s="87"/>
      <c r="ZG33" s="87"/>
      <c r="ZH33" s="87">
        <f t="shared" si="83"/>
        <v>0</v>
      </c>
      <c r="ZI33" s="114"/>
      <c r="ZJ33" s="89"/>
      <c r="ZK33" s="82"/>
      <c r="ZM33" s="90"/>
      <c r="ZN33" s="87"/>
      <c r="ZO33" s="87"/>
      <c r="ZP33" s="87">
        <f t="shared" si="84"/>
        <v>0</v>
      </c>
      <c r="ZQ33" s="114"/>
      <c r="ZR33" s="89"/>
      <c r="ZS33" s="82"/>
      <c r="ZU33" s="90"/>
      <c r="ZV33" s="87"/>
      <c r="ZW33" s="87"/>
      <c r="ZX33" s="87">
        <f t="shared" si="85"/>
        <v>0</v>
      </c>
      <c r="ZY33" s="114"/>
      <c r="ZZ33" s="89"/>
      <c r="AAA33" s="82"/>
      <c r="AAC33" s="90"/>
      <c r="AAD33" s="87"/>
      <c r="AAE33" s="87"/>
      <c r="AAF33" s="87">
        <f t="shared" si="86"/>
        <v>0</v>
      </c>
      <c r="AAG33" s="114"/>
      <c r="AAH33" s="89"/>
      <c r="AAI33" s="82"/>
      <c r="AAK33" s="90"/>
      <c r="AAL33" s="87"/>
      <c r="AAM33" s="87"/>
      <c r="AAN33" s="87">
        <f t="shared" si="87"/>
        <v>0</v>
      </c>
      <c r="AAO33" s="114"/>
      <c r="AAP33" s="89"/>
      <c r="AAQ33" s="82"/>
      <c r="AAS33" s="90"/>
      <c r="AAT33" s="87"/>
      <c r="AAU33" s="87"/>
      <c r="AAV33" s="87">
        <f t="shared" si="88"/>
        <v>0</v>
      </c>
      <c r="AAW33" s="114"/>
      <c r="AAX33" s="89"/>
      <c r="AAY33" s="82"/>
      <c r="ABA33" s="90"/>
      <c r="ABB33" s="87"/>
      <c r="ABC33" s="87"/>
      <c r="ABD33" s="87">
        <f t="shared" si="89"/>
        <v>0</v>
      </c>
      <c r="ABE33" s="114"/>
      <c r="ABF33" s="89"/>
      <c r="ABG33" s="82"/>
      <c r="ABI33" s="90"/>
      <c r="ABJ33" s="87"/>
      <c r="ABK33" s="87"/>
      <c r="ABL33" s="87">
        <f t="shared" si="90"/>
        <v>0</v>
      </c>
      <c r="ABM33" s="114"/>
      <c r="ABN33" s="89"/>
      <c r="ABO33" s="82"/>
      <c r="ABQ33" s="90"/>
      <c r="ABR33" s="87"/>
      <c r="ABS33" s="87"/>
      <c r="ABT33" s="87">
        <f t="shared" si="91"/>
        <v>0</v>
      </c>
      <c r="ABU33" s="114"/>
      <c r="ABV33" s="89"/>
      <c r="ABW33" s="82"/>
      <c r="ABY33" s="90"/>
      <c r="ABZ33" s="87"/>
      <c r="ACA33" s="87"/>
      <c r="ACB33" s="87">
        <f t="shared" si="92"/>
        <v>0</v>
      </c>
      <c r="ACC33" s="114"/>
      <c r="ACD33" s="89"/>
      <c r="ACE33" s="82"/>
    </row>
    <row r="34" spans="1:759" ht="12" customHeight="1" x14ac:dyDescent="0.25">
      <c r="A34" s="84"/>
      <c r="B34" s="350"/>
      <c r="C34" s="222"/>
      <c r="D34" s="87">
        <f t="shared" si="2"/>
        <v>1700</v>
      </c>
      <c r="E34" s="114"/>
      <c r="F34" s="212"/>
      <c r="G34" s="382"/>
      <c r="H34" s="72"/>
      <c r="I34" s="84"/>
      <c r="J34" s="87"/>
      <c r="K34" s="87"/>
      <c r="L34" s="87">
        <f t="shared" si="0"/>
        <v>1000</v>
      </c>
      <c r="M34" s="114"/>
      <c r="N34" s="220"/>
      <c r="O34" s="82"/>
      <c r="P34" s="72"/>
      <c r="Q34" s="90"/>
      <c r="R34" s="87"/>
      <c r="S34" s="87"/>
      <c r="T34" s="87">
        <f t="shared" si="1"/>
        <v>4000</v>
      </c>
      <c r="U34" s="114"/>
      <c r="V34" s="89"/>
      <c r="W34" s="82"/>
      <c r="X34" s="72"/>
      <c r="Y34" s="99"/>
      <c r="Z34" s="222"/>
      <c r="AA34" s="222"/>
      <c r="AB34" s="87">
        <f t="shared" si="3"/>
        <v>1000</v>
      </c>
      <c r="AC34" s="114"/>
      <c r="AD34" s="89"/>
      <c r="AE34" s="82"/>
      <c r="AF34" s="72"/>
      <c r="AG34" s="84"/>
      <c r="AH34" s="222"/>
      <c r="AI34" s="222"/>
      <c r="AJ34" s="87">
        <f t="shared" si="4"/>
        <v>2000</v>
      </c>
      <c r="AK34" s="114"/>
      <c r="AL34" s="220"/>
      <c r="AM34" s="82"/>
      <c r="AN34" s="72"/>
      <c r="AO34" s="84"/>
      <c r="AP34" s="222"/>
      <c r="AQ34" s="222"/>
      <c r="AR34" s="87">
        <f t="shared" si="5"/>
        <v>1000</v>
      </c>
      <c r="AS34" s="114"/>
      <c r="AT34" s="220"/>
      <c r="AU34" s="82"/>
      <c r="AV34" s="72"/>
      <c r="AW34" s="90"/>
      <c r="AX34" s="87"/>
      <c r="AY34" s="87"/>
      <c r="AZ34" s="87">
        <f t="shared" si="6"/>
        <v>1150</v>
      </c>
      <c r="BA34" s="114"/>
      <c r="BB34" s="211"/>
      <c r="BC34" s="82"/>
      <c r="BD34" s="72"/>
      <c r="BE34" s="90"/>
      <c r="BF34" s="87"/>
      <c r="BG34" s="87"/>
      <c r="BH34" s="87">
        <f t="shared" si="7"/>
        <v>7000</v>
      </c>
      <c r="BI34" s="114"/>
      <c r="BJ34" s="220"/>
      <c r="BK34" s="82"/>
      <c r="BL34" s="72"/>
      <c r="BM34" s="84"/>
      <c r="BN34" s="222"/>
      <c r="BO34" s="222"/>
      <c r="BP34" s="87">
        <f t="shared" si="8"/>
        <v>1000</v>
      </c>
      <c r="BQ34" s="114"/>
      <c r="BR34" s="89"/>
      <c r="BS34" s="82"/>
      <c r="BT34" s="72"/>
      <c r="BU34" s="90"/>
      <c r="BV34" s="87"/>
      <c r="BW34" s="87"/>
      <c r="BX34" s="87">
        <f t="shared" si="9"/>
        <v>0</v>
      </c>
      <c r="BY34" s="114"/>
      <c r="BZ34" s="89"/>
      <c r="CA34" s="82"/>
      <c r="CB34" s="72"/>
      <c r="CC34" s="90"/>
      <c r="CD34" s="87"/>
      <c r="CE34" s="87"/>
      <c r="CF34" s="87">
        <f t="shared" si="10"/>
        <v>0</v>
      </c>
      <c r="CG34" s="114"/>
      <c r="CH34" s="89"/>
      <c r="CI34" s="82"/>
      <c r="CJ34" s="72"/>
      <c r="CK34" s="90"/>
      <c r="CL34" s="222"/>
      <c r="CM34" s="222"/>
      <c r="CN34" s="87">
        <f t="shared" si="11"/>
        <v>0</v>
      </c>
      <c r="CO34" s="114"/>
      <c r="CP34" s="220"/>
      <c r="CQ34" s="82"/>
      <c r="CR34" s="72"/>
      <c r="CS34" s="84"/>
      <c r="CT34" s="87"/>
      <c r="CU34" s="87"/>
      <c r="CV34" s="87">
        <f t="shared" si="12"/>
        <v>0</v>
      </c>
      <c r="CW34" s="114"/>
      <c r="CX34" s="220"/>
      <c r="CY34" s="82"/>
      <c r="CZ34" s="72"/>
      <c r="DA34" s="84"/>
      <c r="DB34" s="87"/>
      <c r="DC34" s="87"/>
      <c r="DD34" s="87">
        <f t="shared" si="13"/>
        <v>0</v>
      </c>
      <c r="DE34" s="114"/>
      <c r="DF34" s="220"/>
      <c r="DG34" s="82"/>
      <c r="DH34" s="72"/>
      <c r="DI34" s="84"/>
      <c r="DJ34" s="87"/>
      <c r="DK34" s="87"/>
      <c r="DL34" s="87">
        <f t="shared" si="14"/>
        <v>0</v>
      </c>
      <c r="DM34" s="114"/>
      <c r="DN34" s="91"/>
      <c r="DO34" s="82"/>
      <c r="DP34" s="72"/>
      <c r="DQ34" s="90"/>
      <c r="DR34" s="87"/>
      <c r="DS34" s="87"/>
      <c r="DT34" s="87">
        <f t="shared" si="15"/>
        <v>0</v>
      </c>
      <c r="DU34" s="114"/>
      <c r="DV34" s="220"/>
      <c r="DW34" s="82"/>
      <c r="DX34" s="72"/>
      <c r="DY34" s="90"/>
      <c r="DZ34" s="87"/>
      <c r="EA34" s="87"/>
      <c r="EB34" s="87">
        <f t="shared" si="16"/>
        <v>0</v>
      </c>
      <c r="EC34" s="114"/>
      <c r="ED34" s="89"/>
      <c r="EE34" s="82"/>
      <c r="EF34" s="72"/>
      <c r="EG34" s="90"/>
      <c r="EH34" s="87"/>
      <c r="EI34" s="87"/>
      <c r="EJ34" s="87">
        <f t="shared" si="17"/>
        <v>0</v>
      </c>
      <c r="EK34" s="114"/>
      <c r="EL34" s="89"/>
      <c r="EM34" s="82"/>
      <c r="EO34" s="90"/>
      <c r="EP34" s="87"/>
      <c r="EQ34" s="87"/>
      <c r="ER34" s="87">
        <f t="shared" si="18"/>
        <v>0</v>
      </c>
      <c r="ES34" s="114"/>
      <c r="ET34" s="89"/>
      <c r="EU34" s="82"/>
      <c r="EW34" s="90"/>
      <c r="EX34" s="222"/>
      <c r="EY34" s="222"/>
      <c r="EZ34" s="87">
        <f t="shared" si="19"/>
        <v>0</v>
      </c>
      <c r="FA34" s="114"/>
      <c r="FB34" s="220"/>
      <c r="FC34" s="82"/>
      <c r="FE34" s="90"/>
      <c r="FF34" s="87"/>
      <c r="FG34" s="87"/>
      <c r="FH34" s="87">
        <f t="shared" si="93"/>
        <v>0</v>
      </c>
      <c r="FI34" s="114"/>
      <c r="FJ34" s="89"/>
      <c r="FK34" s="82"/>
      <c r="FM34" s="90"/>
      <c r="FN34" s="87"/>
      <c r="FO34" s="87"/>
      <c r="FP34" s="87">
        <f t="shared" si="20"/>
        <v>0</v>
      </c>
      <c r="FQ34" s="114"/>
      <c r="FR34" s="89"/>
      <c r="FS34" s="82"/>
      <c r="FT34" s="72"/>
      <c r="FU34" s="90"/>
      <c r="FV34" s="87"/>
      <c r="FW34" s="87"/>
      <c r="FX34" s="87">
        <f t="shared" si="21"/>
        <v>0</v>
      </c>
      <c r="FY34" s="165"/>
      <c r="FZ34" s="220"/>
      <c r="GA34" s="82"/>
      <c r="GC34" s="90"/>
      <c r="GD34" s="87"/>
      <c r="GE34" s="87"/>
      <c r="GF34" s="87">
        <f t="shared" si="22"/>
        <v>0</v>
      </c>
      <c r="GG34" s="114"/>
      <c r="GH34" s="220"/>
      <c r="GI34" s="82"/>
      <c r="GK34" s="90"/>
      <c r="GL34" s="87"/>
      <c r="GM34" s="87"/>
      <c r="GN34" s="87">
        <f t="shared" si="23"/>
        <v>0</v>
      </c>
      <c r="GO34" s="114"/>
      <c r="GP34" s="89"/>
      <c r="GQ34" s="82"/>
      <c r="GS34" s="90"/>
      <c r="GT34" s="87"/>
      <c r="GU34" s="87"/>
      <c r="GV34" s="87">
        <f t="shared" si="24"/>
        <v>0</v>
      </c>
      <c r="GW34" s="114"/>
      <c r="GX34" s="89"/>
      <c r="GY34" s="82"/>
      <c r="HA34" s="90"/>
      <c r="HB34" s="87"/>
      <c r="HC34" s="87"/>
      <c r="HD34" s="87">
        <f t="shared" si="25"/>
        <v>0</v>
      </c>
      <c r="HE34" s="114"/>
      <c r="HF34" s="89"/>
      <c r="HG34" s="82"/>
      <c r="HI34" s="90"/>
      <c r="HJ34" s="87"/>
      <c r="HK34" s="87"/>
      <c r="HL34" s="87">
        <f t="shared" si="26"/>
        <v>0</v>
      </c>
      <c r="HM34" s="114"/>
      <c r="HN34" s="89"/>
      <c r="HO34" s="82"/>
      <c r="HQ34" s="90"/>
      <c r="HR34" s="87"/>
      <c r="HS34" s="87"/>
      <c r="HT34" s="87">
        <f t="shared" si="27"/>
        <v>0</v>
      </c>
      <c r="HU34" s="114"/>
      <c r="HV34" s="89"/>
      <c r="HW34" s="82"/>
      <c r="HY34" s="90"/>
      <c r="HZ34" s="87"/>
      <c r="IA34" s="87"/>
      <c r="IB34" s="87">
        <f t="shared" si="28"/>
        <v>0</v>
      </c>
      <c r="IC34" s="114"/>
      <c r="ID34" s="89"/>
      <c r="IE34" s="82"/>
      <c r="IG34" s="90"/>
      <c r="IH34" s="87"/>
      <c r="II34" s="87"/>
      <c r="IJ34" s="87">
        <f t="shared" si="29"/>
        <v>0</v>
      </c>
      <c r="IK34" s="114"/>
      <c r="IL34" s="89"/>
      <c r="IM34" s="82"/>
      <c r="IO34" s="90"/>
      <c r="IP34" s="87"/>
      <c r="IQ34" s="87"/>
      <c r="IR34" s="87">
        <f t="shared" si="30"/>
        <v>0</v>
      </c>
      <c r="IS34" s="114"/>
      <c r="IT34" s="89"/>
      <c r="IU34" s="82"/>
      <c r="IW34" s="90"/>
      <c r="IX34" s="87"/>
      <c r="IY34" s="87"/>
      <c r="IZ34" s="87">
        <f t="shared" si="31"/>
        <v>0</v>
      </c>
      <c r="JA34" s="114"/>
      <c r="JB34" s="89"/>
      <c r="JC34" s="82"/>
      <c r="JE34" s="90"/>
      <c r="JF34" s="87"/>
      <c r="JG34" s="87"/>
      <c r="JH34" s="87">
        <f t="shared" si="32"/>
        <v>0</v>
      </c>
      <c r="JI34" s="114"/>
      <c r="JJ34" s="89"/>
      <c r="JK34" s="82"/>
      <c r="JM34" s="84"/>
      <c r="JN34" s="87"/>
      <c r="JO34" s="87"/>
      <c r="JP34" s="87">
        <f t="shared" si="33"/>
        <v>0</v>
      </c>
      <c r="JQ34" s="165"/>
      <c r="JR34" s="91"/>
      <c r="JS34" s="82"/>
      <c r="JU34" s="90"/>
      <c r="JV34" s="87"/>
      <c r="JW34" s="87"/>
      <c r="JX34" s="87">
        <f t="shared" si="94"/>
        <v>0</v>
      </c>
      <c r="JY34" s="165"/>
      <c r="JZ34" s="89"/>
      <c r="KA34" s="82"/>
      <c r="KC34" s="90"/>
      <c r="KD34" s="87"/>
      <c r="KE34" s="87"/>
      <c r="KF34" s="87">
        <f t="shared" si="34"/>
        <v>0</v>
      </c>
      <c r="KG34" s="114"/>
      <c r="KH34" s="86"/>
      <c r="KI34" s="109"/>
      <c r="KK34" s="90"/>
      <c r="KL34" s="87"/>
      <c r="KM34" s="87"/>
      <c r="KN34" s="87">
        <f t="shared" si="35"/>
        <v>0</v>
      </c>
      <c r="KO34" s="114"/>
      <c r="KP34" s="89"/>
      <c r="KQ34" s="82"/>
      <c r="KS34" s="90"/>
      <c r="KT34" s="87"/>
      <c r="KU34" s="87"/>
      <c r="KV34" s="87">
        <f t="shared" si="36"/>
        <v>0</v>
      </c>
      <c r="KW34" s="114"/>
      <c r="KX34" s="89"/>
      <c r="KY34" s="82"/>
      <c r="LA34" s="90"/>
      <c r="LB34" s="87"/>
      <c r="LC34" s="87"/>
      <c r="LD34" s="87">
        <f t="shared" si="37"/>
        <v>0</v>
      </c>
      <c r="LE34" s="114"/>
      <c r="LF34" s="89"/>
      <c r="LG34" s="82"/>
      <c r="LI34" s="99"/>
      <c r="LJ34" s="87"/>
      <c r="LK34" s="87"/>
      <c r="LL34" s="87">
        <f t="shared" si="38"/>
        <v>0</v>
      </c>
      <c r="LM34" s="114"/>
      <c r="LN34" s="89"/>
      <c r="LO34" s="82"/>
      <c r="LQ34" s="90"/>
      <c r="LR34" s="87"/>
      <c r="LS34" s="87"/>
      <c r="LT34" s="87">
        <f t="shared" si="39"/>
        <v>0</v>
      </c>
      <c r="LU34" s="114"/>
      <c r="LV34" s="89"/>
      <c r="LW34" s="82"/>
      <c r="LY34" s="99"/>
      <c r="LZ34" s="87"/>
      <c r="MA34" s="87"/>
      <c r="MB34" s="87">
        <f t="shared" si="40"/>
        <v>0</v>
      </c>
      <c r="MC34" s="114"/>
      <c r="MD34" s="89"/>
      <c r="ME34" s="82"/>
      <c r="MG34" s="90"/>
      <c r="MH34" s="87"/>
      <c r="MI34" s="87"/>
      <c r="MJ34" s="87">
        <f t="shared" si="41"/>
        <v>0</v>
      </c>
      <c r="MK34" s="114"/>
      <c r="ML34" s="89"/>
      <c r="MM34" s="82"/>
      <c r="MO34" s="90"/>
      <c r="MP34" s="87"/>
      <c r="MQ34" s="87"/>
      <c r="MR34" s="87">
        <f t="shared" si="42"/>
        <v>0</v>
      </c>
      <c r="MS34" s="114"/>
      <c r="MT34" s="89"/>
      <c r="MU34" s="82"/>
      <c r="MW34" s="84"/>
      <c r="MX34" s="87"/>
      <c r="MY34" s="87"/>
      <c r="MZ34" s="87">
        <f t="shared" si="43"/>
        <v>0</v>
      </c>
      <c r="NA34" s="114"/>
      <c r="NB34" s="89"/>
      <c r="NC34" s="82"/>
      <c r="NE34" s="90"/>
      <c r="NF34" s="87"/>
      <c r="NG34" s="87"/>
      <c r="NH34" s="87">
        <f t="shared" si="44"/>
        <v>0</v>
      </c>
      <c r="NI34" s="114"/>
      <c r="NJ34" s="89"/>
      <c r="NK34" s="82"/>
      <c r="NM34" s="90"/>
      <c r="NN34" s="87"/>
      <c r="NO34" s="87"/>
      <c r="NP34" s="87">
        <f t="shared" si="45"/>
        <v>0</v>
      </c>
      <c r="NQ34" s="114"/>
      <c r="NR34" s="89"/>
      <c r="NS34" s="82"/>
      <c r="NU34" s="90"/>
      <c r="NV34" s="87"/>
      <c r="NW34" s="87"/>
      <c r="NX34" s="87">
        <f t="shared" si="46"/>
        <v>0</v>
      </c>
      <c r="NY34" s="114"/>
      <c r="NZ34" s="89"/>
      <c r="OA34" s="82"/>
      <c r="OC34" s="90"/>
      <c r="OD34" s="87"/>
      <c r="OE34" s="87"/>
      <c r="OF34" s="87">
        <f t="shared" si="47"/>
        <v>0</v>
      </c>
      <c r="OG34" s="114"/>
      <c r="OH34" s="89"/>
      <c r="OI34" s="82"/>
      <c r="OK34" s="99"/>
      <c r="OL34" s="87"/>
      <c r="OM34" s="87"/>
      <c r="ON34" s="87">
        <f t="shared" si="48"/>
        <v>0</v>
      </c>
      <c r="OO34" s="114"/>
      <c r="OP34" s="91"/>
      <c r="OQ34" s="82"/>
      <c r="OS34" s="90"/>
      <c r="OT34" s="87"/>
      <c r="OU34" s="87"/>
      <c r="OV34" s="87">
        <f t="shared" si="49"/>
        <v>0</v>
      </c>
      <c r="OW34" s="114"/>
      <c r="OX34" s="89"/>
      <c r="OY34" s="82"/>
      <c r="PA34" s="90"/>
      <c r="PB34" s="87"/>
      <c r="PC34" s="87"/>
      <c r="PD34" s="87">
        <f t="shared" si="50"/>
        <v>0</v>
      </c>
      <c r="PE34" s="114"/>
      <c r="PF34" s="89"/>
      <c r="PG34" s="82"/>
      <c r="PI34" s="90"/>
      <c r="PJ34" s="87"/>
      <c r="PK34" s="87"/>
      <c r="PL34" s="87">
        <f t="shared" si="51"/>
        <v>0</v>
      </c>
      <c r="PM34" s="114"/>
      <c r="PN34" s="211"/>
      <c r="PO34" s="216"/>
      <c r="PQ34" s="90"/>
      <c r="PR34" s="87"/>
      <c r="PS34" s="87"/>
      <c r="PT34" s="87">
        <f t="shared" si="52"/>
        <v>0</v>
      </c>
      <c r="PU34" s="114"/>
      <c r="PV34" s="89"/>
      <c r="PW34" s="82"/>
      <c r="PY34" s="84"/>
      <c r="PZ34" s="87"/>
      <c r="QA34" s="87"/>
      <c r="QB34" s="87">
        <f t="shared" si="53"/>
        <v>0</v>
      </c>
      <c r="QC34" s="114"/>
      <c r="QD34" s="89"/>
      <c r="QE34" s="82"/>
      <c r="QG34" s="90"/>
      <c r="QH34" s="87"/>
      <c r="QI34" s="87"/>
      <c r="QJ34" s="87">
        <f t="shared" si="54"/>
        <v>0</v>
      </c>
      <c r="QK34" s="114"/>
      <c r="QL34" s="89"/>
      <c r="QM34" s="82"/>
      <c r="QO34" s="90"/>
      <c r="QP34" s="87"/>
      <c r="QQ34" s="87"/>
      <c r="QR34" s="87">
        <f t="shared" si="55"/>
        <v>0</v>
      </c>
      <c r="QS34" s="114"/>
      <c r="QT34" s="211"/>
      <c r="QU34" s="216"/>
      <c r="QW34" s="90"/>
      <c r="QX34" s="87"/>
      <c r="QY34" s="87"/>
      <c r="QZ34" s="87">
        <f t="shared" si="56"/>
        <v>0</v>
      </c>
      <c r="RA34" s="114"/>
      <c r="RB34" s="89"/>
      <c r="RC34" s="82"/>
      <c r="RE34" s="90"/>
      <c r="RF34" s="87"/>
      <c r="RG34" s="87"/>
      <c r="RH34" s="87">
        <f t="shared" si="57"/>
        <v>0</v>
      </c>
      <c r="RI34" s="114"/>
      <c r="RJ34" s="89"/>
      <c r="RK34" s="170"/>
      <c r="RM34" s="90"/>
      <c r="RN34" s="87"/>
      <c r="RO34" s="87"/>
      <c r="RP34" s="87">
        <f t="shared" si="58"/>
        <v>0</v>
      </c>
      <c r="RQ34" s="114"/>
      <c r="RR34" s="89"/>
      <c r="RS34" s="82"/>
      <c r="RU34" s="99"/>
      <c r="RV34" s="87"/>
      <c r="RW34" s="87"/>
      <c r="RX34" s="87">
        <f t="shared" si="59"/>
        <v>0</v>
      </c>
      <c r="RY34" s="114"/>
      <c r="RZ34" s="89"/>
      <c r="SA34" s="82"/>
      <c r="SC34" s="90"/>
      <c r="SD34" s="87"/>
      <c r="SE34" s="87"/>
      <c r="SF34" s="87">
        <f t="shared" si="60"/>
        <v>0</v>
      </c>
      <c r="SG34" s="114"/>
      <c r="SH34" s="89"/>
      <c r="SI34" s="82"/>
      <c r="SK34" s="90"/>
      <c r="SL34" s="87"/>
      <c r="SM34" s="87"/>
      <c r="SN34" s="87">
        <f t="shared" si="61"/>
        <v>0</v>
      </c>
      <c r="SO34" s="114"/>
      <c r="SP34" s="89"/>
      <c r="SQ34" s="82"/>
      <c r="SS34" s="90"/>
      <c r="ST34" s="87"/>
      <c r="SU34" s="87"/>
      <c r="SV34" s="87">
        <f t="shared" si="62"/>
        <v>0</v>
      </c>
      <c r="SW34" s="114"/>
      <c r="SX34" s="89"/>
      <c r="SY34" s="82"/>
      <c r="TA34" s="90"/>
      <c r="TB34" s="87"/>
      <c r="TC34" s="87"/>
      <c r="TD34" s="87">
        <f t="shared" si="63"/>
        <v>0</v>
      </c>
      <c r="TE34" s="114"/>
      <c r="TF34" s="89"/>
      <c r="TG34" s="82"/>
      <c r="TI34" s="84"/>
      <c r="TJ34" s="87"/>
      <c r="TK34" s="87"/>
      <c r="TL34" s="87">
        <f t="shared" si="64"/>
        <v>0</v>
      </c>
      <c r="TM34" s="114"/>
      <c r="TN34" s="89"/>
      <c r="TO34" s="82"/>
      <c r="TQ34" s="90"/>
      <c r="TR34" s="87"/>
      <c r="TS34" s="87"/>
      <c r="TT34" s="87">
        <f t="shared" si="65"/>
        <v>0</v>
      </c>
      <c r="TU34" s="114"/>
      <c r="TV34" s="91"/>
      <c r="TW34" s="82"/>
      <c r="TY34" s="90"/>
      <c r="TZ34" s="87"/>
      <c r="UA34" s="87"/>
      <c r="UB34" s="87">
        <f t="shared" si="66"/>
        <v>0</v>
      </c>
      <c r="UC34" s="114"/>
      <c r="UD34" s="89"/>
      <c r="UE34" s="82"/>
      <c r="UG34" s="90"/>
      <c r="UH34" s="87"/>
      <c r="UI34" s="87"/>
      <c r="UJ34" s="87">
        <f t="shared" si="67"/>
        <v>0</v>
      </c>
      <c r="UK34" s="114"/>
      <c r="UL34" s="89"/>
      <c r="UM34" s="82"/>
      <c r="UO34" s="90"/>
      <c r="UP34" s="87"/>
      <c r="UQ34" s="87"/>
      <c r="UR34" s="87">
        <f t="shared" si="68"/>
        <v>0</v>
      </c>
      <c r="US34" s="114"/>
      <c r="UT34" s="89"/>
      <c r="UU34" s="82"/>
      <c r="UW34" s="90"/>
      <c r="UX34" s="87"/>
      <c r="UY34" s="87"/>
      <c r="UZ34" s="87">
        <f t="shared" si="69"/>
        <v>0</v>
      </c>
      <c r="VA34" s="114"/>
      <c r="VB34" s="89"/>
      <c r="VC34" s="82"/>
      <c r="VE34" s="90"/>
      <c r="VF34" s="87"/>
      <c r="VG34" s="87"/>
      <c r="VH34" s="87">
        <f t="shared" si="70"/>
        <v>0</v>
      </c>
      <c r="VI34" s="114"/>
      <c r="VJ34" s="89"/>
      <c r="VK34" s="82"/>
      <c r="VM34" s="90"/>
      <c r="VN34" s="87"/>
      <c r="VO34" s="87"/>
      <c r="VP34" s="87">
        <f t="shared" si="71"/>
        <v>0</v>
      </c>
      <c r="VQ34" s="114"/>
      <c r="VR34" s="89"/>
      <c r="VS34" s="82"/>
      <c r="VU34" s="90"/>
      <c r="VV34" s="87"/>
      <c r="VW34" s="87"/>
      <c r="VX34" s="87">
        <f t="shared" si="72"/>
        <v>0</v>
      </c>
      <c r="VY34" s="114"/>
      <c r="VZ34" s="89"/>
      <c r="WA34" s="82"/>
      <c r="WC34" s="90"/>
      <c r="WD34" s="87"/>
      <c r="WE34" s="87"/>
      <c r="WF34" s="87">
        <f t="shared" si="73"/>
        <v>0</v>
      </c>
      <c r="WG34" s="114"/>
      <c r="WH34" s="89"/>
      <c r="WI34" s="82"/>
      <c r="WK34" s="90"/>
      <c r="WL34" s="87"/>
      <c r="WM34" s="87"/>
      <c r="WN34" s="87">
        <f t="shared" si="74"/>
        <v>0</v>
      </c>
      <c r="WO34" s="114"/>
      <c r="WP34" s="89"/>
      <c r="WQ34" s="82"/>
      <c r="WS34" s="90"/>
      <c r="WT34" s="87"/>
      <c r="WU34" s="87"/>
      <c r="WV34" s="87">
        <f t="shared" si="75"/>
        <v>0</v>
      </c>
      <c r="WW34" s="114"/>
      <c r="WX34" s="89"/>
      <c r="WY34" s="82"/>
      <c r="XA34" s="90"/>
      <c r="XB34" s="87"/>
      <c r="XC34" s="87"/>
      <c r="XD34" s="87">
        <f t="shared" si="76"/>
        <v>0</v>
      </c>
      <c r="XE34" s="114"/>
      <c r="XF34" s="89"/>
      <c r="XG34" s="82"/>
      <c r="XI34" s="90"/>
      <c r="XJ34" s="87"/>
      <c r="XK34" s="87"/>
      <c r="XL34" s="87">
        <f t="shared" si="77"/>
        <v>0</v>
      </c>
      <c r="XM34" s="114"/>
      <c r="XN34" s="89"/>
      <c r="XO34" s="82"/>
      <c r="XQ34" s="90"/>
      <c r="XR34" s="87"/>
      <c r="XS34" s="87"/>
      <c r="XT34" s="87">
        <f t="shared" si="78"/>
        <v>0</v>
      </c>
      <c r="XU34" s="114"/>
      <c r="XV34" s="89"/>
      <c r="XW34" s="82"/>
      <c r="XY34" s="90"/>
      <c r="XZ34" s="87"/>
      <c r="YA34" s="87"/>
      <c r="YB34" s="87">
        <f t="shared" si="79"/>
        <v>0</v>
      </c>
      <c r="YC34" s="114"/>
      <c r="YD34" s="89"/>
      <c r="YE34" s="82"/>
      <c r="YG34" s="90"/>
      <c r="YH34" s="87"/>
      <c r="YI34" s="87"/>
      <c r="YJ34" s="87">
        <f t="shared" si="80"/>
        <v>0</v>
      </c>
      <c r="YK34" s="114"/>
      <c r="YL34" s="89"/>
      <c r="YM34" s="82"/>
      <c r="YO34" s="90"/>
      <c r="YP34" s="87"/>
      <c r="YQ34" s="87"/>
      <c r="YR34" s="87">
        <f t="shared" si="81"/>
        <v>0</v>
      </c>
      <c r="YS34" s="114"/>
      <c r="YT34" s="89"/>
      <c r="YU34" s="82"/>
      <c r="YW34" s="90"/>
      <c r="YX34" s="87"/>
      <c r="YY34" s="87"/>
      <c r="YZ34" s="87">
        <f t="shared" si="82"/>
        <v>0</v>
      </c>
      <c r="ZA34" s="114"/>
      <c r="ZB34" s="89"/>
      <c r="ZC34" s="82"/>
      <c r="ZE34" s="90"/>
      <c r="ZF34" s="87"/>
      <c r="ZG34" s="87"/>
      <c r="ZH34" s="87">
        <f t="shared" si="83"/>
        <v>0</v>
      </c>
      <c r="ZI34" s="114"/>
      <c r="ZJ34" s="89"/>
      <c r="ZK34" s="82"/>
      <c r="ZM34" s="90"/>
      <c r="ZN34" s="87"/>
      <c r="ZO34" s="87"/>
      <c r="ZP34" s="87">
        <f t="shared" si="84"/>
        <v>0</v>
      </c>
      <c r="ZQ34" s="114"/>
      <c r="ZR34" s="89"/>
      <c r="ZS34" s="82"/>
      <c r="ZU34" s="90"/>
      <c r="ZV34" s="87"/>
      <c r="ZW34" s="87"/>
      <c r="ZX34" s="87">
        <f t="shared" si="85"/>
        <v>0</v>
      </c>
      <c r="ZY34" s="114"/>
      <c r="ZZ34" s="89"/>
      <c r="AAA34" s="82"/>
      <c r="AAC34" s="90"/>
      <c r="AAD34" s="87"/>
      <c r="AAE34" s="87"/>
      <c r="AAF34" s="87">
        <f t="shared" si="86"/>
        <v>0</v>
      </c>
      <c r="AAG34" s="114"/>
      <c r="AAH34" s="89"/>
      <c r="AAI34" s="82"/>
      <c r="AAK34" s="90"/>
      <c r="AAL34" s="87"/>
      <c r="AAM34" s="87"/>
      <c r="AAN34" s="87">
        <f t="shared" si="87"/>
        <v>0</v>
      </c>
      <c r="AAO34" s="114"/>
      <c r="AAP34" s="89"/>
      <c r="AAQ34" s="82"/>
      <c r="AAS34" s="90"/>
      <c r="AAT34" s="87"/>
      <c r="AAU34" s="87"/>
      <c r="AAV34" s="87">
        <f t="shared" si="88"/>
        <v>0</v>
      </c>
      <c r="AAW34" s="114"/>
      <c r="AAX34" s="89"/>
      <c r="AAY34" s="82"/>
      <c r="ABA34" s="90"/>
      <c r="ABB34" s="87"/>
      <c r="ABC34" s="87"/>
      <c r="ABD34" s="87">
        <f t="shared" si="89"/>
        <v>0</v>
      </c>
      <c r="ABE34" s="114"/>
      <c r="ABF34" s="89"/>
      <c r="ABG34" s="82"/>
      <c r="ABI34" s="90"/>
      <c r="ABJ34" s="87"/>
      <c r="ABK34" s="87"/>
      <c r="ABL34" s="87">
        <f t="shared" si="90"/>
        <v>0</v>
      </c>
      <c r="ABM34" s="114"/>
      <c r="ABN34" s="89"/>
      <c r="ABO34" s="82"/>
      <c r="ABQ34" s="90"/>
      <c r="ABR34" s="87"/>
      <c r="ABS34" s="87"/>
      <c r="ABT34" s="87">
        <f t="shared" si="91"/>
        <v>0</v>
      </c>
      <c r="ABU34" s="114"/>
      <c r="ABV34" s="89"/>
      <c r="ABW34" s="82"/>
      <c r="ABY34" s="90"/>
      <c r="ABZ34" s="87"/>
      <c r="ACA34" s="87"/>
      <c r="ACB34" s="87">
        <f t="shared" si="92"/>
        <v>0</v>
      </c>
      <c r="ACC34" s="114"/>
      <c r="ACD34" s="89"/>
      <c r="ACE34" s="82"/>
    </row>
    <row r="35" spans="1:759" ht="12" customHeight="1" x14ac:dyDescent="0.25">
      <c r="A35" s="84"/>
      <c r="B35" s="350"/>
      <c r="C35" s="222"/>
      <c r="D35" s="87">
        <f t="shared" si="2"/>
        <v>1700</v>
      </c>
      <c r="E35" s="114"/>
      <c r="F35" s="212"/>
      <c r="G35" s="382"/>
      <c r="H35" s="72"/>
      <c r="I35" s="84"/>
      <c r="J35" s="87"/>
      <c r="K35" s="87"/>
      <c r="L35" s="87">
        <f t="shared" si="0"/>
        <v>1000</v>
      </c>
      <c r="M35" s="114"/>
      <c r="N35" s="220"/>
      <c r="O35" s="82"/>
      <c r="P35" s="72"/>
      <c r="Q35" s="90"/>
      <c r="R35" s="87"/>
      <c r="S35" s="87"/>
      <c r="T35" s="87">
        <f t="shared" si="1"/>
        <v>4000</v>
      </c>
      <c r="U35" s="114"/>
      <c r="V35" s="89"/>
      <c r="W35" s="82"/>
      <c r="X35" s="72"/>
      <c r="Y35" s="99"/>
      <c r="Z35" s="222"/>
      <c r="AA35" s="222"/>
      <c r="AB35" s="87">
        <f t="shared" si="3"/>
        <v>1000</v>
      </c>
      <c r="AC35" s="114"/>
      <c r="AD35" s="89"/>
      <c r="AE35" s="82"/>
      <c r="AF35" s="72"/>
      <c r="AG35" s="10"/>
      <c r="AH35" s="222"/>
      <c r="AI35" s="222"/>
      <c r="AJ35" s="87">
        <f t="shared" si="4"/>
        <v>2000</v>
      </c>
      <c r="AK35" s="114"/>
      <c r="AL35" s="220"/>
      <c r="AM35" s="82"/>
      <c r="AN35" s="72"/>
      <c r="AO35" s="84"/>
      <c r="AP35" s="222"/>
      <c r="AQ35" s="222"/>
      <c r="AR35" s="87">
        <f t="shared" si="5"/>
        <v>1000</v>
      </c>
      <c r="AS35" s="114"/>
      <c r="AT35" s="220"/>
      <c r="AU35" s="82"/>
      <c r="AV35" s="72"/>
      <c r="AW35" s="90"/>
      <c r="AX35" s="87"/>
      <c r="AY35" s="87"/>
      <c r="AZ35" s="87">
        <f t="shared" si="6"/>
        <v>1150</v>
      </c>
      <c r="BA35" s="114"/>
      <c r="BB35" s="211"/>
      <c r="BC35" s="82"/>
      <c r="BD35" s="72"/>
      <c r="BE35" s="90"/>
      <c r="BF35" s="87"/>
      <c r="BG35" s="87"/>
      <c r="BH35" s="87">
        <f t="shared" si="7"/>
        <v>7000</v>
      </c>
      <c r="BI35" s="114"/>
      <c r="BJ35" s="220"/>
      <c r="BK35" s="82"/>
      <c r="BL35" s="72"/>
      <c r="BM35" s="84"/>
      <c r="BN35" s="222"/>
      <c r="BO35" s="222"/>
      <c r="BP35" s="87">
        <f t="shared" si="8"/>
        <v>1000</v>
      </c>
      <c r="BQ35" s="114"/>
      <c r="BR35" s="89"/>
      <c r="BS35" s="82"/>
      <c r="BT35" s="72"/>
      <c r="BU35" s="90"/>
      <c r="BV35" s="87"/>
      <c r="BW35" s="87"/>
      <c r="BX35" s="87">
        <f t="shared" si="9"/>
        <v>0</v>
      </c>
      <c r="BY35" s="114"/>
      <c r="BZ35" s="89"/>
      <c r="CA35" s="82"/>
      <c r="CB35" s="72"/>
      <c r="CC35" s="90"/>
      <c r="CD35" s="87"/>
      <c r="CE35" s="87"/>
      <c r="CF35" s="87">
        <f t="shared" si="10"/>
        <v>0</v>
      </c>
      <c r="CG35" s="114"/>
      <c r="CH35" s="89"/>
      <c r="CI35" s="82"/>
      <c r="CJ35" s="72"/>
      <c r="CK35" s="90"/>
      <c r="CL35" s="222"/>
      <c r="CM35" s="222"/>
      <c r="CN35" s="87">
        <f t="shared" si="11"/>
        <v>0</v>
      </c>
      <c r="CO35" s="114"/>
      <c r="CP35" s="220"/>
      <c r="CQ35" s="82"/>
      <c r="CR35" s="72"/>
      <c r="CS35" s="84"/>
      <c r="CT35" s="87"/>
      <c r="CU35" s="87"/>
      <c r="CV35" s="87">
        <f t="shared" si="12"/>
        <v>0</v>
      </c>
      <c r="CW35" s="114"/>
      <c r="CX35" s="220"/>
      <c r="CY35" s="82"/>
      <c r="CZ35" s="72"/>
      <c r="DA35" s="84"/>
      <c r="DB35" s="87"/>
      <c r="DC35" s="87"/>
      <c r="DD35" s="87">
        <f t="shared" si="13"/>
        <v>0</v>
      </c>
      <c r="DE35" s="114"/>
      <c r="DF35" s="220"/>
      <c r="DG35" s="82"/>
      <c r="DH35" s="72"/>
      <c r="DI35" s="84"/>
      <c r="DJ35" s="87"/>
      <c r="DK35" s="87"/>
      <c r="DL35" s="87">
        <f t="shared" si="14"/>
        <v>0</v>
      </c>
      <c r="DM35" s="114"/>
      <c r="DN35" s="91"/>
      <c r="DO35" s="82"/>
      <c r="DP35" s="72"/>
      <c r="DQ35" s="90"/>
      <c r="DR35" s="87"/>
      <c r="DS35" s="87"/>
      <c r="DT35" s="87">
        <f t="shared" si="15"/>
        <v>0</v>
      </c>
      <c r="DU35" s="114"/>
      <c r="DV35" s="220"/>
      <c r="DW35" s="82"/>
      <c r="DX35" s="72"/>
      <c r="DY35" s="90"/>
      <c r="DZ35" s="87"/>
      <c r="EA35" s="87"/>
      <c r="EB35" s="87">
        <f t="shared" si="16"/>
        <v>0</v>
      </c>
      <c r="EC35" s="114"/>
      <c r="ED35" s="89"/>
      <c r="EE35" s="82"/>
      <c r="EF35" s="72"/>
      <c r="EG35" s="90"/>
      <c r="EH35" s="87"/>
      <c r="EI35" s="87"/>
      <c r="EJ35" s="87">
        <f t="shared" si="17"/>
        <v>0</v>
      </c>
      <c r="EK35" s="114"/>
      <c r="EL35" s="89"/>
      <c r="EM35" s="82"/>
      <c r="EO35" s="90"/>
      <c r="EP35" s="87"/>
      <c r="EQ35" s="87"/>
      <c r="ER35" s="87">
        <f t="shared" si="18"/>
        <v>0</v>
      </c>
      <c r="ES35" s="114"/>
      <c r="ET35" s="89"/>
      <c r="EU35" s="82"/>
      <c r="EW35" s="90"/>
      <c r="EX35" s="222"/>
      <c r="EY35" s="222"/>
      <c r="EZ35" s="87">
        <f t="shared" si="19"/>
        <v>0</v>
      </c>
      <c r="FA35" s="114"/>
      <c r="FB35" s="89"/>
      <c r="FC35" s="82"/>
      <c r="FE35" s="90"/>
      <c r="FF35" s="87"/>
      <c r="FG35" s="87"/>
      <c r="FH35" s="87">
        <f t="shared" si="93"/>
        <v>0</v>
      </c>
      <c r="FI35" s="114"/>
      <c r="FJ35" s="89"/>
      <c r="FK35" s="82"/>
      <c r="FM35" s="90"/>
      <c r="FN35" s="87"/>
      <c r="FO35" s="87"/>
      <c r="FP35" s="87">
        <f t="shared" si="20"/>
        <v>0</v>
      </c>
      <c r="FQ35" s="114"/>
      <c r="FR35" s="89"/>
      <c r="FS35" s="82"/>
      <c r="FT35" s="72"/>
      <c r="FU35" s="90"/>
      <c r="FV35" s="87"/>
      <c r="FW35" s="87"/>
      <c r="FX35" s="87">
        <f t="shared" si="21"/>
        <v>0</v>
      </c>
      <c r="FY35" s="165"/>
      <c r="FZ35" s="220"/>
      <c r="GA35" s="82"/>
      <c r="GC35" s="90"/>
      <c r="GD35" s="87"/>
      <c r="GE35" s="87"/>
      <c r="GF35" s="87">
        <f t="shared" si="22"/>
        <v>0</v>
      </c>
      <c r="GG35" s="114"/>
      <c r="GH35" s="220"/>
      <c r="GI35" s="82"/>
      <c r="GK35" s="90"/>
      <c r="GL35" s="87"/>
      <c r="GM35" s="87"/>
      <c r="GN35" s="87">
        <f t="shared" si="23"/>
        <v>0</v>
      </c>
      <c r="GO35" s="114"/>
      <c r="GP35" s="89"/>
      <c r="GQ35" s="82"/>
      <c r="GS35" s="90"/>
      <c r="GT35" s="87"/>
      <c r="GU35" s="87"/>
      <c r="GV35" s="87">
        <f t="shared" si="24"/>
        <v>0</v>
      </c>
      <c r="GW35" s="114"/>
      <c r="GX35" s="89"/>
      <c r="GY35" s="82"/>
      <c r="HA35" s="90"/>
      <c r="HB35" s="87"/>
      <c r="HC35" s="87"/>
      <c r="HD35" s="87">
        <f t="shared" si="25"/>
        <v>0</v>
      </c>
      <c r="HE35" s="114"/>
      <c r="HF35" s="89"/>
      <c r="HG35" s="82"/>
      <c r="HI35" s="90"/>
      <c r="HJ35" s="87"/>
      <c r="HK35" s="87"/>
      <c r="HL35" s="87">
        <f t="shared" si="26"/>
        <v>0</v>
      </c>
      <c r="HM35" s="114"/>
      <c r="HN35" s="89"/>
      <c r="HO35" s="82"/>
      <c r="HQ35" s="90"/>
      <c r="HR35" s="87"/>
      <c r="HS35" s="87"/>
      <c r="HT35" s="87">
        <f t="shared" si="27"/>
        <v>0</v>
      </c>
      <c r="HU35" s="114"/>
      <c r="HV35" s="89"/>
      <c r="HW35" s="82"/>
      <c r="HY35" s="90"/>
      <c r="HZ35" s="87"/>
      <c r="IA35" s="87"/>
      <c r="IB35" s="87">
        <f t="shared" si="28"/>
        <v>0</v>
      </c>
      <c r="IC35" s="114"/>
      <c r="ID35" s="89"/>
      <c r="IE35" s="82"/>
      <c r="IG35" s="90"/>
      <c r="IH35" s="87"/>
      <c r="II35" s="87"/>
      <c r="IJ35" s="87">
        <f t="shared" si="29"/>
        <v>0</v>
      </c>
      <c r="IK35" s="114"/>
      <c r="IL35" s="89"/>
      <c r="IM35" s="82"/>
      <c r="IO35" s="90"/>
      <c r="IP35" s="87"/>
      <c r="IQ35" s="87"/>
      <c r="IR35" s="87">
        <f t="shared" si="30"/>
        <v>0</v>
      </c>
      <c r="IS35" s="114"/>
      <c r="IT35" s="89"/>
      <c r="IU35" s="82"/>
      <c r="IW35" s="90"/>
      <c r="IX35" s="87"/>
      <c r="IY35" s="87"/>
      <c r="IZ35" s="87">
        <f t="shared" si="31"/>
        <v>0</v>
      </c>
      <c r="JA35" s="114"/>
      <c r="JB35" s="89"/>
      <c r="JC35" s="82"/>
      <c r="JE35" s="90"/>
      <c r="JF35" s="87"/>
      <c r="JG35" s="87"/>
      <c r="JH35" s="87">
        <f t="shared" si="32"/>
        <v>0</v>
      </c>
      <c r="JI35" s="114"/>
      <c r="JJ35" s="89"/>
      <c r="JK35" s="82"/>
      <c r="JM35" s="90"/>
      <c r="JN35" s="87"/>
      <c r="JO35" s="87"/>
      <c r="JP35" s="87">
        <f t="shared" si="33"/>
        <v>0</v>
      </c>
      <c r="JQ35" s="114"/>
      <c r="JR35" s="91"/>
      <c r="JS35" s="82"/>
      <c r="JU35" s="90"/>
      <c r="JV35" s="87"/>
      <c r="JW35" s="87"/>
      <c r="JX35" s="87">
        <f t="shared" si="94"/>
        <v>0</v>
      </c>
      <c r="JY35" s="114"/>
      <c r="JZ35" s="89"/>
      <c r="KA35" s="82"/>
      <c r="KC35" s="90"/>
      <c r="KD35" s="87"/>
      <c r="KE35" s="87"/>
      <c r="KF35" s="87">
        <f t="shared" si="34"/>
        <v>0</v>
      </c>
      <c r="KG35" s="114"/>
      <c r="KH35" s="86"/>
      <c r="KI35" s="109"/>
      <c r="KK35" s="90"/>
      <c r="KL35" s="87"/>
      <c r="KM35" s="87"/>
      <c r="KN35" s="87">
        <f t="shared" si="35"/>
        <v>0</v>
      </c>
      <c r="KO35" s="114"/>
      <c r="KP35" s="89"/>
      <c r="KQ35" s="82"/>
      <c r="KS35" s="90"/>
      <c r="KT35" s="87"/>
      <c r="KU35" s="87"/>
      <c r="KV35" s="87">
        <f t="shared" si="36"/>
        <v>0</v>
      </c>
      <c r="KW35" s="114"/>
      <c r="KX35" s="89"/>
      <c r="KY35" s="82"/>
      <c r="LA35" s="90"/>
      <c r="LB35" s="87"/>
      <c r="LC35" s="87"/>
      <c r="LD35" s="87">
        <f t="shared" si="37"/>
        <v>0</v>
      </c>
      <c r="LE35" s="114"/>
      <c r="LF35" s="89"/>
      <c r="LG35" s="82"/>
      <c r="LI35" s="99"/>
      <c r="LJ35" s="87"/>
      <c r="LK35" s="87"/>
      <c r="LL35" s="87">
        <f t="shared" si="38"/>
        <v>0</v>
      </c>
      <c r="LM35" s="114"/>
      <c r="LN35" s="89"/>
      <c r="LO35" s="82"/>
      <c r="LQ35" s="90"/>
      <c r="LR35" s="87"/>
      <c r="LS35" s="87"/>
      <c r="LT35" s="87">
        <f t="shared" si="39"/>
        <v>0</v>
      </c>
      <c r="LU35" s="114"/>
      <c r="LV35" s="89"/>
      <c r="LW35" s="82"/>
      <c r="LY35" s="84"/>
      <c r="LZ35" s="87"/>
      <c r="MA35" s="87"/>
      <c r="MB35" s="87">
        <f t="shared" si="40"/>
        <v>0</v>
      </c>
      <c r="MC35" s="114"/>
      <c r="MD35" s="89"/>
      <c r="ME35" s="82"/>
      <c r="MG35" s="90"/>
      <c r="MH35" s="87"/>
      <c r="MI35" s="87"/>
      <c r="MJ35" s="87">
        <f t="shared" si="41"/>
        <v>0</v>
      </c>
      <c r="MK35" s="114"/>
      <c r="ML35" s="89"/>
      <c r="MM35" s="82"/>
      <c r="MO35" s="90"/>
      <c r="MP35" s="87"/>
      <c r="MQ35" s="87"/>
      <c r="MR35" s="87">
        <f t="shared" si="42"/>
        <v>0</v>
      </c>
      <c r="MS35" s="114"/>
      <c r="MT35" s="89"/>
      <c r="MU35" s="82"/>
      <c r="MW35" s="84"/>
      <c r="MX35" s="87"/>
      <c r="MY35" s="87"/>
      <c r="MZ35" s="87">
        <f t="shared" si="43"/>
        <v>0</v>
      </c>
      <c r="NA35" s="114"/>
      <c r="NB35" s="89"/>
      <c r="NC35" s="82"/>
      <c r="NE35" s="90"/>
      <c r="NF35" s="87"/>
      <c r="NG35" s="87"/>
      <c r="NH35" s="87">
        <f t="shared" si="44"/>
        <v>0</v>
      </c>
      <c r="NI35" s="114"/>
      <c r="NJ35" s="89"/>
      <c r="NK35" s="82"/>
      <c r="NM35" s="90"/>
      <c r="NN35" s="87"/>
      <c r="NO35" s="87"/>
      <c r="NP35" s="87">
        <f t="shared" si="45"/>
        <v>0</v>
      </c>
      <c r="NQ35" s="114"/>
      <c r="NR35" s="89"/>
      <c r="NS35" s="82"/>
      <c r="NU35" s="90"/>
      <c r="NV35" s="87"/>
      <c r="NW35" s="87"/>
      <c r="NX35" s="87">
        <f t="shared" si="46"/>
        <v>0</v>
      </c>
      <c r="NY35" s="114"/>
      <c r="NZ35" s="89"/>
      <c r="OA35" s="82"/>
      <c r="OC35" s="90"/>
      <c r="OD35" s="87"/>
      <c r="OE35" s="87"/>
      <c r="OF35" s="87">
        <f t="shared" si="47"/>
        <v>0</v>
      </c>
      <c r="OG35" s="114"/>
      <c r="OH35" s="89"/>
      <c r="OI35" s="82"/>
      <c r="OK35" s="90"/>
      <c r="OL35" s="87"/>
      <c r="OM35" s="87"/>
      <c r="ON35" s="87">
        <f t="shared" si="48"/>
        <v>0</v>
      </c>
      <c r="OO35" s="114"/>
      <c r="OP35" s="91"/>
      <c r="OQ35" s="82"/>
      <c r="OS35" s="90"/>
      <c r="OT35" s="87"/>
      <c r="OU35" s="87"/>
      <c r="OV35" s="87">
        <f t="shared" si="49"/>
        <v>0</v>
      </c>
      <c r="OW35" s="114"/>
      <c r="OX35" s="89"/>
      <c r="OY35" s="82"/>
      <c r="PA35" s="90"/>
      <c r="PB35" s="87"/>
      <c r="PC35" s="87"/>
      <c r="PD35" s="87">
        <f t="shared" si="50"/>
        <v>0</v>
      </c>
      <c r="PE35" s="114"/>
      <c r="PF35" s="89"/>
      <c r="PG35" s="82"/>
      <c r="PI35" s="90"/>
      <c r="PJ35" s="87"/>
      <c r="PK35" s="87"/>
      <c r="PL35" s="87">
        <f t="shared" si="51"/>
        <v>0</v>
      </c>
      <c r="PM35" s="114"/>
      <c r="PN35" s="211"/>
      <c r="PO35" s="216"/>
      <c r="PQ35" s="90"/>
      <c r="PR35" s="87"/>
      <c r="PS35" s="87"/>
      <c r="PT35" s="87">
        <f t="shared" si="52"/>
        <v>0</v>
      </c>
      <c r="PU35" s="114"/>
      <c r="PV35" s="89"/>
      <c r="PW35" s="82"/>
      <c r="PY35" s="84"/>
      <c r="PZ35" s="87"/>
      <c r="QA35" s="87"/>
      <c r="QB35" s="87">
        <f t="shared" si="53"/>
        <v>0</v>
      </c>
      <c r="QC35" s="114"/>
      <c r="QD35" s="89"/>
      <c r="QE35" s="82"/>
      <c r="QG35" s="90"/>
      <c r="QH35" s="87"/>
      <c r="QI35" s="87"/>
      <c r="QJ35" s="87">
        <f t="shared" si="54"/>
        <v>0</v>
      </c>
      <c r="QK35" s="114"/>
      <c r="QL35" s="89"/>
      <c r="QM35" s="82"/>
      <c r="QO35" s="90"/>
      <c r="QP35" s="87"/>
      <c r="QQ35" s="87"/>
      <c r="QR35" s="87">
        <f t="shared" si="55"/>
        <v>0</v>
      </c>
      <c r="QS35" s="114"/>
      <c r="QT35" s="211"/>
      <c r="QU35" s="216"/>
      <c r="QW35" s="90"/>
      <c r="QX35" s="87"/>
      <c r="QY35" s="87"/>
      <c r="QZ35" s="87">
        <f t="shared" si="56"/>
        <v>0</v>
      </c>
      <c r="RA35" s="114"/>
      <c r="RB35" s="89"/>
      <c r="RC35" s="82"/>
      <c r="RE35" s="90"/>
      <c r="RF35" s="87"/>
      <c r="RG35" s="87"/>
      <c r="RH35" s="87">
        <f t="shared" si="57"/>
        <v>0</v>
      </c>
      <c r="RI35" s="114"/>
      <c r="RJ35" s="89"/>
      <c r="RK35" s="170"/>
      <c r="RM35" s="90"/>
      <c r="RN35" s="87"/>
      <c r="RO35" s="87"/>
      <c r="RP35" s="87">
        <f t="shared" si="58"/>
        <v>0</v>
      </c>
      <c r="RQ35" s="114"/>
      <c r="RR35" s="89"/>
      <c r="RS35" s="82"/>
      <c r="RU35" s="90"/>
      <c r="RV35" s="87"/>
      <c r="RW35" s="87"/>
      <c r="RX35" s="87">
        <f t="shared" si="59"/>
        <v>0</v>
      </c>
      <c r="RY35" s="114"/>
      <c r="RZ35" s="89"/>
      <c r="SA35" s="82"/>
      <c r="SC35" s="90"/>
      <c r="SD35" s="87"/>
      <c r="SE35" s="87"/>
      <c r="SF35" s="87">
        <f t="shared" si="60"/>
        <v>0</v>
      </c>
      <c r="SG35" s="114"/>
      <c r="SH35" s="89"/>
      <c r="SI35" s="82"/>
      <c r="SK35" s="90"/>
      <c r="SL35" s="87"/>
      <c r="SM35" s="87"/>
      <c r="SN35" s="87">
        <f t="shared" si="61"/>
        <v>0</v>
      </c>
      <c r="SO35" s="114"/>
      <c r="SP35" s="89"/>
      <c r="SQ35" s="82"/>
      <c r="SS35" s="90"/>
      <c r="ST35" s="87"/>
      <c r="SU35" s="87"/>
      <c r="SV35" s="87">
        <f t="shared" si="62"/>
        <v>0</v>
      </c>
      <c r="SW35" s="114"/>
      <c r="SX35" s="89"/>
      <c r="SY35" s="82"/>
      <c r="TA35" s="90"/>
      <c r="TB35" s="87"/>
      <c r="TC35" s="87"/>
      <c r="TD35" s="87">
        <f t="shared" si="63"/>
        <v>0</v>
      </c>
      <c r="TE35" s="114"/>
      <c r="TF35" s="89"/>
      <c r="TG35" s="82"/>
      <c r="TI35" s="84"/>
      <c r="TJ35" s="87"/>
      <c r="TK35" s="87"/>
      <c r="TL35" s="87">
        <f t="shared" si="64"/>
        <v>0</v>
      </c>
      <c r="TM35" s="114"/>
      <c r="TN35" s="160"/>
      <c r="TO35" s="82"/>
      <c r="TQ35" s="90"/>
      <c r="TR35" s="87"/>
      <c r="TS35" s="87"/>
      <c r="TT35" s="87">
        <f t="shared" si="65"/>
        <v>0</v>
      </c>
      <c r="TU35" s="114"/>
      <c r="TV35" s="91"/>
      <c r="TW35" s="82"/>
      <c r="TY35" s="90"/>
      <c r="TZ35" s="87"/>
      <c r="UA35" s="87"/>
      <c r="UB35" s="87">
        <f t="shared" si="66"/>
        <v>0</v>
      </c>
      <c r="UC35" s="114"/>
      <c r="UD35" s="89"/>
      <c r="UE35" s="82"/>
      <c r="UG35" s="90"/>
      <c r="UH35" s="87"/>
      <c r="UI35" s="87"/>
      <c r="UJ35" s="87">
        <f t="shared" si="67"/>
        <v>0</v>
      </c>
      <c r="UK35" s="114"/>
      <c r="UL35" s="89"/>
      <c r="UM35" s="82"/>
      <c r="UO35" s="90"/>
      <c r="UP35" s="87"/>
      <c r="UQ35" s="87"/>
      <c r="UR35" s="87">
        <f t="shared" si="68"/>
        <v>0</v>
      </c>
      <c r="US35" s="114"/>
      <c r="UT35" s="89"/>
      <c r="UU35" s="82"/>
      <c r="UW35" s="90"/>
      <c r="UX35" s="87"/>
      <c r="UY35" s="87"/>
      <c r="UZ35" s="87">
        <f t="shared" si="69"/>
        <v>0</v>
      </c>
      <c r="VA35" s="114"/>
      <c r="VB35" s="89"/>
      <c r="VC35" s="82"/>
      <c r="VE35" s="90"/>
      <c r="VF35" s="87"/>
      <c r="VG35" s="87"/>
      <c r="VH35" s="87">
        <f t="shared" si="70"/>
        <v>0</v>
      </c>
      <c r="VI35" s="114"/>
      <c r="VJ35" s="89"/>
      <c r="VK35" s="82"/>
      <c r="VM35" s="90"/>
      <c r="VN35" s="87"/>
      <c r="VO35" s="87"/>
      <c r="VP35" s="87">
        <f t="shared" si="71"/>
        <v>0</v>
      </c>
      <c r="VQ35" s="114"/>
      <c r="VR35" s="89"/>
      <c r="VS35" s="82"/>
      <c r="VU35" s="90"/>
      <c r="VV35" s="87"/>
      <c r="VW35" s="87"/>
      <c r="VX35" s="87">
        <f t="shared" si="72"/>
        <v>0</v>
      </c>
      <c r="VY35" s="114"/>
      <c r="VZ35" s="89"/>
      <c r="WA35" s="82"/>
      <c r="WC35" s="90"/>
      <c r="WD35" s="87"/>
      <c r="WE35" s="87"/>
      <c r="WF35" s="87">
        <f t="shared" si="73"/>
        <v>0</v>
      </c>
      <c r="WG35" s="114"/>
      <c r="WH35" s="89"/>
      <c r="WI35" s="82"/>
      <c r="WK35" s="90"/>
      <c r="WL35" s="87"/>
      <c r="WM35" s="87"/>
      <c r="WN35" s="87">
        <f t="shared" si="74"/>
        <v>0</v>
      </c>
      <c r="WO35" s="114"/>
      <c r="WP35" s="89"/>
      <c r="WQ35" s="82"/>
      <c r="WS35" s="90"/>
      <c r="WT35" s="87"/>
      <c r="WU35" s="87"/>
      <c r="WV35" s="87">
        <f t="shared" si="75"/>
        <v>0</v>
      </c>
      <c r="WW35" s="114"/>
      <c r="WX35" s="89"/>
      <c r="WY35" s="82"/>
      <c r="XA35" s="90"/>
      <c r="XB35" s="87"/>
      <c r="XC35" s="87"/>
      <c r="XD35" s="87">
        <f t="shared" si="76"/>
        <v>0</v>
      </c>
      <c r="XE35" s="114"/>
      <c r="XF35" s="89"/>
      <c r="XG35" s="82"/>
      <c r="XI35" s="90"/>
      <c r="XJ35" s="87"/>
      <c r="XK35" s="87"/>
      <c r="XL35" s="87">
        <f t="shared" si="77"/>
        <v>0</v>
      </c>
      <c r="XM35" s="114"/>
      <c r="XN35" s="89"/>
      <c r="XO35" s="82"/>
      <c r="XQ35" s="90"/>
      <c r="XR35" s="87"/>
      <c r="XS35" s="87"/>
      <c r="XT35" s="87">
        <f t="shared" si="78"/>
        <v>0</v>
      </c>
      <c r="XU35" s="114"/>
      <c r="XV35" s="89"/>
      <c r="XW35" s="82"/>
      <c r="XY35" s="90"/>
      <c r="XZ35" s="87"/>
      <c r="YA35" s="87"/>
      <c r="YB35" s="87">
        <f t="shared" si="79"/>
        <v>0</v>
      </c>
      <c r="YC35" s="114"/>
      <c r="YD35" s="89"/>
      <c r="YE35" s="82"/>
      <c r="YG35" s="90"/>
      <c r="YH35" s="87"/>
      <c r="YI35" s="87"/>
      <c r="YJ35" s="87">
        <f t="shared" si="80"/>
        <v>0</v>
      </c>
      <c r="YK35" s="114"/>
      <c r="YL35" s="89"/>
      <c r="YM35" s="82"/>
      <c r="YO35" s="90"/>
      <c r="YP35" s="87"/>
      <c r="YQ35" s="87"/>
      <c r="YR35" s="87">
        <f t="shared" si="81"/>
        <v>0</v>
      </c>
      <c r="YS35" s="114"/>
      <c r="YT35" s="89"/>
      <c r="YU35" s="82"/>
      <c r="YW35" s="90"/>
      <c r="YX35" s="87"/>
      <c r="YY35" s="87"/>
      <c r="YZ35" s="87">
        <f t="shared" si="82"/>
        <v>0</v>
      </c>
      <c r="ZA35" s="114"/>
      <c r="ZB35" s="89"/>
      <c r="ZC35" s="82"/>
      <c r="ZE35" s="90"/>
      <c r="ZF35" s="87"/>
      <c r="ZG35" s="87"/>
      <c r="ZH35" s="87">
        <f t="shared" si="83"/>
        <v>0</v>
      </c>
      <c r="ZI35" s="114"/>
      <c r="ZJ35" s="89"/>
      <c r="ZK35" s="82"/>
      <c r="ZM35" s="90"/>
      <c r="ZN35" s="87"/>
      <c r="ZO35" s="87"/>
      <c r="ZP35" s="87">
        <f t="shared" si="84"/>
        <v>0</v>
      </c>
      <c r="ZQ35" s="114"/>
      <c r="ZR35" s="89"/>
      <c r="ZS35" s="82"/>
      <c r="ZU35" s="90"/>
      <c r="ZV35" s="87"/>
      <c r="ZW35" s="87"/>
      <c r="ZX35" s="87">
        <f t="shared" si="85"/>
        <v>0</v>
      </c>
      <c r="ZY35" s="114"/>
      <c r="ZZ35" s="89"/>
      <c r="AAA35" s="82"/>
      <c r="AAC35" s="90"/>
      <c r="AAD35" s="87"/>
      <c r="AAE35" s="87"/>
      <c r="AAF35" s="87">
        <f t="shared" si="86"/>
        <v>0</v>
      </c>
      <c r="AAG35" s="114"/>
      <c r="AAH35" s="89"/>
      <c r="AAI35" s="82"/>
      <c r="AAK35" s="90"/>
      <c r="AAL35" s="87"/>
      <c r="AAM35" s="87"/>
      <c r="AAN35" s="87">
        <f t="shared" si="87"/>
        <v>0</v>
      </c>
      <c r="AAO35" s="114"/>
      <c r="AAP35" s="89"/>
      <c r="AAQ35" s="82"/>
      <c r="AAS35" s="90"/>
      <c r="AAT35" s="87"/>
      <c r="AAU35" s="87"/>
      <c r="AAV35" s="87">
        <f t="shared" si="88"/>
        <v>0</v>
      </c>
      <c r="AAW35" s="114"/>
      <c r="AAX35" s="89"/>
      <c r="AAY35" s="82"/>
      <c r="ABA35" s="90"/>
      <c r="ABB35" s="87"/>
      <c r="ABC35" s="87"/>
      <c r="ABD35" s="87">
        <f t="shared" si="89"/>
        <v>0</v>
      </c>
      <c r="ABE35" s="114"/>
      <c r="ABF35" s="89"/>
      <c r="ABG35" s="82"/>
      <c r="ABI35" s="90"/>
      <c r="ABJ35" s="87"/>
      <c r="ABK35" s="87"/>
      <c r="ABL35" s="87">
        <f t="shared" si="90"/>
        <v>0</v>
      </c>
      <c r="ABM35" s="114"/>
      <c r="ABN35" s="89"/>
      <c r="ABO35" s="82"/>
      <c r="ABQ35" s="90"/>
      <c r="ABR35" s="87"/>
      <c r="ABS35" s="87"/>
      <c r="ABT35" s="87">
        <f t="shared" si="91"/>
        <v>0</v>
      </c>
      <c r="ABU35" s="114"/>
      <c r="ABV35" s="89"/>
      <c r="ABW35" s="82"/>
      <c r="ABY35" s="90"/>
      <c r="ABZ35" s="87"/>
      <c r="ACA35" s="87"/>
      <c r="ACB35" s="87">
        <f t="shared" si="92"/>
        <v>0</v>
      </c>
      <c r="ACC35" s="114"/>
      <c r="ACD35" s="89"/>
      <c r="ACE35" s="82"/>
    </row>
    <row r="36" spans="1:759" ht="12" customHeight="1" x14ac:dyDescent="0.25">
      <c r="A36" s="84"/>
      <c r="B36" s="350"/>
      <c r="C36" s="222"/>
      <c r="D36" s="87">
        <f t="shared" si="2"/>
        <v>1700</v>
      </c>
      <c r="E36" s="114"/>
      <c r="F36" s="212"/>
      <c r="G36" s="382"/>
      <c r="H36" s="72"/>
      <c r="I36" s="84"/>
      <c r="J36" s="87"/>
      <c r="K36" s="87"/>
      <c r="L36" s="87">
        <f t="shared" si="0"/>
        <v>1000</v>
      </c>
      <c r="M36" s="114"/>
      <c r="N36" s="220"/>
      <c r="O36" s="82"/>
      <c r="P36" s="72"/>
      <c r="Q36" s="90"/>
      <c r="R36" s="87"/>
      <c r="S36" s="87"/>
      <c r="T36" s="87">
        <f t="shared" si="1"/>
        <v>4000</v>
      </c>
      <c r="U36" s="114"/>
      <c r="V36" s="89"/>
      <c r="W36" s="82"/>
      <c r="X36" s="72"/>
      <c r="Y36" s="193"/>
      <c r="Z36" s="222"/>
      <c r="AA36" s="222"/>
      <c r="AB36" s="87">
        <f t="shared" si="3"/>
        <v>1000</v>
      </c>
      <c r="AC36" s="114"/>
      <c r="AD36" s="89"/>
      <c r="AE36" s="82"/>
      <c r="AF36" s="72"/>
      <c r="AG36" s="84"/>
      <c r="AH36" s="222"/>
      <c r="AI36" s="222"/>
      <c r="AJ36" s="87">
        <f t="shared" si="4"/>
        <v>2000</v>
      </c>
      <c r="AK36" s="114"/>
      <c r="AL36" s="220"/>
      <c r="AM36" s="82"/>
      <c r="AN36" s="72"/>
      <c r="AO36" s="84"/>
      <c r="AP36" s="222"/>
      <c r="AQ36" s="222"/>
      <c r="AR36" s="87">
        <f t="shared" si="5"/>
        <v>1000</v>
      </c>
      <c r="AS36" s="114"/>
      <c r="AT36" s="220"/>
      <c r="AU36" s="82"/>
      <c r="AV36" s="72"/>
      <c r="AW36" s="90"/>
      <c r="AX36" s="87"/>
      <c r="AY36" s="87"/>
      <c r="AZ36" s="87">
        <f t="shared" si="6"/>
        <v>1150</v>
      </c>
      <c r="BA36" s="114"/>
      <c r="BB36" s="211"/>
      <c r="BC36" s="82"/>
      <c r="BD36" s="72"/>
      <c r="BE36" s="90"/>
      <c r="BF36" s="87"/>
      <c r="BG36" s="87"/>
      <c r="BH36" s="87">
        <f t="shared" si="7"/>
        <v>7000</v>
      </c>
      <c r="BI36" s="114"/>
      <c r="BJ36" s="220"/>
      <c r="BK36" s="82"/>
      <c r="BL36" s="72"/>
      <c r="BM36" s="84"/>
      <c r="BN36" s="222"/>
      <c r="BO36" s="222"/>
      <c r="BP36" s="87">
        <f t="shared" si="8"/>
        <v>1000</v>
      </c>
      <c r="BQ36" s="114"/>
      <c r="BR36" s="89"/>
      <c r="BS36" s="82"/>
      <c r="BT36" s="72"/>
      <c r="BU36" s="90"/>
      <c r="BV36" s="87"/>
      <c r="BW36" s="87"/>
      <c r="BX36" s="87">
        <f t="shared" si="9"/>
        <v>0</v>
      </c>
      <c r="BY36" s="114"/>
      <c r="BZ36" s="89"/>
      <c r="CA36" s="82"/>
      <c r="CB36" s="72"/>
      <c r="CC36" s="90"/>
      <c r="CD36" s="87"/>
      <c r="CE36" s="87"/>
      <c r="CF36" s="87">
        <f t="shared" si="10"/>
        <v>0</v>
      </c>
      <c r="CG36" s="114"/>
      <c r="CH36" s="89"/>
      <c r="CI36" s="82"/>
      <c r="CJ36" s="72"/>
      <c r="CK36" s="90"/>
      <c r="CL36" s="222"/>
      <c r="CM36" s="222"/>
      <c r="CN36" s="87">
        <f t="shared" si="11"/>
        <v>0</v>
      </c>
      <c r="CO36" s="114"/>
      <c r="CP36" s="220"/>
      <c r="CQ36" s="82"/>
      <c r="CR36" s="72"/>
      <c r="CS36" s="90"/>
      <c r="CT36" s="87"/>
      <c r="CU36" s="87"/>
      <c r="CV36" s="87">
        <f t="shared" si="12"/>
        <v>0</v>
      </c>
      <c r="CW36" s="114"/>
      <c r="CX36" s="220"/>
      <c r="CY36" s="82"/>
      <c r="CZ36" s="72"/>
      <c r="DA36" s="84"/>
      <c r="DB36" s="87"/>
      <c r="DC36" s="87"/>
      <c r="DD36" s="87">
        <f t="shared" si="13"/>
        <v>0</v>
      </c>
      <c r="DE36" s="114"/>
      <c r="DF36" s="89"/>
      <c r="DG36" s="82"/>
      <c r="DH36" s="72"/>
      <c r="DI36" s="90"/>
      <c r="DJ36" s="87"/>
      <c r="DK36" s="87"/>
      <c r="DL36" s="87">
        <f t="shared" si="14"/>
        <v>0</v>
      </c>
      <c r="DM36" s="114"/>
      <c r="DN36" s="91"/>
      <c r="DO36" s="82"/>
      <c r="DP36" s="72"/>
      <c r="DQ36" s="90"/>
      <c r="DR36" s="87"/>
      <c r="DS36" s="87"/>
      <c r="DT36" s="87">
        <f t="shared" si="15"/>
        <v>0</v>
      </c>
      <c r="DU36" s="114"/>
      <c r="DV36" s="220"/>
      <c r="DW36" s="82"/>
      <c r="DX36" s="72"/>
      <c r="DY36" s="90"/>
      <c r="DZ36" s="87"/>
      <c r="EA36" s="87"/>
      <c r="EB36" s="87">
        <f t="shared" si="16"/>
        <v>0</v>
      </c>
      <c r="EC36" s="114"/>
      <c r="ED36" s="89"/>
      <c r="EE36" s="82"/>
      <c r="EF36" s="72"/>
      <c r="EG36" s="90"/>
      <c r="EH36" s="87"/>
      <c r="EI36" s="87"/>
      <c r="EJ36" s="87">
        <f t="shared" si="17"/>
        <v>0</v>
      </c>
      <c r="EK36" s="114"/>
      <c r="EL36" s="89"/>
      <c r="EM36" s="82"/>
      <c r="EO36" s="90"/>
      <c r="EP36" s="87"/>
      <c r="EQ36" s="87"/>
      <c r="ER36" s="87">
        <f t="shared" si="18"/>
        <v>0</v>
      </c>
      <c r="ES36" s="114"/>
      <c r="ET36" s="89"/>
      <c r="EU36" s="82"/>
      <c r="EW36" s="90"/>
      <c r="EX36" s="87"/>
      <c r="EY36" s="87"/>
      <c r="EZ36" s="87">
        <f t="shared" si="19"/>
        <v>0</v>
      </c>
      <c r="FA36" s="114"/>
      <c r="FB36" s="89"/>
      <c r="FC36" s="82"/>
      <c r="FE36" s="90"/>
      <c r="FF36" s="87"/>
      <c r="FG36" s="87"/>
      <c r="FH36" s="87">
        <f t="shared" si="93"/>
        <v>0</v>
      </c>
      <c r="FI36" s="114"/>
      <c r="FJ36" s="89"/>
      <c r="FK36" s="82"/>
      <c r="FM36" s="90"/>
      <c r="FN36" s="87"/>
      <c r="FO36" s="87"/>
      <c r="FP36" s="87">
        <f t="shared" si="20"/>
        <v>0</v>
      </c>
      <c r="FQ36" s="114"/>
      <c r="FR36" s="89"/>
      <c r="FS36" s="82"/>
      <c r="FT36" s="72"/>
      <c r="FU36" s="90"/>
      <c r="FV36" s="87"/>
      <c r="FW36" s="87"/>
      <c r="FX36" s="87">
        <f t="shared" si="21"/>
        <v>0</v>
      </c>
      <c r="FY36" s="165"/>
      <c r="FZ36" s="220"/>
      <c r="GA36" s="82"/>
      <c r="GC36" s="90"/>
      <c r="GD36" s="87"/>
      <c r="GE36" s="87"/>
      <c r="GF36" s="87">
        <f t="shared" si="22"/>
        <v>0</v>
      </c>
      <c r="GG36" s="114"/>
      <c r="GH36" s="89"/>
      <c r="GI36" s="82"/>
      <c r="GK36" s="90"/>
      <c r="GL36" s="87"/>
      <c r="GM36" s="87"/>
      <c r="GN36" s="87">
        <f t="shared" si="23"/>
        <v>0</v>
      </c>
      <c r="GO36" s="114"/>
      <c r="GP36" s="89"/>
      <c r="GQ36" s="82"/>
      <c r="GS36" s="90"/>
      <c r="GT36" s="87"/>
      <c r="GU36" s="87"/>
      <c r="GV36" s="87">
        <f t="shared" si="24"/>
        <v>0</v>
      </c>
      <c r="GW36" s="114"/>
      <c r="GX36" s="89"/>
      <c r="GY36" s="82"/>
      <c r="HA36" s="90"/>
      <c r="HB36" s="87"/>
      <c r="HC36" s="87"/>
      <c r="HD36" s="87">
        <f t="shared" si="25"/>
        <v>0</v>
      </c>
      <c r="HE36" s="114"/>
      <c r="HF36" s="89"/>
      <c r="HG36" s="82"/>
      <c r="HI36" s="90"/>
      <c r="HJ36" s="87"/>
      <c r="HK36" s="87"/>
      <c r="HL36" s="87">
        <f t="shared" si="26"/>
        <v>0</v>
      </c>
      <c r="HM36" s="114"/>
      <c r="HN36" s="89"/>
      <c r="HO36" s="82"/>
      <c r="HQ36" s="90"/>
      <c r="HR36" s="87"/>
      <c r="HS36" s="87"/>
      <c r="HT36" s="87">
        <f t="shared" si="27"/>
        <v>0</v>
      </c>
      <c r="HU36" s="114"/>
      <c r="HV36" s="89"/>
      <c r="HW36" s="82"/>
      <c r="HY36" s="90"/>
      <c r="HZ36" s="87"/>
      <c r="IA36" s="87"/>
      <c r="IB36" s="87">
        <f t="shared" si="28"/>
        <v>0</v>
      </c>
      <c r="IC36" s="114"/>
      <c r="ID36" s="89"/>
      <c r="IE36" s="82"/>
      <c r="IG36" s="90"/>
      <c r="IH36" s="87"/>
      <c r="II36" s="87"/>
      <c r="IJ36" s="87">
        <f t="shared" si="29"/>
        <v>0</v>
      </c>
      <c r="IK36" s="114"/>
      <c r="IL36" s="89"/>
      <c r="IM36" s="82"/>
      <c r="IO36" s="90"/>
      <c r="IP36" s="87"/>
      <c r="IQ36" s="87"/>
      <c r="IR36" s="87">
        <f t="shared" si="30"/>
        <v>0</v>
      </c>
      <c r="IS36" s="114"/>
      <c r="IT36" s="89"/>
      <c r="IU36" s="82"/>
      <c r="IW36" s="90"/>
      <c r="IX36" s="87"/>
      <c r="IY36" s="87"/>
      <c r="IZ36" s="87">
        <f t="shared" si="31"/>
        <v>0</v>
      </c>
      <c r="JA36" s="114"/>
      <c r="JB36" s="89"/>
      <c r="JC36" s="82"/>
      <c r="JE36" s="90"/>
      <c r="JF36" s="87"/>
      <c r="JG36" s="87"/>
      <c r="JH36" s="87">
        <f t="shared" si="32"/>
        <v>0</v>
      </c>
      <c r="JI36" s="114"/>
      <c r="JJ36" s="89"/>
      <c r="JK36" s="82"/>
      <c r="JM36" s="90"/>
      <c r="JN36" s="87"/>
      <c r="JO36" s="87"/>
      <c r="JP36" s="87">
        <f t="shared" si="33"/>
        <v>0</v>
      </c>
      <c r="JQ36" s="114"/>
      <c r="JR36" s="91"/>
      <c r="JS36" s="82"/>
      <c r="JU36" s="90"/>
      <c r="JV36" s="87"/>
      <c r="JW36" s="87"/>
      <c r="JX36" s="87">
        <f t="shared" si="94"/>
        <v>0</v>
      </c>
      <c r="JY36" s="114"/>
      <c r="JZ36" s="89"/>
      <c r="KA36" s="82"/>
      <c r="KC36" s="90"/>
      <c r="KD36" s="87"/>
      <c r="KE36" s="87"/>
      <c r="KF36" s="87">
        <f t="shared" si="34"/>
        <v>0</v>
      </c>
      <c r="KG36" s="114"/>
      <c r="KH36" s="86"/>
      <c r="KI36" s="109"/>
      <c r="KK36" s="90"/>
      <c r="KL36" s="87"/>
      <c r="KM36" s="87"/>
      <c r="KN36" s="87">
        <f t="shared" si="35"/>
        <v>0</v>
      </c>
      <c r="KO36" s="114"/>
      <c r="KP36" s="89"/>
      <c r="KQ36" s="82"/>
      <c r="KS36" s="90"/>
      <c r="KT36" s="87"/>
      <c r="KU36" s="87"/>
      <c r="KV36" s="87">
        <f t="shared" si="36"/>
        <v>0</v>
      </c>
      <c r="KW36" s="114"/>
      <c r="KX36" s="89"/>
      <c r="KY36" s="82"/>
      <c r="LA36" s="90"/>
      <c r="LB36" s="87"/>
      <c r="LC36" s="87"/>
      <c r="LD36" s="87">
        <f t="shared" si="37"/>
        <v>0</v>
      </c>
      <c r="LE36" s="114"/>
      <c r="LF36" s="89"/>
      <c r="LG36" s="82"/>
      <c r="LI36" s="193"/>
      <c r="LJ36" s="87"/>
      <c r="LK36" s="87"/>
      <c r="LL36" s="87">
        <f t="shared" si="38"/>
        <v>0</v>
      </c>
      <c r="LM36" s="114"/>
      <c r="LN36" s="89"/>
      <c r="LO36" s="82"/>
      <c r="LQ36" s="90"/>
      <c r="LR36" s="87"/>
      <c r="LS36" s="87"/>
      <c r="LT36" s="87">
        <f t="shared" si="39"/>
        <v>0</v>
      </c>
      <c r="LU36" s="114"/>
      <c r="LV36" s="89"/>
      <c r="LW36" s="82"/>
      <c r="LY36" s="84"/>
      <c r="LZ36" s="87"/>
      <c r="MA36" s="87"/>
      <c r="MB36" s="87">
        <f t="shared" si="40"/>
        <v>0</v>
      </c>
      <c r="MC36" s="114"/>
      <c r="MD36" s="89"/>
      <c r="ME36" s="82"/>
      <c r="MG36" s="90"/>
      <c r="MH36" s="87"/>
      <c r="MI36" s="87"/>
      <c r="MJ36" s="87">
        <f t="shared" si="41"/>
        <v>0</v>
      </c>
      <c r="MK36" s="114"/>
      <c r="ML36" s="89"/>
      <c r="MM36" s="82"/>
      <c r="MO36" s="90"/>
      <c r="MP36" s="87"/>
      <c r="MQ36" s="87"/>
      <c r="MR36" s="87">
        <f t="shared" si="42"/>
        <v>0</v>
      </c>
      <c r="MS36" s="114"/>
      <c r="MT36" s="89"/>
      <c r="MU36" s="82"/>
      <c r="MW36" s="84"/>
      <c r="MX36" s="87"/>
      <c r="MY36" s="87"/>
      <c r="MZ36" s="87">
        <f t="shared" si="43"/>
        <v>0</v>
      </c>
      <c r="NA36" s="114"/>
      <c r="NB36" s="89"/>
      <c r="NC36" s="82"/>
      <c r="NE36" s="90"/>
      <c r="NF36" s="87"/>
      <c r="NG36" s="87"/>
      <c r="NH36" s="87">
        <f t="shared" si="44"/>
        <v>0</v>
      </c>
      <c r="NI36" s="114"/>
      <c r="NJ36" s="89"/>
      <c r="NK36" s="82"/>
      <c r="NM36" s="90"/>
      <c r="NN36" s="87"/>
      <c r="NO36" s="87"/>
      <c r="NP36" s="87">
        <f t="shared" si="45"/>
        <v>0</v>
      </c>
      <c r="NQ36" s="114"/>
      <c r="NR36" s="89"/>
      <c r="NS36" s="82"/>
      <c r="NU36" s="90"/>
      <c r="NV36" s="87"/>
      <c r="NW36" s="87"/>
      <c r="NX36" s="87">
        <f t="shared" si="46"/>
        <v>0</v>
      </c>
      <c r="NY36" s="114"/>
      <c r="NZ36" s="89"/>
      <c r="OA36" s="82"/>
      <c r="OC36" s="90"/>
      <c r="OD36" s="87"/>
      <c r="OE36" s="87"/>
      <c r="OF36" s="87">
        <f t="shared" si="47"/>
        <v>0</v>
      </c>
      <c r="OG36" s="114"/>
      <c r="OH36" s="89"/>
      <c r="OI36" s="82"/>
      <c r="OK36" s="90"/>
      <c r="OL36" s="87"/>
      <c r="OM36" s="87"/>
      <c r="ON36" s="87">
        <f t="shared" si="48"/>
        <v>0</v>
      </c>
      <c r="OO36" s="114"/>
      <c r="OP36" s="91"/>
      <c r="OQ36" s="82"/>
      <c r="OS36" s="90"/>
      <c r="OT36" s="87"/>
      <c r="OU36" s="87"/>
      <c r="OV36" s="87">
        <f t="shared" si="49"/>
        <v>0</v>
      </c>
      <c r="OW36" s="114"/>
      <c r="OX36" s="89"/>
      <c r="OY36" s="82"/>
      <c r="PA36" s="90"/>
      <c r="PB36" s="87"/>
      <c r="PC36" s="87"/>
      <c r="PD36" s="87">
        <f t="shared" si="50"/>
        <v>0</v>
      </c>
      <c r="PE36" s="114"/>
      <c r="PF36" s="89"/>
      <c r="PG36" s="82"/>
      <c r="PI36" s="90"/>
      <c r="PJ36" s="87"/>
      <c r="PK36" s="87"/>
      <c r="PL36" s="87">
        <f t="shared" si="51"/>
        <v>0</v>
      </c>
      <c r="PM36" s="114"/>
      <c r="PN36" s="211"/>
      <c r="PO36" s="216"/>
      <c r="PQ36" s="90"/>
      <c r="PR36" s="87"/>
      <c r="PS36" s="87"/>
      <c r="PT36" s="87">
        <f t="shared" si="52"/>
        <v>0</v>
      </c>
      <c r="PU36" s="114"/>
      <c r="PV36" s="89"/>
      <c r="PW36" s="82"/>
      <c r="PY36" s="90"/>
      <c r="PZ36" s="87"/>
      <c r="QA36" s="87"/>
      <c r="QB36" s="87">
        <f t="shared" si="53"/>
        <v>0</v>
      </c>
      <c r="QC36" s="114"/>
      <c r="QD36" s="89"/>
      <c r="QE36" s="82"/>
      <c r="QG36" s="90"/>
      <c r="QH36" s="87"/>
      <c r="QI36" s="87"/>
      <c r="QJ36" s="87">
        <f t="shared" si="54"/>
        <v>0</v>
      </c>
      <c r="QK36" s="114"/>
      <c r="QL36" s="89"/>
      <c r="QM36" s="82"/>
      <c r="QO36" s="90"/>
      <c r="QP36" s="87"/>
      <c r="QQ36" s="87"/>
      <c r="QR36" s="87">
        <f t="shared" si="55"/>
        <v>0</v>
      </c>
      <c r="QS36" s="114"/>
      <c r="QT36" s="211"/>
      <c r="QU36" s="216"/>
      <c r="QW36" s="90"/>
      <c r="QX36" s="87"/>
      <c r="QY36" s="87"/>
      <c r="QZ36" s="87">
        <f t="shared" si="56"/>
        <v>0</v>
      </c>
      <c r="RA36" s="114"/>
      <c r="RB36" s="89"/>
      <c r="RC36" s="82"/>
      <c r="RE36" s="90"/>
      <c r="RF36" s="87"/>
      <c r="RG36" s="87"/>
      <c r="RH36" s="87">
        <f t="shared" si="57"/>
        <v>0</v>
      </c>
      <c r="RI36" s="114"/>
      <c r="RJ36" s="89"/>
      <c r="RK36" s="170"/>
      <c r="RM36" s="90"/>
      <c r="RN36" s="87"/>
      <c r="RO36" s="87"/>
      <c r="RP36" s="87">
        <f t="shared" si="58"/>
        <v>0</v>
      </c>
      <c r="RQ36" s="114"/>
      <c r="RR36" s="89"/>
      <c r="RS36" s="82"/>
      <c r="RU36" s="90"/>
      <c r="RV36" s="87"/>
      <c r="RW36" s="87"/>
      <c r="RX36" s="87">
        <f t="shared" si="59"/>
        <v>0</v>
      </c>
      <c r="RY36" s="114"/>
      <c r="RZ36" s="89"/>
      <c r="SA36" s="82"/>
      <c r="SC36" s="90"/>
      <c r="SD36" s="87"/>
      <c r="SE36" s="87"/>
      <c r="SF36" s="87">
        <f t="shared" si="60"/>
        <v>0</v>
      </c>
      <c r="SG36" s="114"/>
      <c r="SH36" s="89"/>
      <c r="SI36" s="82"/>
      <c r="SK36" s="90"/>
      <c r="SL36" s="87"/>
      <c r="SM36" s="87"/>
      <c r="SN36" s="87">
        <f t="shared" si="61"/>
        <v>0</v>
      </c>
      <c r="SO36" s="114"/>
      <c r="SP36" s="89"/>
      <c r="SQ36" s="82"/>
      <c r="SS36" s="90"/>
      <c r="ST36" s="87"/>
      <c r="SU36" s="87"/>
      <c r="SV36" s="87">
        <f t="shared" si="62"/>
        <v>0</v>
      </c>
      <c r="SW36" s="114"/>
      <c r="SX36" s="89"/>
      <c r="SY36" s="82"/>
      <c r="TA36" s="90"/>
      <c r="TB36" s="87"/>
      <c r="TC36" s="87"/>
      <c r="TD36" s="87">
        <f t="shared" si="63"/>
        <v>0</v>
      </c>
      <c r="TE36" s="114"/>
      <c r="TF36" s="89"/>
      <c r="TG36" s="82"/>
      <c r="TI36" s="84"/>
      <c r="TJ36" s="87"/>
      <c r="TK36" s="87"/>
      <c r="TL36" s="87">
        <f t="shared" si="64"/>
        <v>0</v>
      </c>
      <c r="TM36" s="114"/>
      <c r="TN36" s="89"/>
      <c r="TO36" s="82"/>
      <c r="TQ36" s="90"/>
      <c r="TR36" s="87"/>
      <c r="TS36" s="87"/>
      <c r="TT36" s="87">
        <f t="shared" si="65"/>
        <v>0</v>
      </c>
      <c r="TU36" s="114"/>
      <c r="TV36" s="91"/>
      <c r="TW36" s="82"/>
      <c r="TY36" s="90"/>
      <c r="TZ36" s="87"/>
      <c r="UA36" s="87"/>
      <c r="UB36" s="87">
        <f t="shared" si="66"/>
        <v>0</v>
      </c>
      <c r="UC36" s="114"/>
      <c r="UD36" s="89"/>
      <c r="UE36" s="82"/>
      <c r="UG36" s="90"/>
      <c r="UH36" s="87"/>
      <c r="UI36" s="87"/>
      <c r="UJ36" s="87">
        <f t="shared" si="67"/>
        <v>0</v>
      </c>
      <c r="UK36" s="114"/>
      <c r="UL36" s="89"/>
      <c r="UM36" s="82"/>
      <c r="UO36" s="90"/>
      <c r="UP36" s="87"/>
      <c r="UQ36" s="87"/>
      <c r="UR36" s="87">
        <f t="shared" si="68"/>
        <v>0</v>
      </c>
      <c r="US36" s="114"/>
      <c r="UT36" s="89"/>
      <c r="UU36" s="82"/>
      <c r="UW36" s="90"/>
      <c r="UX36" s="87"/>
      <c r="UY36" s="87"/>
      <c r="UZ36" s="87">
        <f t="shared" si="69"/>
        <v>0</v>
      </c>
      <c r="VA36" s="114"/>
      <c r="VB36" s="89"/>
      <c r="VC36" s="82"/>
      <c r="VE36" s="90"/>
      <c r="VF36" s="87"/>
      <c r="VG36" s="87"/>
      <c r="VH36" s="87">
        <f t="shared" si="70"/>
        <v>0</v>
      </c>
      <c r="VI36" s="114"/>
      <c r="VJ36" s="89"/>
      <c r="VK36" s="82"/>
      <c r="VM36" s="90"/>
      <c r="VN36" s="87"/>
      <c r="VO36" s="87"/>
      <c r="VP36" s="87">
        <f t="shared" si="71"/>
        <v>0</v>
      </c>
      <c r="VQ36" s="114"/>
      <c r="VR36" s="89"/>
      <c r="VS36" s="82"/>
      <c r="VU36" s="90"/>
      <c r="VV36" s="87"/>
      <c r="VW36" s="87"/>
      <c r="VX36" s="87">
        <f t="shared" si="72"/>
        <v>0</v>
      </c>
      <c r="VY36" s="114"/>
      <c r="VZ36" s="89"/>
      <c r="WA36" s="82"/>
      <c r="WC36" s="90"/>
      <c r="WD36" s="87"/>
      <c r="WE36" s="87"/>
      <c r="WF36" s="87">
        <f t="shared" si="73"/>
        <v>0</v>
      </c>
      <c r="WG36" s="114"/>
      <c r="WH36" s="89"/>
      <c r="WI36" s="82"/>
      <c r="WK36" s="90"/>
      <c r="WL36" s="87"/>
      <c r="WM36" s="87"/>
      <c r="WN36" s="87">
        <f t="shared" si="74"/>
        <v>0</v>
      </c>
      <c r="WO36" s="114"/>
      <c r="WP36" s="89"/>
      <c r="WQ36" s="82"/>
      <c r="WS36" s="90"/>
      <c r="WT36" s="87"/>
      <c r="WU36" s="87"/>
      <c r="WV36" s="87">
        <f t="shared" si="75"/>
        <v>0</v>
      </c>
      <c r="WW36" s="114"/>
      <c r="WX36" s="89"/>
      <c r="WY36" s="82"/>
      <c r="XA36" s="90"/>
      <c r="XB36" s="87"/>
      <c r="XC36" s="87"/>
      <c r="XD36" s="87">
        <f t="shared" si="76"/>
        <v>0</v>
      </c>
      <c r="XE36" s="114"/>
      <c r="XF36" s="89"/>
      <c r="XG36" s="82"/>
      <c r="XI36" s="90"/>
      <c r="XJ36" s="87"/>
      <c r="XK36" s="87"/>
      <c r="XL36" s="87">
        <f t="shared" si="77"/>
        <v>0</v>
      </c>
      <c r="XM36" s="114"/>
      <c r="XN36" s="89"/>
      <c r="XO36" s="82"/>
      <c r="XQ36" s="90"/>
      <c r="XR36" s="87"/>
      <c r="XS36" s="87"/>
      <c r="XT36" s="87">
        <f t="shared" si="78"/>
        <v>0</v>
      </c>
      <c r="XU36" s="114"/>
      <c r="XV36" s="89"/>
      <c r="XW36" s="82"/>
      <c r="XY36" s="90"/>
      <c r="XZ36" s="87"/>
      <c r="YA36" s="87"/>
      <c r="YB36" s="87">
        <f t="shared" si="79"/>
        <v>0</v>
      </c>
      <c r="YC36" s="114"/>
      <c r="YD36" s="89"/>
      <c r="YE36" s="82"/>
      <c r="YG36" s="90"/>
      <c r="YH36" s="87"/>
      <c r="YI36" s="87"/>
      <c r="YJ36" s="87">
        <f t="shared" si="80"/>
        <v>0</v>
      </c>
      <c r="YK36" s="114"/>
      <c r="YL36" s="89"/>
      <c r="YM36" s="82"/>
      <c r="YO36" s="90"/>
      <c r="YP36" s="87"/>
      <c r="YQ36" s="87"/>
      <c r="YR36" s="87">
        <f t="shared" si="81"/>
        <v>0</v>
      </c>
      <c r="YS36" s="114"/>
      <c r="YT36" s="89"/>
      <c r="YU36" s="82"/>
      <c r="YW36" s="90"/>
      <c r="YX36" s="87"/>
      <c r="YY36" s="87"/>
      <c r="YZ36" s="87">
        <f t="shared" si="82"/>
        <v>0</v>
      </c>
      <c r="ZA36" s="114"/>
      <c r="ZB36" s="89"/>
      <c r="ZC36" s="82"/>
      <c r="ZE36" s="90"/>
      <c r="ZF36" s="87"/>
      <c r="ZG36" s="87"/>
      <c r="ZH36" s="87">
        <f t="shared" si="83"/>
        <v>0</v>
      </c>
      <c r="ZI36" s="114"/>
      <c r="ZJ36" s="89"/>
      <c r="ZK36" s="82"/>
      <c r="ZM36" s="90"/>
      <c r="ZN36" s="87"/>
      <c r="ZO36" s="87"/>
      <c r="ZP36" s="87">
        <f t="shared" si="84"/>
        <v>0</v>
      </c>
      <c r="ZQ36" s="114"/>
      <c r="ZR36" s="89"/>
      <c r="ZS36" s="82"/>
      <c r="ZU36" s="90"/>
      <c r="ZV36" s="87"/>
      <c r="ZW36" s="87"/>
      <c r="ZX36" s="87">
        <f t="shared" si="85"/>
        <v>0</v>
      </c>
      <c r="ZY36" s="114"/>
      <c r="ZZ36" s="89"/>
      <c r="AAA36" s="82"/>
      <c r="AAC36" s="90"/>
      <c r="AAD36" s="87"/>
      <c r="AAE36" s="87"/>
      <c r="AAF36" s="87">
        <f t="shared" si="86"/>
        <v>0</v>
      </c>
      <c r="AAG36" s="114"/>
      <c r="AAH36" s="89"/>
      <c r="AAI36" s="82"/>
      <c r="AAK36" s="90"/>
      <c r="AAL36" s="87"/>
      <c r="AAM36" s="87"/>
      <c r="AAN36" s="87">
        <f t="shared" si="87"/>
        <v>0</v>
      </c>
      <c r="AAO36" s="114"/>
      <c r="AAP36" s="89"/>
      <c r="AAQ36" s="82"/>
      <c r="AAS36" s="90"/>
      <c r="AAT36" s="87"/>
      <c r="AAU36" s="87"/>
      <c r="AAV36" s="87">
        <f t="shared" si="88"/>
        <v>0</v>
      </c>
      <c r="AAW36" s="114"/>
      <c r="AAX36" s="89"/>
      <c r="AAY36" s="82"/>
      <c r="ABA36" s="90"/>
      <c r="ABB36" s="87"/>
      <c r="ABC36" s="87"/>
      <c r="ABD36" s="87">
        <f t="shared" si="89"/>
        <v>0</v>
      </c>
      <c r="ABE36" s="114"/>
      <c r="ABF36" s="89"/>
      <c r="ABG36" s="82"/>
      <c r="ABI36" s="90"/>
      <c r="ABJ36" s="87"/>
      <c r="ABK36" s="87"/>
      <c r="ABL36" s="87">
        <f t="shared" si="90"/>
        <v>0</v>
      </c>
      <c r="ABM36" s="114"/>
      <c r="ABN36" s="89"/>
      <c r="ABO36" s="82"/>
      <c r="ABQ36" s="90"/>
      <c r="ABR36" s="87"/>
      <c r="ABS36" s="87"/>
      <c r="ABT36" s="87">
        <f t="shared" si="91"/>
        <v>0</v>
      </c>
      <c r="ABU36" s="114"/>
      <c r="ABV36" s="89"/>
      <c r="ABW36" s="82"/>
      <c r="ABY36" s="90"/>
      <c r="ABZ36" s="87"/>
      <c r="ACA36" s="87"/>
      <c r="ACB36" s="87">
        <f t="shared" si="92"/>
        <v>0</v>
      </c>
      <c r="ACC36" s="114"/>
      <c r="ACD36" s="89"/>
      <c r="ACE36" s="82"/>
    </row>
    <row r="37" spans="1:759" ht="12" customHeight="1" x14ac:dyDescent="0.25">
      <c r="A37" s="84"/>
      <c r="B37" s="85"/>
      <c r="C37" s="87"/>
      <c r="D37" s="87">
        <f t="shared" si="2"/>
        <v>1700</v>
      </c>
      <c r="E37" s="114"/>
      <c r="F37" s="212"/>
      <c r="G37" s="382"/>
      <c r="H37" s="72"/>
      <c r="I37" s="10"/>
      <c r="J37" s="87"/>
      <c r="K37" s="87"/>
      <c r="L37" s="87">
        <f t="shared" si="0"/>
        <v>1000</v>
      </c>
      <c r="M37" s="114"/>
      <c r="N37" s="220"/>
      <c r="O37" s="82"/>
      <c r="P37" s="72"/>
      <c r="Q37" s="90"/>
      <c r="R37" s="87"/>
      <c r="S37" s="87"/>
      <c r="T37" s="87">
        <f t="shared" si="1"/>
        <v>4000</v>
      </c>
      <c r="U37" s="114"/>
      <c r="V37" s="89"/>
      <c r="W37" s="82"/>
      <c r="X37" s="72"/>
      <c r="Y37" s="99"/>
      <c r="Z37" s="87"/>
      <c r="AA37" s="86"/>
      <c r="AB37" s="87">
        <f t="shared" si="3"/>
        <v>1000</v>
      </c>
      <c r="AC37" s="114"/>
      <c r="AD37" s="89"/>
      <c r="AE37" s="82"/>
      <c r="AF37" s="72"/>
      <c r="AG37" s="84"/>
      <c r="AH37" s="222"/>
      <c r="AI37" s="222"/>
      <c r="AJ37" s="87">
        <f t="shared" si="4"/>
        <v>2000</v>
      </c>
      <c r="AK37" s="114"/>
      <c r="AL37" s="220"/>
      <c r="AM37" s="82"/>
      <c r="AN37" s="72"/>
      <c r="AO37" s="90"/>
      <c r="AP37" s="222"/>
      <c r="AQ37" s="222"/>
      <c r="AR37" s="87">
        <f t="shared" si="5"/>
        <v>1000</v>
      </c>
      <c r="AS37" s="114"/>
      <c r="AT37" s="220"/>
      <c r="AU37" s="82"/>
      <c r="AV37" s="72"/>
      <c r="AW37" s="90"/>
      <c r="AX37" s="87"/>
      <c r="AY37" s="87"/>
      <c r="AZ37" s="87">
        <f t="shared" si="6"/>
        <v>1150</v>
      </c>
      <c r="BA37" s="114"/>
      <c r="BB37" s="211"/>
      <c r="BC37" s="82"/>
      <c r="BD37" s="72"/>
      <c r="BE37" s="90"/>
      <c r="BF37" s="87"/>
      <c r="BG37" s="87"/>
      <c r="BH37" s="87">
        <f t="shared" si="7"/>
        <v>7000</v>
      </c>
      <c r="BI37" s="114"/>
      <c r="BJ37" s="220"/>
      <c r="BK37" s="82"/>
      <c r="BL37" s="72"/>
      <c r="BM37" s="84"/>
      <c r="BN37" s="222"/>
      <c r="BO37" s="222"/>
      <c r="BP37" s="87">
        <f t="shared" si="8"/>
        <v>1000</v>
      </c>
      <c r="BQ37" s="114"/>
      <c r="BR37" s="89"/>
      <c r="BS37" s="82"/>
      <c r="BT37" s="72"/>
      <c r="BU37" s="90"/>
      <c r="BV37" s="87"/>
      <c r="BW37" s="87"/>
      <c r="BX37" s="87">
        <f t="shared" si="9"/>
        <v>0</v>
      </c>
      <c r="BY37" s="114"/>
      <c r="BZ37" s="89"/>
      <c r="CA37" s="82"/>
      <c r="CB37" s="72"/>
      <c r="CC37" s="90"/>
      <c r="CD37" s="87"/>
      <c r="CE37" s="87"/>
      <c r="CF37" s="87">
        <f t="shared" si="10"/>
        <v>0</v>
      </c>
      <c r="CG37" s="114"/>
      <c r="CH37" s="89"/>
      <c r="CI37" s="82"/>
      <c r="CJ37" s="72"/>
      <c r="CK37" s="90"/>
      <c r="CL37" s="87"/>
      <c r="CM37" s="87"/>
      <c r="CN37" s="87">
        <f t="shared" si="11"/>
        <v>0</v>
      </c>
      <c r="CO37" s="114"/>
      <c r="CP37" s="220"/>
      <c r="CQ37" s="82"/>
      <c r="CR37" s="72"/>
      <c r="CS37" s="90"/>
      <c r="CT37" s="87"/>
      <c r="CU37" s="87"/>
      <c r="CV37" s="87">
        <f t="shared" si="12"/>
        <v>0</v>
      </c>
      <c r="CW37" s="114"/>
      <c r="CX37" s="220"/>
      <c r="CY37" s="82"/>
      <c r="CZ37" s="72"/>
      <c r="DA37" s="84"/>
      <c r="DB37" s="87"/>
      <c r="DC37" s="87"/>
      <c r="DD37" s="87">
        <f t="shared" si="13"/>
        <v>0</v>
      </c>
      <c r="DE37" s="114"/>
      <c r="DF37" s="89"/>
      <c r="DG37" s="82"/>
      <c r="DH37" s="72"/>
      <c r="DI37" s="90"/>
      <c r="DJ37" s="87"/>
      <c r="DK37" s="87"/>
      <c r="DL37" s="87">
        <f t="shared" si="14"/>
        <v>0</v>
      </c>
      <c r="DM37" s="114"/>
      <c r="DN37" s="91"/>
      <c r="DO37" s="82"/>
      <c r="DP37" s="72"/>
      <c r="DQ37" s="90"/>
      <c r="DR37" s="87"/>
      <c r="DS37" s="87"/>
      <c r="DT37" s="87">
        <f t="shared" si="15"/>
        <v>0</v>
      </c>
      <c r="DU37" s="114"/>
      <c r="DV37" s="220"/>
      <c r="DW37" s="82"/>
      <c r="DX37" s="72"/>
      <c r="DY37" s="90"/>
      <c r="DZ37" s="87"/>
      <c r="EA37" s="87"/>
      <c r="EB37" s="87">
        <f t="shared" si="16"/>
        <v>0</v>
      </c>
      <c r="EC37" s="114"/>
      <c r="ED37" s="89"/>
      <c r="EE37" s="82"/>
      <c r="EF37" s="72"/>
      <c r="EG37" s="90"/>
      <c r="EH37" s="87"/>
      <c r="EI37" s="87"/>
      <c r="EJ37" s="87">
        <f t="shared" si="17"/>
        <v>0</v>
      </c>
      <c r="EK37" s="114"/>
      <c r="EL37" s="89"/>
      <c r="EM37" s="82"/>
      <c r="EO37" s="90"/>
      <c r="EP37" s="87"/>
      <c r="EQ37" s="87"/>
      <c r="ER37" s="87">
        <f t="shared" si="18"/>
        <v>0</v>
      </c>
      <c r="ES37" s="114"/>
      <c r="ET37" s="89"/>
      <c r="EU37" s="82"/>
      <c r="EW37" s="90"/>
      <c r="EX37" s="87"/>
      <c r="EY37" s="87"/>
      <c r="EZ37" s="87">
        <f t="shared" si="19"/>
        <v>0</v>
      </c>
      <c r="FA37" s="114"/>
      <c r="FB37" s="89"/>
      <c r="FC37" s="82"/>
      <c r="FE37" s="90"/>
      <c r="FF37" s="87"/>
      <c r="FG37" s="87"/>
      <c r="FH37" s="87">
        <f t="shared" si="93"/>
        <v>0</v>
      </c>
      <c r="FI37" s="114"/>
      <c r="FJ37" s="89"/>
      <c r="FK37" s="82"/>
      <c r="FM37" s="90"/>
      <c r="FN37" s="87"/>
      <c r="FO37" s="87"/>
      <c r="FP37" s="87">
        <f t="shared" si="20"/>
        <v>0</v>
      </c>
      <c r="FQ37" s="114"/>
      <c r="FR37" s="89"/>
      <c r="FS37" s="82"/>
      <c r="FT37" s="72"/>
      <c r="FU37" s="90"/>
      <c r="FV37" s="87"/>
      <c r="FW37" s="87"/>
      <c r="FX37" s="87">
        <f t="shared" si="21"/>
        <v>0</v>
      </c>
      <c r="FY37" s="165"/>
      <c r="FZ37" s="220"/>
      <c r="GA37" s="82"/>
      <c r="GC37" s="90"/>
      <c r="GD37" s="87"/>
      <c r="GE37" s="87"/>
      <c r="GF37" s="87">
        <f t="shared" si="22"/>
        <v>0</v>
      </c>
      <c r="GG37" s="114"/>
      <c r="GH37" s="89"/>
      <c r="GI37" s="82"/>
      <c r="GK37" s="90"/>
      <c r="GL37" s="87"/>
      <c r="GM37" s="87"/>
      <c r="GN37" s="87">
        <f t="shared" si="23"/>
        <v>0</v>
      </c>
      <c r="GO37" s="114"/>
      <c r="GP37" s="89"/>
      <c r="GQ37" s="82"/>
      <c r="GS37" s="90"/>
      <c r="GT37" s="87"/>
      <c r="GU37" s="87"/>
      <c r="GV37" s="87">
        <f t="shared" si="24"/>
        <v>0</v>
      </c>
      <c r="GW37" s="114"/>
      <c r="GX37" s="89"/>
      <c r="GY37" s="82"/>
      <c r="HA37" s="90"/>
      <c r="HB37" s="87"/>
      <c r="HC37" s="87"/>
      <c r="HD37" s="87">
        <f t="shared" si="25"/>
        <v>0</v>
      </c>
      <c r="HE37" s="114"/>
      <c r="HF37" s="89"/>
      <c r="HG37" s="82"/>
      <c r="HI37" s="90"/>
      <c r="HJ37" s="87"/>
      <c r="HK37" s="87"/>
      <c r="HL37" s="87">
        <f t="shared" si="26"/>
        <v>0</v>
      </c>
      <c r="HM37" s="114"/>
      <c r="HN37" s="89"/>
      <c r="HO37" s="82"/>
      <c r="HQ37" s="90"/>
      <c r="HR37" s="87"/>
      <c r="HS37" s="87"/>
      <c r="HT37" s="87">
        <f t="shared" si="27"/>
        <v>0</v>
      </c>
      <c r="HU37" s="114"/>
      <c r="HV37" s="89"/>
      <c r="HW37" s="82"/>
      <c r="HY37" s="90"/>
      <c r="HZ37" s="87"/>
      <c r="IA37" s="87"/>
      <c r="IB37" s="87">
        <f t="shared" si="28"/>
        <v>0</v>
      </c>
      <c r="IC37" s="114"/>
      <c r="ID37" s="89"/>
      <c r="IE37" s="82"/>
      <c r="IG37" s="90"/>
      <c r="IH37" s="87"/>
      <c r="II37" s="87"/>
      <c r="IJ37" s="87">
        <f t="shared" si="29"/>
        <v>0</v>
      </c>
      <c r="IK37" s="114"/>
      <c r="IL37" s="89"/>
      <c r="IM37" s="82"/>
      <c r="IO37" s="90"/>
      <c r="IP37" s="87"/>
      <c r="IQ37" s="87"/>
      <c r="IR37" s="87">
        <f t="shared" si="30"/>
        <v>0</v>
      </c>
      <c r="IS37" s="114"/>
      <c r="IT37" s="89"/>
      <c r="IU37" s="82"/>
      <c r="IW37" s="90"/>
      <c r="IX37" s="87"/>
      <c r="IY37" s="87"/>
      <c r="IZ37" s="87">
        <f t="shared" si="31"/>
        <v>0</v>
      </c>
      <c r="JA37" s="114"/>
      <c r="JB37" s="89"/>
      <c r="JC37" s="82"/>
      <c r="JE37" s="90"/>
      <c r="JF37" s="87"/>
      <c r="JG37" s="87"/>
      <c r="JH37" s="87">
        <f t="shared" si="32"/>
        <v>0</v>
      </c>
      <c r="JI37" s="114"/>
      <c r="JJ37" s="89"/>
      <c r="JK37" s="82"/>
      <c r="JM37" s="90"/>
      <c r="JN37" s="87"/>
      <c r="JO37" s="87"/>
      <c r="JP37" s="87">
        <f t="shared" si="33"/>
        <v>0</v>
      </c>
      <c r="JQ37" s="114"/>
      <c r="JR37" s="91"/>
      <c r="JS37" s="82"/>
      <c r="JU37" s="90"/>
      <c r="JV37" s="87"/>
      <c r="JW37" s="87"/>
      <c r="JX37" s="87">
        <f t="shared" si="94"/>
        <v>0</v>
      </c>
      <c r="JY37" s="114"/>
      <c r="JZ37" s="89"/>
      <c r="KA37" s="82"/>
      <c r="KC37" s="90"/>
      <c r="KD37" s="87"/>
      <c r="KE37" s="87"/>
      <c r="KF37" s="87">
        <f t="shared" si="34"/>
        <v>0</v>
      </c>
      <c r="KG37" s="114"/>
      <c r="KH37" s="86"/>
      <c r="KI37" s="109"/>
      <c r="KK37" s="90"/>
      <c r="KL37" s="87"/>
      <c r="KM37" s="87"/>
      <c r="KN37" s="87">
        <f t="shared" si="35"/>
        <v>0</v>
      </c>
      <c r="KO37" s="114"/>
      <c r="KP37" s="89"/>
      <c r="KQ37" s="82"/>
      <c r="KS37" s="90"/>
      <c r="KT37" s="87"/>
      <c r="KU37" s="87"/>
      <c r="KV37" s="87">
        <f t="shared" si="36"/>
        <v>0</v>
      </c>
      <c r="KW37" s="114"/>
      <c r="KX37" s="89"/>
      <c r="KY37" s="82"/>
      <c r="LA37" s="90"/>
      <c r="LB37" s="87"/>
      <c r="LC37" s="87"/>
      <c r="LD37" s="87">
        <f t="shared" si="37"/>
        <v>0</v>
      </c>
      <c r="LE37" s="114"/>
      <c r="LF37" s="89"/>
      <c r="LG37" s="82"/>
      <c r="LI37" s="99"/>
      <c r="LJ37" s="87"/>
      <c r="LK37" s="87"/>
      <c r="LL37" s="87">
        <f t="shared" si="38"/>
        <v>0</v>
      </c>
      <c r="LM37" s="114"/>
      <c r="LN37" s="89"/>
      <c r="LO37" s="82"/>
      <c r="LQ37" s="90"/>
      <c r="LR37" s="87"/>
      <c r="LS37" s="87"/>
      <c r="LT37" s="87">
        <f t="shared" si="39"/>
        <v>0</v>
      </c>
      <c r="LU37" s="114"/>
      <c r="LV37" s="89"/>
      <c r="LW37" s="82"/>
      <c r="LY37" s="84"/>
      <c r="LZ37" s="87"/>
      <c r="MA37" s="87"/>
      <c r="MB37" s="87">
        <f t="shared" si="40"/>
        <v>0</v>
      </c>
      <c r="MC37" s="114"/>
      <c r="MD37" s="89"/>
      <c r="ME37" s="82"/>
      <c r="MG37" s="90"/>
      <c r="MH37" s="87"/>
      <c r="MI37" s="87"/>
      <c r="MJ37" s="87">
        <f t="shared" si="41"/>
        <v>0</v>
      </c>
      <c r="MK37" s="114"/>
      <c r="ML37" s="89"/>
      <c r="MM37" s="82"/>
      <c r="MO37" s="90"/>
      <c r="MP37" s="87"/>
      <c r="MQ37" s="87"/>
      <c r="MR37" s="87">
        <f t="shared" si="42"/>
        <v>0</v>
      </c>
      <c r="MS37" s="114"/>
      <c r="MT37" s="89"/>
      <c r="MU37" s="82"/>
      <c r="MW37" s="84"/>
      <c r="MX37" s="87"/>
      <c r="MY37" s="87"/>
      <c r="MZ37" s="87">
        <f t="shared" si="43"/>
        <v>0</v>
      </c>
      <c r="NA37" s="114"/>
      <c r="NB37" s="89"/>
      <c r="NC37" s="82"/>
      <c r="NE37" s="90"/>
      <c r="NF37" s="87"/>
      <c r="NG37" s="87"/>
      <c r="NH37" s="87">
        <f t="shared" si="44"/>
        <v>0</v>
      </c>
      <c r="NI37" s="114"/>
      <c r="NJ37" s="89"/>
      <c r="NK37" s="82"/>
      <c r="NM37" s="90"/>
      <c r="NN37" s="87"/>
      <c r="NO37" s="87"/>
      <c r="NP37" s="87">
        <f t="shared" si="45"/>
        <v>0</v>
      </c>
      <c r="NQ37" s="114"/>
      <c r="NR37" s="89"/>
      <c r="NS37" s="82"/>
      <c r="NU37" s="90"/>
      <c r="NV37" s="87"/>
      <c r="NW37" s="87"/>
      <c r="NX37" s="87">
        <f t="shared" si="46"/>
        <v>0</v>
      </c>
      <c r="NY37" s="114"/>
      <c r="NZ37" s="89"/>
      <c r="OA37" s="82"/>
      <c r="OC37" s="90"/>
      <c r="OD37" s="87"/>
      <c r="OE37" s="87"/>
      <c r="OF37" s="87">
        <f t="shared" si="47"/>
        <v>0</v>
      </c>
      <c r="OG37" s="114"/>
      <c r="OH37" s="89"/>
      <c r="OI37" s="82"/>
      <c r="OK37" s="90"/>
      <c r="OL37" s="87"/>
      <c r="OM37" s="87"/>
      <c r="ON37" s="87">
        <f t="shared" si="48"/>
        <v>0</v>
      </c>
      <c r="OO37" s="114"/>
      <c r="OP37" s="91"/>
      <c r="OQ37" s="82"/>
      <c r="OS37" s="90"/>
      <c r="OT37" s="87"/>
      <c r="OU37" s="87"/>
      <c r="OV37" s="87">
        <f t="shared" si="49"/>
        <v>0</v>
      </c>
      <c r="OW37" s="114"/>
      <c r="OX37" s="89"/>
      <c r="OY37" s="82"/>
      <c r="PA37" s="90"/>
      <c r="PB37" s="87"/>
      <c r="PC37" s="87"/>
      <c r="PD37" s="87">
        <f t="shared" si="50"/>
        <v>0</v>
      </c>
      <c r="PE37" s="114"/>
      <c r="PF37" s="89"/>
      <c r="PG37" s="82"/>
      <c r="PI37" s="90"/>
      <c r="PJ37" s="87"/>
      <c r="PK37" s="87"/>
      <c r="PL37" s="87">
        <f t="shared" si="51"/>
        <v>0</v>
      </c>
      <c r="PM37" s="114"/>
      <c r="PN37" s="211"/>
      <c r="PO37" s="216"/>
      <c r="PQ37" s="90"/>
      <c r="PR37" s="87"/>
      <c r="PS37" s="87"/>
      <c r="PT37" s="87">
        <f t="shared" si="52"/>
        <v>0</v>
      </c>
      <c r="PU37" s="114"/>
      <c r="PV37" s="89"/>
      <c r="PW37" s="82"/>
      <c r="PY37" s="90"/>
      <c r="PZ37" s="87"/>
      <c r="QA37" s="87"/>
      <c r="QB37" s="87">
        <f t="shared" si="53"/>
        <v>0</v>
      </c>
      <c r="QC37" s="114"/>
      <c r="QD37" s="89"/>
      <c r="QE37" s="82"/>
      <c r="QG37" s="90"/>
      <c r="QH37" s="87"/>
      <c r="QI37" s="87"/>
      <c r="QJ37" s="87">
        <f t="shared" si="54"/>
        <v>0</v>
      </c>
      <c r="QK37" s="114"/>
      <c r="QL37" s="89"/>
      <c r="QM37" s="82"/>
      <c r="QO37" s="90"/>
      <c r="QP37" s="87"/>
      <c r="QQ37" s="87"/>
      <c r="QR37" s="87">
        <f t="shared" si="55"/>
        <v>0</v>
      </c>
      <c r="QS37" s="114"/>
      <c r="QT37" s="211"/>
      <c r="QU37" s="216"/>
      <c r="QW37" s="90"/>
      <c r="QX37" s="87"/>
      <c r="QY37" s="87"/>
      <c r="QZ37" s="87">
        <f t="shared" si="56"/>
        <v>0</v>
      </c>
      <c r="RA37" s="114"/>
      <c r="RB37" s="89"/>
      <c r="RC37" s="82"/>
      <c r="RE37" s="90"/>
      <c r="RF37" s="87"/>
      <c r="RG37" s="87"/>
      <c r="RH37" s="87">
        <f t="shared" si="57"/>
        <v>0</v>
      </c>
      <c r="RI37" s="114"/>
      <c r="RJ37" s="89"/>
      <c r="RK37" s="170"/>
      <c r="RM37" s="90"/>
      <c r="RN37" s="87"/>
      <c r="RO37" s="87"/>
      <c r="RP37" s="87">
        <f t="shared" si="58"/>
        <v>0</v>
      </c>
      <c r="RQ37" s="114"/>
      <c r="RR37" s="89"/>
      <c r="RS37" s="82"/>
      <c r="RU37" s="90"/>
      <c r="RV37" s="87"/>
      <c r="RW37" s="87"/>
      <c r="RX37" s="87">
        <f t="shared" si="59"/>
        <v>0</v>
      </c>
      <c r="RY37" s="114"/>
      <c r="RZ37" s="89"/>
      <c r="SA37" s="82"/>
      <c r="SC37" s="90"/>
      <c r="SD37" s="87"/>
      <c r="SE37" s="87"/>
      <c r="SF37" s="87">
        <f t="shared" si="60"/>
        <v>0</v>
      </c>
      <c r="SG37" s="114"/>
      <c r="SH37" s="89"/>
      <c r="SI37" s="82"/>
      <c r="SK37" s="90"/>
      <c r="SL37" s="87"/>
      <c r="SM37" s="87"/>
      <c r="SN37" s="87">
        <f t="shared" si="61"/>
        <v>0</v>
      </c>
      <c r="SO37" s="114"/>
      <c r="SP37" s="89"/>
      <c r="SQ37" s="82"/>
      <c r="SS37" s="90"/>
      <c r="ST37" s="87"/>
      <c r="SU37" s="87"/>
      <c r="SV37" s="87">
        <f t="shared" si="62"/>
        <v>0</v>
      </c>
      <c r="SW37" s="114"/>
      <c r="SX37" s="89"/>
      <c r="SY37" s="82"/>
      <c r="TA37" s="90"/>
      <c r="TB37" s="87"/>
      <c r="TC37" s="87"/>
      <c r="TD37" s="87">
        <f t="shared" si="63"/>
        <v>0</v>
      </c>
      <c r="TE37" s="114"/>
      <c r="TF37" s="89"/>
      <c r="TG37" s="82"/>
      <c r="TI37" s="90"/>
      <c r="TJ37" s="87"/>
      <c r="TK37" s="87"/>
      <c r="TL37" s="87">
        <f t="shared" si="64"/>
        <v>0</v>
      </c>
      <c r="TM37" s="114"/>
      <c r="TN37" s="89"/>
      <c r="TO37" s="82"/>
      <c r="TQ37" s="90"/>
      <c r="TR37" s="87"/>
      <c r="TS37" s="87"/>
      <c r="TT37" s="87">
        <f t="shared" si="65"/>
        <v>0</v>
      </c>
      <c r="TU37" s="114"/>
      <c r="TV37" s="91"/>
      <c r="TW37" s="82"/>
      <c r="TY37" s="90"/>
      <c r="TZ37" s="87"/>
      <c r="UA37" s="87"/>
      <c r="UB37" s="87">
        <f t="shared" si="66"/>
        <v>0</v>
      </c>
      <c r="UC37" s="114"/>
      <c r="UD37" s="89"/>
      <c r="UE37" s="82"/>
      <c r="UG37" s="90"/>
      <c r="UH37" s="87"/>
      <c r="UI37" s="87"/>
      <c r="UJ37" s="87">
        <f t="shared" si="67"/>
        <v>0</v>
      </c>
      <c r="UK37" s="114"/>
      <c r="UL37" s="89"/>
      <c r="UM37" s="82"/>
      <c r="UO37" s="90"/>
      <c r="UP37" s="87"/>
      <c r="UQ37" s="87"/>
      <c r="UR37" s="87">
        <f t="shared" si="68"/>
        <v>0</v>
      </c>
      <c r="US37" s="114"/>
      <c r="UT37" s="89"/>
      <c r="UU37" s="82"/>
      <c r="UW37" s="90"/>
      <c r="UX37" s="87"/>
      <c r="UY37" s="87"/>
      <c r="UZ37" s="87">
        <f t="shared" si="69"/>
        <v>0</v>
      </c>
      <c r="VA37" s="114"/>
      <c r="VB37" s="89"/>
      <c r="VC37" s="82"/>
      <c r="VE37" s="90"/>
      <c r="VF37" s="87"/>
      <c r="VG37" s="87"/>
      <c r="VH37" s="87">
        <f t="shared" si="70"/>
        <v>0</v>
      </c>
      <c r="VI37" s="114"/>
      <c r="VJ37" s="89"/>
      <c r="VK37" s="82"/>
      <c r="VM37" s="90"/>
      <c r="VN37" s="87"/>
      <c r="VO37" s="87"/>
      <c r="VP37" s="87">
        <f t="shared" si="71"/>
        <v>0</v>
      </c>
      <c r="VQ37" s="114"/>
      <c r="VR37" s="89"/>
      <c r="VS37" s="82"/>
      <c r="VU37" s="90"/>
      <c r="VV37" s="87"/>
      <c r="VW37" s="87"/>
      <c r="VX37" s="87">
        <f t="shared" si="72"/>
        <v>0</v>
      </c>
      <c r="VY37" s="114"/>
      <c r="VZ37" s="89"/>
      <c r="WA37" s="82"/>
      <c r="WC37" s="90"/>
      <c r="WD37" s="87"/>
      <c r="WE37" s="87"/>
      <c r="WF37" s="87">
        <f t="shared" si="73"/>
        <v>0</v>
      </c>
      <c r="WG37" s="114"/>
      <c r="WH37" s="89"/>
      <c r="WI37" s="82"/>
      <c r="WK37" s="90"/>
      <c r="WL37" s="87"/>
      <c r="WM37" s="87"/>
      <c r="WN37" s="87">
        <f t="shared" si="74"/>
        <v>0</v>
      </c>
      <c r="WO37" s="114"/>
      <c r="WP37" s="89"/>
      <c r="WQ37" s="82"/>
      <c r="WS37" s="90"/>
      <c r="WT37" s="87"/>
      <c r="WU37" s="87"/>
      <c r="WV37" s="87">
        <f t="shared" si="75"/>
        <v>0</v>
      </c>
      <c r="WW37" s="114"/>
      <c r="WX37" s="89"/>
      <c r="WY37" s="82"/>
      <c r="XA37" s="90"/>
      <c r="XB37" s="87"/>
      <c r="XC37" s="87"/>
      <c r="XD37" s="87">
        <f t="shared" si="76"/>
        <v>0</v>
      </c>
      <c r="XE37" s="114"/>
      <c r="XF37" s="89"/>
      <c r="XG37" s="82"/>
      <c r="XI37" s="90"/>
      <c r="XJ37" s="87"/>
      <c r="XK37" s="87"/>
      <c r="XL37" s="87">
        <f t="shared" si="77"/>
        <v>0</v>
      </c>
      <c r="XM37" s="114"/>
      <c r="XN37" s="89"/>
      <c r="XO37" s="82"/>
      <c r="XQ37" s="90"/>
      <c r="XR37" s="87"/>
      <c r="XS37" s="87"/>
      <c r="XT37" s="87">
        <f t="shared" si="78"/>
        <v>0</v>
      </c>
      <c r="XU37" s="114"/>
      <c r="XV37" s="89"/>
      <c r="XW37" s="82"/>
      <c r="XY37" s="90"/>
      <c r="XZ37" s="87"/>
      <c r="YA37" s="87"/>
      <c r="YB37" s="87">
        <f t="shared" si="79"/>
        <v>0</v>
      </c>
      <c r="YC37" s="114"/>
      <c r="YD37" s="89"/>
      <c r="YE37" s="82"/>
      <c r="YG37" s="90"/>
      <c r="YH37" s="87"/>
      <c r="YI37" s="87"/>
      <c r="YJ37" s="87">
        <f t="shared" si="80"/>
        <v>0</v>
      </c>
      <c r="YK37" s="114"/>
      <c r="YL37" s="89"/>
      <c r="YM37" s="82"/>
      <c r="YO37" s="90"/>
      <c r="YP37" s="87"/>
      <c r="YQ37" s="87"/>
      <c r="YR37" s="87">
        <f t="shared" si="81"/>
        <v>0</v>
      </c>
      <c r="YS37" s="114"/>
      <c r="YT37" s="89"/>
      <c r="YU37" s="82"/>
      <c r="YV37"/>
      <c r="YW37" s="90"/>
      <c r="YX37" s="87"/>
      <c r="YY37" s="87"/>
      <c r="YZ37" s="87">
        <f t="shared" si="82"/>
        <v>0</v>
      </c>
      <c r="ZA37" s="114"/>
      <c r="ZB37" s="89"/>
      <c r="ZC37" s="82"/>
      <c r="ZE37" s="90"/>
      <c r="ZF37" s="87"/>
      <c r="ZG37" s="87"/>
      <c r="ZH37" s="87">
        <f t="shared" si="83"/>
        <v>0</v>
      </c>
      <c r="ZI37" s="114"/>
      <c r="ZJ37" s="89"/>
      <c r="ZK37" s="82"/>
      <c r="ZM37" s="90"/>
      <c r="ZN37" s="87"/>
      <c r="ZO37" s="87"/>
      <c r="ZP37" s="87">
        <f t="shared" si="84"/>
        <v>0</v>
      </c>
      <c r="ZQ37" s="114"/>
      <c r="ZR37" s="89"/>
      <c r="ZS37" s="82"/>
      <c r="ZU37" s="90"/>
      <c r="ZV37" s="87"/>
      <c r="ZW37" s="87"/>
      <c r="ZX37" s="87">
        <f t="shared" si="85"/>
        <v>0</v>
      </c>
      <c r="ZY37" s="114"/>
      <c r="ZZ37" s="89"/>
      <c r="AAA37" s="82"/>
      <c r="AAC37" s="90"/>
      <c r="AAD37" s="87"/>
      <c r="AAE37" s="87"/>
      <c r="AAF37" s="87">
        <f t="shared" si="86"/>
        <v>0</v>
      </c>
      <c r="AAG37" s="114"/>
      <c r="AAH37" s="89"/>
      <c r="AAI37" s="82"/>
      <c r="AAK37" s="90"/>
      <c r="AAL37" s="87"/>
      <c r="AAM37" s="87"/>
      <c r="AAN37" s="87">
        <f t="shared" si="87"/>
        <v>0</v>
      </c>
      <c r="AAO37" s="114"/>
      <c r="AAP37" s="89"/>
      <c r="AAQ37" s="82"/>
      <c r="AAS37" s="90"/>
      <c r="AAT37" s="87"/>
      <c r="AAU37" s="87"/>
      <c r="AAV37" s="87">
        <f t="shared" si="88"/>
        <v>0</v>
      </c>
      <c r="AAW37" s="114"/>
      <c r="AAX37" s="89"/>
      <c r="AAY37" s="82"/>
      <c r="ABA37" s="90"/>
      <c r="ABB37" s="87"/>
      <c r="ABC37" s="87"/>
      <c r="ABD37" s="87">
        <f t="shared" si="89"/>
        <v>0</v>
      </c>
      <c r="ABE37" s="114"/>
      <c r="ABF37" s="89"/>
      <c r="ABG37" s="82"/>
      <c r="ABI37" s="90"/>
      <c r="ABJ37" s="87"/>
      <c r="ABK37" s="87"/>
      <c r="ABL37" s="87">
        <f t="shared" si="90"/>
        <v>0</v>
      </c>
      <c r="ABM37" s="114"/>
      <c r="ABN37" s="89"/>
      <c r="ABO37" s="82"/>
      <c r="ABQ37" s="90"/>
      <c r="ABR37" s="87"/>
      <c r="ABS37" s="87"/>
      <c r="ABT37" s="87">
        <f t="shared" si="91"/>
        <v>0</v>
      </c>
      <c r="ABU37" s="114"/>
      <c r="ABV37" s="89"/>
      <c r="ABW37" s="82"/>
      <c r="ABY37" s="90"/>
      <c r="ABZ37" s="87"/>
      <c r="ACA37" s="87"/>
      <c r="ACB37" s="87">
        <f t="shared" si="92"/>
        <v>0</v>
      </c>
      <c r="ACC37" s="114"/>
      <c r="ACD37" s="89"/>
      <c r="ACE37" s="82"/>
    </row>
    <row r="38" spans="1:759" ht="12" customHeight="1" x14ac:dyDescent="0.25">
      <c r="A38" s="84"/>
      <c r="B38" s="85"/>
      <c r="C38" s="87"/>
      <c r="D38" s="87">
        <f t="shared" si="2"/>
        <v>1700</v>
      </c>
      <c r="E38" s="114"/>
      <c r="F38" s="212"/>
      <c r="G38" s="382"/>
      <c r="H38" s="72"/>
      <c r="I38" s="84"/>
      <c r="J38" s="87"/>
      <c r="K38" s="87"/>
      <c r="L38" s="87">
        <f t="shared" si="0"/>
        <v>1000</v>
      </c>
      <c r="M38" s="114"/>
      <c r="N38" s="220"/>
      <c r="O38" s="82"/>
      <c r="P38" s="72"/>
      <c r="Q38" s="90"/>
      <c r="R38" s="87"/>
      <c r="S38" s="87"/>
      <c r="T38" s="87">
        <f t="shared" si="1"/>
        <v>4000</v>
      </c>
      <c r="U38" s="114"/>
      <c r="V38" s="89"/>
      <c r="W38" s="82"/>
      <c r="X38" s="72"/>
      <c r="Y38" s="84"/>
      <c r="Z38" s="87"/>
      <c r="AA38" s="86"/>
      <c r="AB38" s="87">
        <f t="shared" si="3"/>
        <v>1000</v>
      </c>
      <c r="AC38" s="114"/>
      <c r="AD38" s="89"/>
      <c r="AE38" s="82"/>
      <c r="AF38" s="72"/>
      <c r="AG38" s="84"/>
      <c r="AH38" s="222"/>
      <c r="AI38" s="222"/>
      <c r="AJ38" s="87">
        <f t="shared" si="4"/>
        <v>2000</v>
      </c>
      <c r="AK38" s="114"/>
      <c r="AL38" s="89"/>
      <c r="AM38" s="82"/>
      <c r="AN38" s="72"/>
      <c r="AO38" s="90"/>
      <c r="AP38" s="222"/>
      <c r="AQ38" s="222"/>
      <c r="AR38" s="87">
        <f t="shared" si="5"/>
        <v>1000</v>
      </c>
      <c r="AS38" s="114"/>
      <c r="AT38" s="220"/>
      <c r="AU38" s="82"/>
      <c r="AV38" s="72"/>
      <c r="AW38" s="90"/>
      <c r="AX38" s="87"/>
      <c r="AY38" s="87"/>
      <c r="AZ38" s="87">
        <f t="shared" si="6"/>
        <v>1150</v>
      </c>
      <c r="BA38" s="114"/>
      <c r="BB38" s="211"/>
      <c r="BC38" s="82"/>
      <c r="BD38" s="72"/>
      <c r="BE38" s="90"/>
      <c r="BF38" s="87"/>
      <c r="BG38" s="87"/>
      <c r="BH38" s="87">
        <f t="shared" si="7"/>
        <v>7000</v>
      </c>
      <c r="BI38" s="114"/>
      <c r="BJ38" s="220"/>
      <c r="BK38" s="82"/>
      <c r="BL38" s="72"/>
      <c r="BM38" s="84"/>
      <c r="BN38" s="222"/>
      <c r="BO38" s="222"/>
      <c r="BP38" s="87">
        <f t="shared" si="8"/>
        <v>1000</v>
      </c>
      <c r="BQ38" s="114"/>
      <c r="BR38" s="89"/>
      <c r="BS38" s="82"/>
      <c r="BT38" s="72"/>
      <c r="BU38" s="90"/>
      <c r="BV38" s="87"/>
      <c r="BW38" s="87"/>
      <c r="BX38" s="87">
        <f t="shared" si="9"/>
        <v>0</v>
      </c>
      <c r="BY38" s="114"/>
      <c r="BZ38" s="89"/>
      <c r="CA38" s="82"/>
      <c r="CB38" s="72"/>
      <c r="CC38" s="90"/>
      <c r="CD38" s="87"/>
      <c r="CE38" s="87"/>
      <c r="CF38" s="87">
        <f t="shared" si="10"/>
        <v>0</v>
      </c>
      <c r="CG38" s="114"/>
      <c r="CH38" s="89"/>
      <c r="CI38" s="82"/>
      <c r="CJ38" s="72"/>
      <c r="CK38" s="90"/>
      <c r="CL38" s="87"/>
      <c r="CM38" s="87"/>
      <c r="CN38" s="87">
        <f t="shared" si="11"/>
        <v>0</v>
      </c>
      <c r="CO38" s="114"/>
      <c r="CP38" s="220"/>
      <c r="CQ38" s="82"/>
      <c r="CR38" s="72"/>
      <c r="CS38" s="90"/>
      <c r="CT38" s="87"/>
      <c r="CU38" s="87"/>
      <c r="CV38" s="87">
        <f t="shared" si="12"/>
        <v>0</v>
      </c>
      <c r="CW38" s="114"/>
      <c r="CX38" s="220"/>
      <c r="CY38" s="82"/>
      <c r="CZ38" s="72"/>
      <c r="DA38" s="84"/>
      <c r="DB38" s="87"/>
      <c r="DC38" s="87"/>
      <c r="DD38" s="87">
        <f t="shared" si="13"/>
        <v>0</v>
      </c>
      <c r="DE38" s="114"/>
      <c r="DF38" s="89"/>
      <c r="DG38" s="82"/>
      <c r="DH38" s="72"/>
      <c r="DI38" s="90"/>
      <c r="DJ38" s="87"/>
      <c r="DK38" s="87"/>
      <c r="DL38" s="87">
        <f t="shared" si="14"/>
        <v>0</v>
      </c>
      <c r="DM38" s="114"/>
      <c r="DN38" s="91"/>
      <c r="DO38" s="82"/>
      <c r="DP38" s="72"/>
      <c r="DQ38" s="90"/>
      <c r="DR38" s="87"/>
      <c r="DS38" s="87"/>
      <c r="DT38" s="87">
        <f t="shared" si="15"/>
        <v>0</v>
      </c>
      <c r="DU38" s="114"/>
      <c r="DV38" s="220"/>
      <c r="DW38" s="82"/>
      <c r="DX38" s="72"/>
      <c r="DY38" s="90"/>
      <c r="DZ38" s="87"/>
      <c r="EA38" s="87"/>
      <c r="EB38" s="87">
        <f t="shared" si="16"/>
        <v>0</v>
      </c>
      <c r="EC38" s="114"/>
      <c r="ED38" s="89"/>
      <c r="EE38" s="82"/>
      <c r="EF38" s="72"/>
      <c r="EG38" s="90"/>
      <c r="EH38" s="87"/>
      <c r="EI38" s="87"/>
      <c r="EJ38" s="87">
        <f t="shared" si="17"/>
        <v>0</v>
      </c>
      <c r="EK38" s="114"/>
      <c r="EL38" s="89"/>
      <c r="EM38" s="82"/>
      <c r="EO38" s="90"/>
      <c r="EP38" s="87"/>
      <c r="EQ38" s="87"/>
      <c r="ER38" s="87">
        <f t="shared" si="18"/>
        <v>0</v>
      </c>
      <c r="ES38" s="114"/>
      <c r="ET38" s="89"/>
      <c r="EU38" s="82"/>
      <c r="EW38" s="90"/>
      <c r="EX38" s="87"/>
      <c r="EY38" s="87"/>
      <c r="EZ38" s="87">
        <f t="shared" si="19"/>
        <v>0</v>
      </c>
      <c r="FA38" s="114"/>
      <c r="FB38" s="89"/>
      <c r="FC38" s="82"/>
      <c r="FE38" s="90"/>
      <c r="FF38" s="87"/>
      <c r="FG38" s="87"/>
      <c r="FH38" s="87">
        <f t="shared" si="93"/>
        <v>0</v>
      </c>
      <c r="FI38" s="114"/>
      <c r="FJ38" s="89"/>
      <c r="FK38" s="82"/>
      <c r="FM38" s="90"/>
      <c r="FN38" s="87"/>
      <c r="FO38" s="87"/>
      <c r="FP38" s="87">
        <f t="shared" si="20"/>
        <v>0</v>
      </c>
      <c r="FQ38" s="114"/>
      <c r="FR38" s="89"/>
      <c r="FS38" s="82"/>
      <c r="FT38" s="72"/>
      <c r="FU38" s="90"/>
      <c r="FV38" s="87"/>
      <c r="FW38" s="87"/>
      <c r="FX38" s="87">
        <f t="shared" si="21"/>
        <v>0</v>
      </c>
      <c r="FY38" s="165"/>
      <c r="FZ38" s="220"/>
      <c r="GA38" s="82"/>
      <c r="GC38" s="90"/>
      <c r="GD38" s="87"/>
      <c r="GE38" s="87"/>
      <c r="GF38" s="87">
        <f t="shared" si="22"/>
        <v>0</v>
      </c>
      <c r="GG38" s="114"/>
      <c r="GH38" s="89"/>
      <c r="GI38" s="82"/>
      <c r="GK38" s="90"/>
      <c r="GL38" s="87"/>
      <c r="GM38" s="87"/>
      <c r="GN38" s="87">
        <f t="shared" si="23"/>
        <v>0</v>
      </c>
      <c r="GO38" s="114"/>
      <c r="GP38" s="89"/>
      <c r="GQ38" s="82"/>
      <c r="GS38" s="90"/>
      <c r="GT38" s="87"/>
      <c r="GU38" s="87"/>
      <c r="GV38" s="87">
        <f t="shared" si="24"/>
        <v>0</v>
      </c>
      <c r="GW38" s="114"/>
      <c r="GX38" s="89"/>
      <c r="GY38" s="82"/>
      <c r="HA38" s="90"/>
      <c r="HB38" s="87"/>
      <c r="HC38" s="87"/>
      <c r="HD38" s="87">
        <f t="shared" si="25"/>
        <v>0</v>
      </c>
      <c r="HE38" s="114"/>
      <c r="HF38" s="89"/>
      <c r="HG38" s="82"/>
      <c r="HI38" s="90"/>
      <c r="HJ38" s="87"/>
      <c r="HK38" s="87"/>
      <c r="HL38" s="87">
        <f t="shared" si="26"/>
        <v>0</v>
      </c>
      <c r="HM38" s="114"/>
      <c r="HN38" s="89"/>
      <c r="HO38" s="82"/>
      <c r="HQ38" s="90"/>
      <c r="HR38" s="87"/>
      <c r="HS38" s="87"/>
      <c r="HT38" s="87">
        <f t="shared" si="27"/>
        <v>0</v>
      </c>
      <c r="HU38" s="114"/>
      <c r="HV38" s="89"/>
      <c r="HW38" s="82"/>
      <c r="HY38" s="90"/>
      <c r="HZ38" s="87"/>
      <c r="IA38" s="87"/>
      <c r="IB38" s="87">
        <f t="shared" si="28"/>
        <v>0</v>
      </c>
      <c r="IC38" s="114"/>
      <c r="ID38" s="89"/>
      <c r="IE38" s="82"/>
      <c r="IG38" s="90"/>
      <c r="IH38" s="87"/>
      <c r="II38" s="87"/>
      <c r="IJ38" s="87">
        <f t="shared" si="29"/>
        <v>0</v>
      </c>
      <c r="IK38" s="114"/>
      <c r="IL38" s="89"/>
      <c r="IM38" s="82"/>
      <c r="IO38" s="90"/>
      <c r="IP38" s="87"/>
      <c r="IQ38" s="87"/>
      <c r="IR38" s="87">
        <f t="shared" si="30"/>
        <v>0</v>
      </c>
      <c r="IS38" s="114"/>
      <c r="IT38" s="89"/>
      <c r="IU38" s="82"/>
      <c r="IW38" s="90"/>
      <c r="IX38" s="87"/>
      <c r="IY38" s="87"/>
      <c r="IZ38" s="87">
        <f t="shared" si="31"/>
        <v>0</v>
      </c>
      <c r="JA38" s="114"/>
      <c r="JB38" s="89"/>
      <c r="JC38" s="82"/>
      <c r="JE38" s="90"/>
      <c r="JF38" s="87"/>
      <c r="JG38" s="87"/>
      <c r="JH38" s="87">
        <f t="shared" si="32"/>
        <v>0</v>
      </c>
      <c r="JI38" s="114"/>
      <c r="JJ38" s="89"/>
      <c r="JK38" s="82"/>
      <c r="JM38" s="90"/>
      <c r="JN38" s="87"/>
      <c r="JO38" s="87"/>
      <c r="JP38" s="87">
        <f t="shared" si="33"/>
        <v>0</v>
      </c>
      <c r="JQ38" s="114"/>
      <c r="JR38" s="91"/>
      <c r="JS38" s="82"/>
      <c r="JU38" s="90"/>
      <c r="JV38" s="87"/>
      <c r="JW38" s="87"/>
      <c r="JX38" s="87">
        <f t="shared" si="94"/>
        <v>0</v>
      </c>
      <c r="JY38" s="114"/>
      <c r="JZ38" s="89"/>
      <c r="KA38" s="82"/>
      <c r="KC38" s="90"/>
      <c r="KD38" s="87"/>
      <c r="KE38" s="87"/>
      <c r="KF38" s="87">
        <f t="shared" si="34"/>
        <v>0</v>
      </c>
      <c r="KG38" s="114"/>
      <c r="KH38" s="86"/>
      <c r="KI38" s="109"/>
      <c r="KK38" s="90"/>
      <c r="KL38" s="87"/>
      <c r="KM38" s="87"/>
      <c r="KN38" s="87">
        <f t="shared" si="35"/>
        <v>0</v>
      </c>
      <c r="KO38" s="114"/>
      <c r="KP38" s="89"/>
      <c r="KQ38" s="82"/>
      <c r="KS38" s="90"/>
      <c r="KT38" s="87"/>
      <c r="KU38" s="87"/>
      <c r="KV38" s="87">
        <f t="shared" si="36"/>
        <v>0</v>
      </c>
      <c r="KW38" s="114"/>
      <c r="KX38" s="89"/>
      <c r="KY38" s="82"/>
      <c r="LA38" s="90"/>
      <c r="LB38" s="87"/>
      <c r="LC38" s="87"/>
      <c r="LD38" s="87">
        <f t="shared" si="37"/>
        <v>0</v>
      </c>
      <c r="LE38" s="114"/>
      <c r="LF38" s="89"/>
      <c r="LG38" s="82"/>
      <c r="LI38" s="99"/>
      <c r="LJ38" s="87"/>
      <c r="LK38" s="87"/>
      <c r="LL38" s="87">
        <f t="shared" si="38"/>
        <v>0</v>
      </c>
      <c r="LM38" s="114"/>
      <c r="LN38" s="89"/>
      <c r="LO38" s="82"/>
      <c r="LQ38" s="90"/>
      <c r="LR38" s="87"/>
      <c r="LS38" s="87"/>
      <c r="LT38" s="87">
        <f t="shared" si="39"/>
        <v>0</v>
      </c>
      <c r="LU38" s="114"/>
      <c r="LV38" s="89"/>
      <c r="LW38" s="82"/>
      <c r="LY38" s="84"/>
      <c r="LZ38" s="87"/>
      <c r="MA38" s="87"/>
      <c r="MB38" s="87">
        <f t="shared" si="40"/>
        <v>0</v>
      </c>
      <c r="MC38" s="114"/>
      <c r="MD38" s="89"/>
      <c r="ME38" s="82"/>
      <c r="MG38" s="90"/>
      <c r="MH38" s="87"/>
      <c r="MI38" s="87"/>
      <c r="MJ38" s="87">
        <f t="shared" si="41"/>
        <v>0</v>
      </c>
      <c r="MK38" s="114"/>
      <c r="ML38" s="89"/>
      <c r="MM38" s="82"/>
      <c r="MO38" s="90"/>
      <c r="MP38" s="87"/>
      <c r="MQ38" s="87"/>
      <c r="MR38" s="87">
        <f t="shared" si="42"/>
        <v>0</v>
      </c>
      <c r="MS38" s="114"/>
      <c r="MT38" s="89"/>
      <c r="MU38" s="82"/>
      <c r="MW38" s="84"/>
      <c r="MX38" s="87"/>
      <c r="MY38" s="87"/>
      <c r="MZ38" s="87">
        <f t="shared" si="43"/>
        <v>0</v>
      </c>
      <c r="NA38" s="114"/>
      <c r="NB38" s="89"/>
      <c r="NC38" s="82"/>
      <c r="NE38" s="90"/>
      <c r="NF38" s="87"/>
      <c r="NG38" s="87"/>
      <c r="NH38" s="87">
        <f t="shared" si="44"/>
        <v>0</v>
      </c>
      <c r="NI38" s="114"/>
      <c r="NJ38" s="89"/>
      <c r="NK38" s="82"/>
      <c r="NM38" s="90"/>
      <c r="NN38" s="87"/>
      <c r="NO38" s="87"/>
      <c r="NP38" s="87">
        <f t="shared" si="45"/>
        <v>0</v>
      </c>
      <c r="NQ38" s="114"/>
      <c r="NR38" s="89"/>
      <c r="NS38" s="82"/>
      <c r="NU38" s="90"/>
      <c r="NV38" s="87"/>
      <c r="NW38" s="87"/>
      <c r="NX38" s="87">
        <f t="shared" si="46"/>
        <v>0</v>
      </c>
      <c r="NY38" s="114"/>
      <c r="NZ38" s="89"/>
      <c r="OA38" s="82"/>
      <c r="OC38" s="90"/>
      <c r="OD38" s="87"/>
      <c r="OE38" s="87"/>
      <c r="OF38" s="87">
        <f t="shared" si="47"/>
        <v>0</v>
      </c>
      <c r="OG38" s="114"/>
      <c r="OH38" s="89"/>
      <c r="OI38" s="82"/>
      <c r="OK38" s="90"/>
      <c r="OL38" s="87"/>
      <c r="OM38" s="87"/>
      <c r="ON38" s="87">
        <f t="shared" si="48"/>
        <v>0</v>
      </c>
      <c r="OO38" s="114"/>
      <c r="OP38" s="91"/>
      <c r="OQ38" s="82"/>
      <c r="OS38" s="90"/>
      <c r="OT38" s="87"/>
      <c r="OU38" s="87"/>
      <c r="OV38" s="87">
        <f t="shared" si="49"/>
        <v>0</v>
      </c>
      <c r="OW38" s="114"/>
      <c r="OX38" s="89"/>
      <c r="OY38" s="82"/>
      <c r="PA38" s="90"/>
      <c r="PB38" s="87"/>
      <c r="PC38" s="87"/>
      <c r="PD38" s="87">
        <f t="shared" si="50"/>
        <v>0</v>
      </c>
      <c r="PE38" s="114"/>
      <c r="PF38" s="89"/>
      <c r="PG38" s="82"/>
      <c r="PI38" s="90"/>
      <c r="PJ38" s="87"/>
      <c r="PK38" s="87"/>
      <c r="PL38" s="87">
        <f t="shared" si="51"/>
        <v>0</v>
      </c>
      <c r="PM38" s="114"/>
      <c r="PN38" s="211"/>
      <c r="PO38" s="216"/>
      <c r="PQ38" s="90"/>
      <c r="PR38" s="87"/>
      <c r="PS38" s="87"/>
      <c r="PT38" s="87">
        <f t="shared" si="52"/>
        <v>0</v>
      </c>
      <c r="PU38" s="114"/>
      <c r="PV38" s="89"/>
      <c r="PW38" s="82"/>
      <c r="PY38" s="90"/>
      <c r="PZ38" s="87"/>
      <c r="QA38" s="87"/>
      <c r="QB38" s="87">
        <f t="shared" si="53"/>
        <v>0</v>
      </c>
      <c r="QC38" s="114"/>
      <c r="QD38" s="89"/>
      <c r="QE38" s="82"/>
      <c r="QG38" s="90"/>
      <c r="QH38" s="87"/>
      <c r="QI38" s="87"/>
      <c r="QJ38" s="87">
        <f t="shared" si="54"/>
        <v>0</v>
      </c>
      <c r="QK38" s="114"/>
      <c r="QL38" s="89"/>
      <c r="QM38" s="82"/>
      <c r="QO38" s="90"/>
      <c r="QP38" s="87"/>
      <c r="QQ38" s="87"/>
      <c r="QR38" s="87">
        <f t="shared" si="55"/>
        <v>0</v>
      </c>
      <c r="QS38" s="114"/>
      <c r="QT38" s="211"/>
      <c r="QU38" s="216"/>
      <c r="QW38" s="90"/>
      <c r="QX38" s="87"/>
      <c r="QY38" s="87"/>
      <c r="QZ38" s="87">
        <f t="shared" si="56"/>
        <v>0</v>
      </c>
      <c r="RA38" s="114"/>
      <c r="RB38" s="89"/>
      <c r="RC38" s="82"/>
      <c r="RE38" s="90"/>
      <c r="RF38" s="87"/>
      <c r="RG38" s="87"/>
      <c r="RH38" s="87">
        <f t="shared" si="57"/>
        <v>0</v>
      </c>
      <c r="RI38" s="114"/>
      <c r="RJ38" s="89"/>
      <c r="RK38" s="170"/>
      <c r="RM38" s="90"/>
      <c r="RN38" s="87"/>
      <c r="RO38" s="87"/>
      <c r="RP38" s="87">
        <f t="shared" si="58"/>
        <v>0</v>
      </c>
      <c r="RQ38" s="114"/>
      <c r="RR38" s="89"/>
      <c r="RS38" s="82"/>
      <c r="RU38" s="90"/>
      <c r="RV38" s="87"/>
      <c r="RW38" s="87"/>
      <c r="RX38" s="87">
        <f t="shared" si="59"/>
        <v>0</v>
      </c>
      <c r="RY38" s="114"/>
      <c r="RZ38" s="89"/>
      <c r="SA38" s="82"/>
      <c r="SC38" s="90"/>
      <c r="SD38" s="87"/>
      <c r="SE38" s="87"/>
      <c r="SF38" s="87">
        <f t="shared" si="60"/>
        <v>0</v>
      </c>
      <c r="SG38" s="114"/>
      <c r="SH38" s="89"/>
      <c r="SI38" s="82"/>
      <c r="SK38" s="90"/>
      <c r="SL38" s="87"/>
      <c r="SM38" s="87"/>
      <c r="SN38" s="87">
        <f t="shared" si="61"/>
        <v>0</v>
      </c>
      <c r="SO38" s="114"/>
      <c r="SP38" s="89"/>
      <c r="SQ38" s="82"/>
      <c r="SS38" s="90"/>
      <c r="ST38" s="87"/>
      <c r="SU38" s="87"/>
      <c r="SV38" s="87">
        <f t="shared" si="62"/>
        <v>0</v>
      </c>
      <c r="SW38" s="114"/>
      <c r="SX38" s="89"/>
      <c r="SY38" s="82"/>
      <c r="TA38" s="90"/>
      <c r="TB38" s="87"/>
      <c r="TC38" s="87"/>
      <c r="TD38" s="87">
        <f t="shared" si="63"/>
        <v>0</v>
      </c>
      <c r="TE38" s="114"/>
      <c r="TF38" s="89"/>
      <c r="TG38" s="82"/>
      <c r="TI38" s="90"/>
      <c r="TJ38" s="87"/>
      <c r="TK38" s="87"/>
      <c r="TL38" s="87">
        <f t="shared" si="64"/>
        <v>0</v>
      </c>
      <c r="TM38" s="114"/>
      <c r="TN38" s="89"/>
      <c r="TO38" s="82"/>
      <c r="TQ38" s="90"/>
      <c r="TR38" s="87"/>
      <c r="TS38" s="87"/>
      <c r="TT38" s="87">
        <f t="shared" si="65"/>
        <v>0</v>
      </c>
      <c r="TU38" s="114"/>
      <c r="TV38" s="91"/>
      <c r="TW38" s="82"/>
      <c r="TY38" s="90"/>
      <c r="TZ38" s="87"/>
      <c r="UA38" s="87"/>
      <c r="UB38" s="87">
        <f t="shared" si="66"/>
        <v>0</v>
      </c>
      <c r="UC38" s="114"/>
      <c r="UD38" s="89"/>
      <c r="UE38" s="82"/>
      <c r="UG38" s="90"/>
      <c r="UH38" s="87"/>
      <c r="UI38" s="87"/>
      <c r="UJ38" s="87">
        <f t="shared" si="67"/>
        <v>0</v>
      </c>
      <c r="UK38" s="114"/>
      <c r="UL38" s="89"/>
      <c r="UM38" s="82"/>
      <c r="UO38" s="90"/>
      <c r="UP38" s="87"/>
      <c r="UQ38" s="87"/>
      <c r="UR38" s="87">
        <f t="shared" si="68"/>
        <v>0</v>
      </c>
      <c r="US38" s="114"/>
      <c r="UT38" s="89"/>
      <c r="UU38" s="82"/>
      <c r="UW38" s="90"/>
      <c r="UX38" s="87"/>
      <c r="UY38" s="87"/>
      <c r="UZ38" s="87">
        <f t="shared" si="69"/>
        <v>0</v>
      </c>
      <c r="VA38" s="114"/>
      <c r="VB38" s="89"/>
      <c r="VC38" s="82"/>
      <c r="VE38" s="90"/>
      <c r="VF38" s="87"/>
      <c r="VG38" s="87"/>
      <c r="VH38" s="87">
        <f t="shared" si="70"/>
        <v>0</v>
      </c>
      <c r="VI38" s="114"/>
      <c r="VJ38" s="89"/>
      <c r="VK38" s="82"/>
      <c r="VM38" s="90"/>
      <c r="VN38" s="87"/>
      <c r="VO38" s="87"/>
      <c r="VP38" s="87">
        <f t="shared" si="71"/>
        <v>0</v>
      </c>
      <c r="VQ38" s="114"/>
      <c r="VR38" s="89"/>
      <c r="VS38" s="82"/>
      <c r="VU38" s="90"/>
      <c r="VV38" s="87"/>
      <c r="VW38" s="87"/>
      <c r="VX38" s="87">
        <f t="shared" si="72"/>
        <v>0</v>
      </c>
      <c r="VY38" s="114"/>
      <c r="VZ38" s="89"/>
      <c r="WA38" s="82"/>
      <c r="WC38" s="90"/>
      <c r="WD38" s="87"/>
      <c r="WE38" s="87"/>
      <c r="WF38" s="87">
        <f t="shared" si="73"/>
        <v>0</v>
      </c>
      <c r="WG38" s="114"/>
      <c r="WH38" s="89"/>
      <c r="WI38" s="82"/>
      <c r="WK38" s="90"/>
      <c r="WL38" s="87"/>
      <c r="WM38" s="87"/>
      <c r="WN38" s="87">
        <f t="shared" si="74"/>
        <v>0</v>
      </c>
      <c r="WO38" s="114"/>
      <c r="WP38" s="89"/>
      <c r="WQ38" s="82"/>
      <c r="WS38" s="90"/>
      <c r="WT38" s="87"/>
      <c r="WU38" s="87"/>
      <c r="WV38" s="87">
        <f t="shared" si="75"/>
        <v>0</v>
      </c>
      <c r="WW38" s="114"/>
      <c r="WX38" s="89"/>
      <c r="WY38" s="82"/>
      <c r="XA38" s="90"/>
      <c r="XB38" s="87"/>
      <c r="XC38" s="87"/>
      <c r="XD38" s="87">
        <f t="shared" si="76"/>
        <v>0</v>
      </c>
      <c r="XE38" s="114"/>
      <c r="XF38" s="89"/>
      <c r="XG38" s="82"/>
      <c r="XI38" s="90"/>
      <c r="XJ38" s="87"/>
      <c r="XK38" s="87"/>
      <c r="XL38" s="87">
        <f t="shared" si="77"/>
        <v>0</v>
      </c>
      <c r="XM38" s="114"/>
      <c r="XN38" s="89"/>
      <c r="XO38" s="82"/>
      <c r="XQ38" s="90"/>
      <c r="XR38" s="87"/>
      <c r="XS38" s="87"/>
      <c r="XT38" s="87">
        <f t="shared" si="78"/>
        <v>0</v>
      </c>
      <c r="XU38" s="114"/>
      <c r="XV38" s="89"/>
      <c r="XW38" s="82"/>
      <c r="XY38" s="90"/>
      <c r="XZ38" s="87"/>
      <c r="YA38" s="87"/>
      <c r="YB38" s="87">
        <f t="shared" si="79"/>
        <v>0</v>
      </c>
      <c r="YC38" s="114"/>
      <c r="YD38" s="89"/>
      <c r="YE38" s="82"/>
      <c r="YG38" s="90"/>
      <c r="YH38" s="87"/>
      <c r="YI38" s="87"/>
      <c r="YJ38" s="87">
        <f t="shared" si="80"/>
        <v>0</v>
      </c>
      <c r="YK38" s="114"/>
      <c r="YL38" s="89"/>
      <c r="YM38" s="82"/>
      <c r="YO38" s="90"/>
      <c r="YP38" s="87"/>
      <c r="YQ38" s="87"/>
      <c r="YR38" s="87">
        <f t="shared" si="81"/>
        <v>0</v>
      </c>
      <c r="YS38" s="114"/>
      <c r="YT38" s="89"/>
      <c r="YU38" s="82"/>
      <c r="YW38" s="90"/>
      <c r="YX38" s="87"/>
      <c r="YY38" s="87"/>
      <c r="YZ38" s="87">
        <f t="shared" si="82"/>
        <v>0</v>
      </c>
      <c r="ZA38" s="114"/>
      <c r="ZB38" s="89"/>
      <c r="ZC38" s="82"/>
      <c r="ZE38" s="90"/>
      <c r="ZF38" s="87"/>
      <c r="ZG38" s="87"/>
      <c r="ZH38" s="87">
        <f t="shared" si="83"/>
        <v>0</v>
      </c>
      <c r="ZI38" s="114"/>
      <c r="ZJ38" s="89"/>
      <c r="ZK38" s="82"/>
      <c r="ZM38" s="90"/>
      <c r="ZN38" s="87"/>
      <c r="ZO38" s="87"/>
      <c r="ZP38" s="87">
        <f t="shared" si="84"/>
        <v>0</v>
      </c>
      <c r="ZQ38" s="114"/>
      <c r="ZR38" s="89"/>
      <c r="ZS38" s="82"/>
      <c r="ZU38" s="90"/>
      <c r="ZV38" s="87"/>
      <c r="ZW38" s="87"/>
      <c r="ZX38" s="87">
        <f t="shared" si="85"/>
        <v>0</v>
      </c>
      <c r="ZY38" s="114"/>
      <c r="ZZ38" s="89"/>
      <c r="AAA38" s="82"/>
      <c r="AAC38" s="90"/>
      <c r="AAD38" s="87"/>
      <c r="AAE38" s="87"/>
      <c r="AAF38" s="87">
        <f t="shared" si="86"/>
        <v>0</v>
      </c>
      <c r="AAG38" s="114"/>
      <c r="AAH38" s="89"/>
      <c r="AAI38" s="82"/>
      <c r="AAK38" s="90"/>
      <c r="AAL38" s="87"/>
      <c r="AAM38" s="87"/>
      <c r="AAN38" s="87">
        <f t="shared" si="87"/>
        <v>0</v>
      </c>
      <c r="AAO38" s="114"/>
      <c r="AAP38" s="89"/>
      <c r="AAQ38" s="82"/>
      <c r="AAS38" s="90"/>
      <c r="AAT38" s="87"/>
      <c r="AAU38" s="87"/>
      <c r="AAV38" s="87">
        <f t="shared" si="88"/>
        <v>0</v>
      </c>
      <c r="AAW38" s="114"/>
      <c r="AAX38" s="89"/>
      <c r="AAY38" s="82"/>
      <c r="ABA38" s="90"/>
      <c r="ABB38" s="87"/>
      <c r="ABC38" s="87"/>
      <c r="ABD38" s="87">
        <f t="shared" si="89"/>
        <v>0</v>
      </c>
      <c r="ABE38" s="114"/>
      <c r="ABF38" s="89"/>
      <c r="ABG38" s="82"/>
      <c r="ABI38" s="90"/>
      <c r="ABJ38" s="87"/>
      <c r="ABK38" s="87"/>
      <c r="ABL38" s="87">
        <f t="shared" si="90"/>
        <v>0</v>
      </c>
      <c r="ABM38" s="114"/>
      <c r="ABN38" s="89"/>
      <c r="ABO38" s="82"/>
      <c r="ABQ38" s="90"/>
      <c r="ABR38" s="87"/>
      <c r="ABS38" s="87"/>
      <c r="ABT38" s="87">
        <f t="shared" si="91"/>
        <v>0</v>
      </c>
      <c r="ABU38" s="114"/>
      <c r="ABV38" s="89"/>
      <c r="ABW38" s="82"/>
      <c r="ABY38" s="90"/>
      <c r="ABZ38" s="87"/>
      <c r="ACA38" s="87"/>
      <c r="ACB38" s="87">
        <f t="shared" si="92"/>
        <v>0</v>
      </c>
      <c r="ACC38" s="114"/>
      <c r="ACD38" s="89"/>
      <c r="ACE38" s="82"/>
    </row>
    <row r="39" spans="1:759" ht="12" customHeight="1" x14ac:dyDescent="0.25">
      <c r="A39" s="84"/>
      <c r="B39" s="85"/>
      <c r="C39" s="87"/>
      <c r="D39" s="87">
        <f t="shared" si="2"/>
        <v>1700</v>
      </c>
      <c r="E39" s="114"/>
      <c r="F39" s="212"/>
      <c r="G39" s="382"/>
      <c r="H39" s="72"/>
      <c r="I39" s="84"/>
      <c r="J39" s="87"/>
      <c r="K39" s="87"/>
      <c r="L39" s="87">
        <f t="shared" si="0"/>
        <v>1000</v>
      </c>
      <c r="M39" s="114"/>
      <c r="N39" s="89"/>
      <c r="O39" s="82"/>
      <c r="P39" s="72"/>
      <c r="Q39" s="90"/>
      <c r="R39" s="87"/>
      <c r="S39" s="87"/>
      <c r="T39" s="87">
        <f t="shared" si="1"/>
        <v>4000</v>
      </c>
      <c r="U39" s="114"/>
      <c r="V39" s="89"/>
      <c r="W39" s="82"/>
      <c r="X39" s="72"/>
      <c r="Y39" s="99"/>
      <c r="Z39" s="87"/>
      <c r="AA39" s="86"/>
      <c r="AB39" s="87">
        <f t="shared" si="3"/>
        <v>1000</v>
      </c>
      <c r="AC39" s="114"/>
      <c r="AD39" s="89"/>
      <c r="AE39" s="82"/>
      <c r="AF39" s="72"/>
      <c r="AG39" s="84"/>
      <c r="AH39" s="222"/>
      <c r="AI39" s="222"/>
      <c r="AJ39" s="87">
        <f t="shared" si="4"/>
        <v>2000</v>
      </c>
      <c r="AK39" s="114"/>
      <c r="AL39" s="89"/>
      <c r="AM39" s="82"/>
      <c r="AN39" s="72"/>
      <c r="AO39" s="90"/>
      <c r="AP39" s="222"/>
      <c r="AQ39" s="222"/>
      <c r="AR39" s="87">
        <f t="shared" si="5"/>
        <v>1000</v>
      </c>
      <c r="AS39" s="114"/>
      <c r="AT39" s="89"/>
      <c r="AU39" s="82"/>
      <c r="AV39" s="72"/>
      <c r="AW39" s="90"/>
      <c r="AX39" s="87"/>
      <c r="AY39" s="87"/>
      <c r="AZ39" s="87">
        <f t="shared" si="6"/>
        <v>1150</v>
      </c>
      <c r="BA39" s="114"/>
      <c r="BB39" s="211"/>
      <c r="BC39" s="82"/>
      <c r="BD39" s="72"/>
      <c r="BE39" s="90"/>
      <c r="BF39" s="87"/>
      <c r="BG39" s="87"/>
      <c r="BH39" s="87">
        <f t="shared" si="7"/>
        <v>7000</v>
      </c>
      <c r="BI39" s="114"/>
      <c r="BJ39" s="220"/>
      <c r="BK39" s="82"/>
      <c r="BL39" s="72"/>
      <c r="BM39" s="84"/>
      <c r="BN39" s="222"/>
      <c r="BO39" s="222"/>
      <c r="BP39" s="87">
        <f t="shared" si="8"/>
        <v>1000</v>
      </c>
      <c r="BQ39" s="114"/>
      <c r="BR39" s="89"/>
      <c r="BS39" s="82"/>
      <c r="BT39" s="72"/>
      <c r="BU39" s="90"/>
      <c r="BV39" s="87"/>
      <c r="BW39" s="87"/>
      <c r="BX39" s="87">
        <f t="shared" si="9"/>
        <v>0</v>
      </c>
      <c r="BY39" s="114"/>
      <c r="BZ39" s="89"/>
      <c r="CA39" s="82"/>
      <c r="CB39" s="72"/>
      <c r="CC39" s="90"/>
      <c r="CD39" s="87"/>
      <c r="CE39" s="87"/>
      <c r="CF39" s="87">
        <f t="shared" si="10"/>
        <v>0</v>
      </c>
      <c r="CG39" s="114"/>
      <c r="CH39" s="89"/>
      <c r="CI39" s="82"/>
      <c r="CJ39" s="72"/>
      <c r="CK39" s="90"/>
      <c r="CL39" s="87"/>
      <c r="CM39" s="87"/>
      <c r="CN39" s="87">
        <f t="shared" si="11"/>
        <v>0</v>
      </c>
      <c r="CO39" s="114"/>
      <c r="CP39" s="220"/>
      <c r="CQ39" s="82"/>
      <c r="CR39" s="72"/>
      <c r="CS39" s="90"/>
      <c r="CT39" s="87"/>
      <c r="CU39" s="87"/>
      <c r="CV39" s="87">
        <f t="shared" si="12"/>
        <v>0</v>
      </c>
      <c r="CW39" s="114"/>
      <c r="CX39" s="220"/>
      <c r="CY39" s="82"/>
      <c r="CZ39" s="72"/>
      <c r="DA39" s="84"/>
      <c r="DB39" s="87"/>
      <c r="DC39" s="87"/>
      <c r="DD39" s="87">
        <f t="shared" si="13"/>
        <v>0</v>
      </c>
      <c r="DE39" s="114"/>
      <c r="DF39" s="89"/>
      <c r="DG39" s="82"/>
      <c r="DH39" s="72"/>
      <c r="DI39" s="90"/>
      <c r="DJ39" s="87"/>
      <c r="DK39" s="87"/>
      <c r="DL39" s="87">
        <f t="shared" si="14"/>
        <v>0</v>
      </c>
      <c r="DM39" s="114"/>
      <c r="DN39" s="89"/>
      <c r="DO39" s="82"/>
      <c r="DP39" s="72"/>
      <c r="DQ39" s="90"/>
      <c r="DR39" s="87"/>
      <c r="DS39" s="87"/>
      <c r="DT39" s="87">
        <f t="shared" si="15"/>
        <v>0</v>
      </c>
      <c r="DU39" s="114"/>
      <c r="DV39" s="89"/>
      <c r="DW39" s="82"/>
      <c r="DX39" s="72"/>
      <c r="DY39" s="90"/>
      <c r="DZ39" s="87"/>
      <c r="EA39" s="87"/>
      <c r="EB39" s="87">
        <f t="shared" si="16"/>
        <v>0</v>
      </c>
      <c r="EC39" s="114"/>
      <c r="ED39" s="89"/>
      <c r="EE39" s="82"/>
      <c r="EF39" s="72"/>
      <c r="EG39" s="90"/>
      <c r="EH39" s="87"/>
      <c r="EI39" s="87"/>
      <c r="EJ39" s="87">
        <f t="shared" si="17"/>
        <v>0</v>
      </c>
      <c r="EK39" s="114"/>
      <c r="EL39" s="89"/>
      <c r="EM39" s="82"/>
      <c r="EO39" s="90"/>
      <c r="EP39" s="87"/>
      <c r="EQ39" s="87"/>
      <c r="ER39" s="87">
        <f t="shared" si="18"/>
        <v>0</v>
      </c>
      <c r="ES39" s="114"/>
      <c r="ET39" s="89"/>
      <c r="EU39" s="82"/>
      <c r="EW39" s="90"/>
      <c r="EX39" s="87"/>
      <c r="EY39" s="87"/>
      <c r="EZ39" s="87">
        <f t="shared" si="19"/>
        <v>0</v>
      </c>
      <c r="FA39" s="114"/>
      <c r="FB39" s="89"/>
      <c r="FC39" s="82"/>
      <c r="FE39" s="90"/>
      <c r="FF39" s="87"/>
      <c r="FG39" s="87"/>
      <c r="FH39" s="87">
        <f t="shared" si="93"/>
        <v>0</v>
      </c>
      <c r="FI39" s="114"/>
      <c r="FJ39" s="89"/>
      <c r="FK39" s="82"/>
      <c r="FM39" s="90"/>
      <c r="FN39" s="87"/>
      <c r="FO39" s="87"/>
      <c r="FP39" s="87">
        <f t="shared" si="20"/>
        <v>0</v>
      </c>
      <c r="FQ39" s="114"/>
      <c r="FR39" s="89"/>
      <c r="FS39" s="82"/>
      <c r="FT39" s="72"/>
      <c r="FU39" s="90"/>
      <c r="FV39" s="87"/>
      <c r="FW39" s="87"/>
      <c r="FX39" s="87">
        <f t="shared" si="21"/>
        <v>0</v>
      </c>
      <c r="FY39" s="165"/>
      <c r="FZ39" s="89"/>
      <c r="GA39" s="82"/>
      <c r="GC39" s="90"/>
      <c r="GD39" s="87"/>
      <c r="GE39" s="87"/>
      <c r="GF39" s="87">
        <f t="shared" si="22"/>
        <v>0</v>
      </c>
      <c r="GG39" s="114"/>
      <c r="GH39" s="89"/>
      <c r="GI39" s="82"/>
      <c r="GK39" s="90"/>
      <c r="GL39" s="87"/>
      <c r="GM39" s="87"/>
      <c r="GN39" s="87">
        <f t="shared" si="23"/>
        <v>0</v>
      </c>
      <c r="GO39" s="114"/>
      <c r="GP39" s="89"/>
      <c r="GQ39" s="82"/>
      <c r="GS39" s="90"/>
      <c r="GT39" s="87"/>
      <c r="GU39" s="87"/>
      <c r="GV39" s="87">
        <f t="shared" si="24"/>
        <v>0</v>
      </c>
      <c r="GW39" s="114"/>
      <c r="GX39" s="89"/>
      <c r="GY39" s="82"/>
      <c r="HA39" s="90"/>
      <c r="HB39" s="87"/>
      <c r="HC39" s="87"/>
      <c r="HD39" s="87">
        <f t="shared" si="25"/>
        <v>0</v>
      </c>
      <c r="HE39" s="114"/>
      <c r="HF39" s="89"/>
      <c r="HG39" s="82"/>
      <c r="HI39" s="90"/>
      <c r="HJ39" s="87"/>
      <c r="HK39" s="87"/>
      <c r="HL39" s="87">
        <f t="shared" si="26"/>
        <v>0</v>
      </c>
      <c r="HM39" s="114"/>
      <c r="HN39" s="89"/>
      <c r="HO39" s="82"/>
      <c r="HQ39" s="90"/>
      <c r="HR39" s="87"/>
      <c r="HS39" s="87"/>
      <c r="HT39" s="87">
        <f t="shared" si="27"/>
        <v>0</v>
      </c>
      <c r="HU39" s="114"/>
      <c r="HV39" s="89"/>
      <c r="HW39" s="82"/>
      <c r="HY39" s="90"/>
      <c r="HZ39" s="87"/>
      <c r="IA39" s="87"/>
      <c r="IB39" s="87">
        <f t="shared" si="28"/>
        <v>0</v>
      </c>
      <c r="IC39" s="114"/>
      <c r="ID39" s="89"/>
      <c r="IE39" s="82"/>
      <c r="IG39" s="90"/>
      <c r="IH39" s="87"/>
      <c r="II39" s="87"/>
      <c r="IJ39" s="87">
        <f t="shared" si="29"/>
        <v>0</v>
      </c>
      <c r="IK39" s="114"/>
      <c r="IL39" s="89"/>
      <c r="IM39" s="82"/>
      <c r="IO39" s="90"/>
      <c r="IP39" s="87"/>
      <c r="IQ39" s="87"/>
      <c r="IR39" s="87">
        <f t="shared" si="30"/>
        <v>0</v>
      </c>
      <c r="IS39" s="114"/>
      <c r="IT39" s="89"/>
      <c r="IU39" s="82"/>
      <c r="IW39" s="90"/>
      <c r="IX39" s="87"/>
      <c r="IY39" s="87"/>
      <c r="IZ39" s="87">
        <f t="shared" si="31"/>
        <v>0</v>
      </c>
      <c r="JA39" s="114"/>
      <c r="JB39" s="89"/>
      <c r="JC39" s="82"/>
      <c r="JE39" s="90"/>
      <c r="JF39" s="87"/>
      <c r="JG39" s="87"/>
      <c r="JH39" s="87">
        <f t="shared" si="32"/>
        <v>0</v>
      </c>
      <c r="JI39" s="114"/>
      <c r="JJ39" s="89"/>
      <c r="JK39" s="82"/>
      <c r="JM39" s="90"/>
      <c r="JN39" s="87"/>
      <c r="JO39" s="87"/>
      <c r="JP39" s="87">
        <f t="shared" si="33"/>
        <v>0</v>
      </c>
      <c r="JQ39" s="114"/>
      <c r="JR39" s="91"/>
      <c r="JS39" s="82"/>
      <c r="JU39" s="90"/>
      <c r="JV39" s="87"/>
      <c r="JW39" s="87"/>
      <c r="JX39" s="87">
        <f t="shared" si="94"/>
        <v>0</v>
      </c>
      <c r="JY39" s="114"/>
      <c r="JZ39" s="89"/>
      <c r="KA39" s="82"/>
      <c r="KC39" s="90"/>
      <c r="KD39" s="87"/>
      <c r="KE39" s="87"/>
      <c r="KF39" s="87">
        <f t="shared" si="34"/>
        <v>0</v>
      </c>
      <c r="KG39" s="114"/>
      <c r="KH39" s="86"/>
      <c r="KI39" s="109"/>
      <c r="KK39" s="90"/>
      <c r="KL39" s="87"/>
      <c r="KM39" s="87"/>
      <c r="KN39" s="87">
        <f t="shared" si="35"/>
        <v>0</v>
      </c>
      <c r="KO39" s="114"/>
      <c r="KP39" s="89"/>
      <c r="KQ39" s="82"/>
      <c r="KS39" s="90"/>
      <c r="KT39" s="87"/>
      <c r="KU39" s="87"/>
      <c r="KV39" s="87">
        <f t="shared" si="36"/>
        <v>0</v>
      </c>
      <c r="KW39" s="114"/>
      <c r="KX39" s="89"/>
      <c r="KY39" s="82"/>
      <c r="LA39" s="90"/>
      <c r="LB39" s="87"/>
      <c r="LC39" s="87"/>
      <c r="LD39" s="87">
        <f t="shared" si="37"/>
        <v>0</v>
      </c>
      <c r="LE39" s="114"/>
      <c r="LF39" s="89"/>
      <c r="LG39" s="82"/>
      <c r="LI39" s="99"/>
      <c r="LJ39" s="87"/>
      <c r="LK39" s="87"/>
      <c r="LL39" s="87">
        <f t="shared" si="38"/>
        <v>0</v>
      </c>
      <c r="LM39" s="114"/>
      <c r="LN39" s="89"/>
      <c r="LO39" s="42"/>
      <c r="LQ39" s="90"/>
      <c r="LR39" s="87"/>
      <c r="LS39" s="87"/>
      <c r="LT39" s="87">
        <f t="shared" si="39"/>
        <v>0</v>
      </c>
      <c r="LU39" s="114"/>
      <c r="LV39" s="89"/>
      <c r="LW39" s="82"/>
      <c r="LY39" s="84"/>
      <c r="LZ39" s="87"/>
      <c r="MA39" s="87"/>
      <c r="MB39" s="87">
        <f t="shared" si="40"/>
        <v>0</v>
      </c>
      <c r="MC39" s="114"/>
      <c r="MD39" s="89"/>
      <c r="ME39" s="82"/>
      <c r="MG39" s="90"/>
      <c r="MH39" s="87"/>
      <c r="MI39" s="87"/>
      <c r="MJ39" s="87">
        <f t="shared" si="41"/>
        <v>0</v>
      </c>
      <c r="MK39" s="114"/>
      <c r="ML39" s="89"/>
      <c r="MM39" s="82"/>
      <c r="MO39" s="90"/>
      <c r="MP39" s="87"/>
      <c r="MQ39" s="87"/>
      <c r="MR39" s="87">
        <f t="shared" si="42"/>
        <v>0</v>
      </c>
      <c r="MS39" s="114"/>
      <c r="MT39" s="89"/>
      <c r="MU39" s="82"/>
      <c r="MW39" s="90"/>
      <c r="MX39" s="87"/>
      <c r="MY39" s="87"/>
      <c r="MZ39" s="87">
        <f t="shared" si="43"/>
        <v>0</v>
      </c>
      <c r="NA39" s="114"/>
      <c r="NB39" s="89"/>
      <c r="NC39" s="82"/>
      <c r="NE39" s="90"/>
      <c r="NF39" s="87"/>
      <c r="NG39" s="87"/>
      <c r="NH39" s="87">
        <f t="shared" si="44"/>
        <v>0</v>
      </c>
      <c r="NI39" s="114"/>
      <c r="NJ39" s="89"/>
      <c r="NK39" s="82"/>
      <c r="NM39" s="90"/>
      <c r="NN39" s="87"/>
      <c r="NO39" s="87"/>
      <c r="NP39" s="87">
        <f t="shared" si="45"/>
        <v>0</v>
      </c>
      <c r="NQ39" s="114"/>
      <c r="NR39" s="89"/>
      <c r="NS39" s="82"/>
      <c r="NU39" s="90"/>
      <c r="NV39" s="87"/>
      <c r="NW39" s="87"/>
      <c r="NX39" s="87">
        <f t="shared" si="46"/>
        <v>0</v>
      </c>
      <c r="NY39" s="114"/>
      <c r="NZ39" s="89"/>
      <c r="OA39" s="82"/>
      <c r="OC39" s="90"/>
      <c r="OD39" s="87"/>
      <c r="OE39" s="87"/>
      <c r="OF39" s="87">
        <f t="shared" si="47"/>
        <v>0</v>
      </c>
      <c r="OG39" s="114"/>
      <c r="OH39" s="89"/>
      <c r="OI39" s="82"/>
      <c r="OK39" s="90"/>
      <c r="OL39" s="87"/>
      <c r="OM39" s="87"/>
      <c r="ON39" s="87">
        <f t="shared" si="48"/>
        <v>0</v>
      </c>
      <c r="OO39" s="114"/>
      <c r="OP39" s="91"/>
      <c r="OQ39" s="82"/>
      <c r="OS39" s="90"/>
      <c r="OT39" s="87"/>
      <c r="OU39" s="87"/>
      <c r="OV39" s="87">
        <f t="shared" si="49"/>
        <v>0</v>
      </c>
      <c r="OW39" s="114"/>
      <c r="OX39" s="89"/>
      <c r="OY39" s="82"/>
      <c r="PA39" s="90"/>
      <c r="PB39" s="87"/>
      <c r="PC39" s="87"/>
      <c r="PD39" s="87">
        <f t="shared" si="50"/>
        <v>0</v>
      </c>
      <c r="PE39" s="114"/>
      <c r="PF39" s="89"/>
      <c r="PG39" s="82"/>
      <c r="PI39" s="90"/>
      <c r="PJ39" s="87"/>
      <c r="PK39" s="87"/>
      <c r="PL39" s="87">
        <f t="shared" si="51"/>
        <v>0</v>
      </c>
      <c r="PM39" s="114"/>
      <c r="PN39" s="211"/>
      <c r="PO39" s="216"/>
      <c r="PQ39" s="90"/>
      <c r="PR39" s="87"/>
      <c r="PS39" s="87"/>
      <c r="PT39" s="87">
        <f t="shared" si="52"/>
        <v>0</v>
      </c>
      <c r="PU39" s="114"/>
      <c r="PV39" s="89"/>
      <c r="PW39" s="82"/>
      <c r="PY39" s="90"/>
      <c r="PZ39" s="87"/>
      <c r="QA39" s="87"/>
      <c r="QB39" s="87">
        <f t="shared" si="53"/>
        <v>0</v>
      </c>
      <c r="QC39" s="114"/>
      <c r="QD39" s="89"/>
      <c r="QE39" s="82"/>
      <c r="QG39" s="90"/>
      <c r="QH39" s="87"/>
      <c r="QI39" s="87"/>
      <c r="QJ39" s="87">
        <f t="shared" si="54"/>
        <v>0</v>
      </c>
      <c r="QK39" s="114"/>
      <c r="QL39" s="89"/>
      <c r="QM39" s="82"/>
      <c r="QO39" s="90"/>
      <c r="QP39" s="87"/>
      <c r="QQ39" s="87"/>
      <c r="QR39" s="87">
        <f t="shared" si="55"/>
        <v>0</v>
      </c>
      <c r="QS39" s="114"/>
      <c r="QT39" s="211"/>
      <c r="QU39" s="216"/>
      <c r="QW39" s="90"/>
      <c r="QX39" s="87"/>
      <c r="QY39" s="87"/>
      <c r="QZ39" s="87">
        <f t="shared" si="56"/>
        <v>0</v>
      </c>
      <c r="RA39" s="114"/>
      <c r="RB39" s="89"/>
      <c r="RC39" s="82"/>
      <c r="RE39" s="90"/>
      <c r="RF39" s="87"/>
      <c r="RG39" s="87"/>
      <c r="RH39" s="87">
        <f t="shared" si="57"/>
        <v>0</v>
      </c>
      <c r="RI39" s="114"/>
      <c r="RJ39" s="89"/>
      <c r="RK39" s="170"/>
      <c r="RM39" s="90"/>
      <c r="RN39" s="87"/>
      <c r="RO39" s="87"/>
      <c r="RP39" s="87">
        <f t="shared" si="58"/>
        <v>0</v>
      </c>
      <c r="RQ39" s="114"/>
      <c r="RR39" s="89"/>
      <c r="RS39" s="82"/>
      <c r="RU39" s="90"/>
      <c r="RV39" s="87"/>
      <c r="RW39" s="87"/>
      <c r="RX39" s="87">
        <f t="shared" si="59"/>
        <v>0</v>
      </c>
      <c r="RY39" s="114"/>
      <c r="RZ39" s="89"/>
      <c r="SA39" s="82"/>
      <c r="SC39" s="90"/>
      <c r="SD39" s="87"/>
      <c r="SE39" s="87"/>
      <c r="SF39" s="87">
        <f t="shared" si="60"/>
        <v>0</v>
      </c>
      <c r="SG39" s="114"/>
      <c r="SH39" s="89"/>
      <c r="SI39" s="82"/>
      <c r="SK39" s="90"/>
      <c r="SL39" s="87"/>
      <c r="SM39" s="87"/>
      <c r="SN39" s="87">
        <f t="shared" si="61"/>
        <v>0</v>
      </c>
      <c r="SO39" s="114"/>
      <c r="SP39" s="89"/>
      <c r="SQ39" s="82"/>
      <c r="SS39" s="90"/>
      <c r="ST39" s="87"/>
      <c r="SU39" s="87"/>
      <c r="SV39" s="87">
        <f t="shared" si="62"/>
        <v>0</v>
      </c>
      <c r="SW39" s="114"/>
      <c r="SX39" s="89"/>
      <c r="SY39" s="82"/>
      <c r="TA39" s="90"/>
      <c r="TB39" s="87"/>
      <c r="TC39" s="87"/>
      <c r="TD39" s="87">
        <f t="shared" si="63"/>
        <v>0</v>
      </c>
      <c r="TE39" s="114"/>
      <c r="TF39" s="89"/>
      <c r="TG39" s="82"/>
      <c r="TI39" s="90"/>
      <c r="TJ39" s="87"/>
      <c r="TK39" s="87"/>
      <c r="TL39" s="87">
        <f t="shared" si="64"/>
        <v>0</v>
      </c>
      <c r="TM39" s="114"/>
      <c r="TN39" s="89"/>
      <c r="TO39" s="82"/>
      <c r="TQ39" s="90"/>
      <c r="TR39" s="87"/>
      <c r="TS39" s="87"/>
      <c r="TT39" s="87">
        <f t="shared" si="65"/>
        <v>0</v>
      </c>
      <c r="TU39" s="114"/>
      <c r="TV39" s="91"/>
      <c r="TW39" s="82"/>
      <c r="TY39" s="90"/>
      <c r="TZ39" s="87"/>
      <c r="UA39" s="87"/>
      <c r="UB39" s="87">
        <f t="shared" si="66"/>
        <v>0</v>
      </c>
      <c r="UC39" s="114"/>
      <c r="UD39" s="89"/>
      <c r="UE39" s="82"/>
      <c r="UG39" s="90"/>
      <c r="UH39" s="87"/>
      <c r="UI39" s="87"/>
      <c r="UJ39" s="87">
        <f t="shared" si="67"/>
        <v>0</v>
      </c>
      <c r="UK39" s="114"/>
      <c r="UL39" s="89"/>
      <c r="UM39" s="82"/>
      <c r="UO39" s="90"/>
      <c r="UP39" s="87"/>
      <c r="UQ39" s="87"/>
      <c r="UR39" s="87">
        <f t="shared" si="68"/>
        <v>0</v>
      </c>
      <c r="US39" s="114"/>
      <c r="UT39" s="89"/>
      <c r="UU39" s="82"/>
      <c r="UW39" s="90"/>
      <c r="UX39" s="87"/>
      <c r="UY39" s="87"/>
      <c r="UZ39" s="87">
        <f t="shared" si="69"/>
        <v>0</v>
      </c>
      <c r="VA39" s="114"/>
      <c r="VB39" s="89"/>
      <c r="VC39" s="82"/>
      <c r="VE39" s="90"/>
      <c r="VF39" s="87"/>
      <c r="VG39" s="87"/>
      <c r="VH39" s="87">
        <f t="shared" si="70"/>
        <v>0</v>
      </c>
      <c r="VI39" s="114"/>
      <c r="VJ39" s="89"/>
      <c r="VK39" s="82"/>
      <c r="VM39" s="90"/>
      <c r="VN39" s="87"/>
      <c r="VO39" s="87"/>
      <c r="VP39" s="87">
        <f t="shared" si="71"/>
        <v>0</v>
      </c>
      <c r="VQ39" s="114"/>
      <c r="VR39" s="89"/>
      <c r="VS39" s="82"/>
      <c r="VU39" s="90"/>
      <c r="VV39" s="87"/>
      <c r="VW39" s="87"/>
      <c r="VX39" s="87">
        <f t="shared" si="72"/>
        <v>0</v>
      </c>
      <c r="VY39" s="114"/>
      <c r="VZ39" s="89"/>
      <c r="WA39" s="82"/>
      <c r="WC39" s="90"/>
      <c r="WD39" s="87"/>
      <c r="WE39" s="87"/>
      <c r="WF39" s="87">
        <f t="shared" si="73"/>
        <v>0</v>
      </c>
      <c r="WG39" s="114"/>
      <c r="WH39" s="89"/>
      <c r="WI39" s="82"/>
      <c r="WK39" s="90"/>
      <c r="WL39" s="87"/>
      <c r="WM39" s="87"/>
      <c r="WN39" s="87">
        <f t="shared" si="74"/>
        <v>0</v>
      </c>
      <c r="WO39" s="114"/>
      <c r="WP39" s="89"/>
      <c r="WQ39" s="82"/>
      <c r="WS39" s="90"/>
      <c r="WT39" s="87"/>
      <c r="WU39" s="87"/>
      <c r="WV39" s="87">
        <f t="shared" si="75"/>
        <v>0</v>
      </c>
      <c r="WW39" s="114"/>
      <c r="WX39" s="89"/>
      <c r="WY39" s="82"/>
      <c r="XA39" s="90"/>
      <c r="XB39" s="87"/>
      <c r="XC39" s="87"/>
      <c r="XD39" s="87">
        <f t="shared" si="76"/>
        <v>0</v>
      </c>
      <c r="XE39" s="114"/>
      <c r="XF39" s="89"/>
      <c r="XG39" s="82"/>
      <c r="XI39" s="90"/>
      <c r="XJ39" s="87"/>
      <c r="XK39" s="87"/>
      <c r="XL39" s="87">
        <f t="shared" si="77"/>
        <v>0</v>
      </c>
      <c r="XM39" s="114"/>
      <c r="XN39" s="89"/>
      <c r="XO39" s="82"/>
      <c r="XQ39" s="90"/>
      <c r="XR39" s="87"/>
      <c r="XS39" s="87"/>
      <c r="XT39" s="87">
        <f t="shared" si="78"/>
        <v>0</v>
      </c>
      <c r="XU39" s="114"/>
      <c r="XV39" s="89"/>
      <c r="XW39" s="82"/>
      <c r="XY39" s="90"/>
      <c r="XZ39" s="87"/>
      <c r="YA39" s="87"/>
      <c r="YB39" s="87">
        <f t="shared" si="79"/>
        <v>0</v>
      </c>
      <c r="YC39" s="114"/>
      <c r="YD39" s="89"/>
      <c r="YE39" s="82"/>
      <c r="YG39" s="90"/>
      <c r="YH39" s="87"/>
      <c r="YI39" s="87"/>
      <c r="YJ39" s="87">
        <f t="shared" si="80"/>
        <v>0</v>
      </c>
      <c r="YK39" s="114"/>
      <c r="YL39" s="89"/>
      <c r="YM39" s="82"/>
      <c r="YO39" s="90"/>
      <c r="YP39" s="87"/>
      <c r="YQ39" s="87"/>
      <c r="YR39" s="87">
        <f t="shared" si="81"/>
        <v>0</v>
      </c>
      <c r="YS39" s="114"/>
      <c r="YT39" s="89"/>
      <c r="YU39" s="82"/>
      <c r="YW39" s="90"/>
      <c r="YX39" s="87"/>
      <c r="YY39" s="87"/>
      <c r="YZ39" s="87">
        <f t="shared" si="82"/>
        <v>0</v>
      </c>
      <c r="ZA39" s="114"/>
      <c r="ZB39" s="89"/>
      <c r="ZC39" s="82"/>
      <c r="ZE39" s="90"/>
      <c r="ZF39" s="87"/>
      <c r="ZG39" s="87"/>
      <c r="ZH39" s="87">
        <f t="shared" si="83"/>
        <v>0</v>
      </c>
      <c r="ZI39" s="114"/>
      <c r="ZJ39" s="89"/>
      <c r="ZK39" s="82"/>
      <c r="ZM39" s="90"/>
      <c r="ZN39" s="87"/>
      <c r="ZO39" s="87"/>
      <c r="ZP39" s="87">
        <f t="shared" si="84"/>
        <v>0</v>
      </c>
      <c r="ZQ39" s="114"/>
      <c r="ZR39" s="89"/>
      <c r="ZS39" s="82"/>
      <c r="ZU39" s="90"/>
      <c r="ZV39" s="87"/>
      <c r="ZW39" s="87"/>
      <c r="ZX39" s="87">
        <f t="shared" si="85"/>
        <v>0</v>
      </c>
      <c r="ZY39" s="114"/>
      <c r="ZZ39" s="89"/>
      <c r="AAA39" s="82"/>
      <c r="AAC39" s="90"/>
      <c r="AAD39" s="87"/>
      <c r="AAE39" s="87"/>
      <c r="AAF39" s="87">
        <f t="shared" si="86"/>
        <v>0</v>
      </c>
      <c r="AAG39" s="114"/>
      <c r="AAH39" s="89"/>
      <c r="AAI39" s="82"/>
      <c r="AAK39" s="90"/>
      <c r="AAL39" s="87"/>
      <c r="AAM39" s="87"/>
      <c r="AAN39" s="87">
        <f t="shared" si="87"/>
        <v>0</v>
      </c>
      <c r="AAO39" s="114"/>
      <c r="AAP39" s="89"/>
      <c r="AAQ39" s="82"/>
      <c r="AAS39" s="90"/>
      <c r="AAT39" s="87"/>
      <c r="AAU39" s="87"/>
      <c r="AAV39" s="87">
        <f t="shared" si="88"/>
        <v>0</v>
      </c>
      <c r="AAW39" s="114"/>
      <c r="AAX39" s="89"/>
      <c r="AAY39" s="82"/>
      <c r="ABA39" s="90"/>
      <c r="ABB39" s="87"/>
      <c r="ABC39" s="87"/>
      <c r="ABD39" s="87">
        <f t="shared" si="89"/>
        <v>0</v>
      </c>
      <c r="ABE39" s="114"/>
      <c r="ABF39" s="89"/>
      <c r="ABG39" s="82"/>
      <c r="ABI39" s="90"/>
      <c r="ABJ39" s="87"/>
      <c r="ABK39" s="87"/>
      <c r="ABL39" s="87">
        <f t="shared" si="90"/>
        <v>0</v>
      </c>
      <c r="ABM39" s="114"/>
      <c r="ABN39" s="89"/>
      <c r="ABO39" s="82"/>
      <c r="ABQ39" s="90"/>
      <c r="ABR39" s="87"/>
      <c r="ABS39" s="87"/>
      <c r="ABT39" s="87">
        <f t="shared" si="91"/>
        <v>0</v>
      </c>
      <c r="ABU39" s="114"/>
      <c r="ABV39" s="89"/>
      <c r="ABW39" s="82"/>
      <c r="ABY39" s="90"/>
      <c r="ABZ39" s="87"/>
      <c r="ACA39" s="87"/>
      <c r="ACB39" s="87">
        <f t="shared" si="92"/>
        <v>0</v>
      </c>
      <c r="ACC39" s="114"/>
      <c r="ACD39" s="89"/>
      <c r="ACE39" s="82"/>
    </row>
    <row r="40" spans="1:759" ht="12" customHeight="1" x14ac:dyDescent="0.25">
      <c r="A40" s="84"/>
      <c r="B40" s="85"/>
      <c r="C40" s="87"/>
      <c r="D40" s="87">
        <f t="shared" si="2"/>
        <v>1700</v>
      </c>
      <c r="E40" s="114"/>
      <c r="F40" s="211"/>
      <c r="G40" s="382"/>
      <c r="H40" s="72"/>
      <c r="I40" s="84"/>
      <c r="J40" s="87"/>
      <c r="K40" s="87"/>
      <c r="L40" s="87">
        <f t="shared" si="0"/>
        <v>1000</v>
      </c>
      <c r="M40" s="114"/>
      <c r="N40" s="89"/>
      <c r="O40" s="82"/>
      <c r="P40" s="72"/>
      <c r="Q40" s="90"/>
      <c r="R40" s="87"/>
      <c r="S40" s="87"/>
      <c r="T40" s="87">
        <f t="shared" si="1"/>
        <v>4000</v>
      </c>
      <c r="U40" s="114"/>
      <c r="V40" s="89"/>
      <c r="W40" s="82"/>
      <c r="X40" s="72"/>
      <c r="Y40" s="84"/>
      <c r="Z40" s="87"/>
      <c r="AA40" s="86"/>
      <c r="AB40" s="87">
        <f t="shared" si="3"/>
        <v>1000</v>
      </c>
      <c r="AC40" s="114"/>
      <c r="AD40" s="89"/>
      <c r="AE40" s="82"/>
      <c r="AF40" s="72"/>
      <c r="AG40" s="84"/>
      <c r="AH40" s="222"/>
      <c r="AI40" s="222"/>
      <c r="AJ40" s="87">
        <f t="shared" si="4"/>
        <v>2000</v>
      </c>
      <c r="AK40" s="114"/>
      <c r="AL40" s="89"/>
      <c r="AM40" s="82"/>
      <c r="AN40" s="72"/>
      <c r="AO40" s="90"/>
      <c r="AP40" s="222"/>
      <c r="AQ40" s="222"/>
      <c r="AR40" s="87">
        <f t="shared" si="5"/>
        <v>1000</v>
      </c>
      <c r="AS40" s="114"/>
      <c r="AT40" s="89"/>
      <c r="AU40" s="82"/>
      <c r="AV40" s="72"/>
      <c r="AW40" s="90"/>
      <c r="AX40" s="87"/>
      <c r="AY40" s="87"/>
      <c r="AZ40" s="87">
        <f t="shared" si="6"/>
        <v>1150</v>
      </c>
      <c r="BA40" s="114"/>
      <c r="BB40" s="211"/>
      <c r="BC40" s="82"/>
      <c r="BD40" s="72"/>
      <c r="BE40" s="90"/>
      <c r="BF40" s="87"/>
      <c r="BG40" s="87"/>
      <c r="BH40" s="87">
        <f t="shared" si="7"/>
        <v>7000</v>
      </c>
      <c r="BI40" s="114"/>
      <c r="BJ40" s="220"/>
      <c r="BK40" s="82"/>
      <c r="BL40" s="72"/>
      <c r="BM40" s="84"/>
      <c r="BN40" s="222"/>
      <c r="BO40" s="222"/>
      <c r="BP40" s="87">
        <f t="shared" si="8"/>
        <v>1000</v>
      </c>
      <c r="BQ40" s="114"/>
      <c r="BR40" s="89"/>
      <c r="BS40" s="82"/>
      <c r="BT40" s="72"/>
      <c r="BU40" s="90"/>
      <c r="BV40" s="87"/>
      <c r="BW40" s="87"/>
      <c r="BX40" s="87">
        <f t="shared" si="9"/>
        <v>0</v>
      </c>
      <c r="BY40" s="114"/>
      <c r="BZ40" s="89"/>
      <c r="CA40" s="82"/>
      <c r="CB40" s="72"/>
      <c r="CC40" s="90"/>
      <c r="CD40" s="87"/>
      <c r="CE40" s="87"/>
      <c r="CF40" s="87">
        <f t="shared" si="10"/>
        <v>0</v>
      </c>
      <c r="CG40" s="114"/>
      <c r="CH40" s="89"/>
      <c r="CI40" s="82"/>
      <c r="CJ40" s="72"/>
      <c r="CK40" s="90"/>
      <c r="CL40" s="87"/>
      <c r="CM40" s="87"/>
      <c r="CN40" s="87">
        <f t="shared" si="11"/>
        <v>0</v>
      </c>
      <c r="CO40" s="114"/>
      <c r="CP40" s="220"/>
      <c r="CQ40" s="82"/>
      <c r="CR40" s="72"/>
      <c r="CS40" s="90"/>
      <c r="CT40" s="87"/>
      <c r="CU40" s="87"/>
      <c r="CV40" s="87">
        <f t="shared" si="12"/>
        <v>0</v>
      </c>
      <c r="CW40" s="114"/>
      <c r="CX40" s="220"/>
      <c r="CY40" s="82"/>
      <c r="CZ40" s="72"/>
      <c r="DA40" s="84"/>
      <c r="DB40" s="87"/>
      <c r="DC40" s="87"/>
      <c r="DD40" s="87">
        <f t="shared" si="13"/>
        <v>0</v>
      </c>
      <c r="DE40" s="114"/>
      <c r="DF40" s="89"/>
      <c r="DG40" s="82"/>
      <c r="DH40" s="72"/>
      <c r="DI40" s="90"/>
      <c r="DJ40" s="87"/>
      <c r="DK40" s="87"/>
      <c r="DL40" s="87">
        <f t="shared" si="14"/>
        <v>0</v>
      </c>
      <c r="DM40" s="114"/>
      <c r="DN40" s="89"/>
      <c r="DO40" s="82"/>
      <c r="DP40" s="72"/>
      <c r="DQ40" s="90"/>
      <c r="DR40" s="87"/>
      <c r="DS40" s="87"/>
      <c r="DT40" s="87">
        <f t="shared" si="15"/>
        <v>0</v>
      </c>
      <c r="DU40" s="114"/>
      <c r="DV40" s="89"/>
      <c r="DW40" s="82"/>
      <c r="DX40" s="72"/>
      <c r="DY40" s="90"/>
      <c r="DZ40" s="87"/>
      <c r="EA40" s="87"/>
      <c r="EB40" s="87">
        <f t="shared" si="16"/>
        <v>0</v>
      </c>
      <c r="EC40" s="114"/>
      <c r="ED40" s="89"/>
      <c r="EE40" s="82"/>
      <c r="EF40" s="72"/>
      <c r="EG40" s="90"/>
      <c r="EH40" s="87"/>
      <c r="EI40" s="87"/>
      <c r="EJ40" s="87">
        <f t="shared" si="17"/>
        <v>0</v>
      </c>
      <c r="EK40" s="114"/>
      <c r="EL40" s="89"/>
      <c r="EM40" s="82"/>
      <c r="EO40" s="90"/>
      <c r="EP40" s="87"/>
      <c r="EQ40" s="87"/>
      <c r="ER40" s="87">
        <f t="shared" si="18"/>
        <v>0</v>
      </c>
      <c r="ES40" s="114"/>
      <c r="ET40" s="89"/>
      <c r="EU40" s="82"/>
      <c r="EW40" s="90"/>
      <c r="EX40" s="87"/>
      <c r="EY40" s="87"/>
      <c r="EZ40" s="87">
        <f t="shared" si="19"/>
        <v>0</v>
      </c>
      <c r="FA40" s="114"/>
      <c r="FB40" s="89"/>
      <c r="FC40" s="82"/>
      <c r="FE40" s="90"/>
      <c r="FF40" s="87"/>
      <c r="FG40" s="87"/>
      <c r="FH40" s="87">
        <f t="shared" si="93"/>
        <v>0</v>
      </c>
      <c r="FI40" s="114"/>
      <c r="FJ40" s="89"/>
      <c r="FK40" s="82"/>
      <c r="FM40" s="90"/>
      <c r="FN40" s="87"/>
      <c r="FO40" s="87"/>
      <c r="FP40" s="87">
        <f t="shared" si="20"/>
        <v>0</v>
      </c>
      <c r="FQ40" s="114"/>
      <c r="FR40" s="89"/>
      <c r="FS40" s="82"/>
      <c r="FT40" s="72"/>
      <c r="FU40" s="90"/>
      <c r="FV40" s="87"/>
      <c r="FW40" s="87"/>
      <c r="FX40" s="87">
        <f t="shared" si="21"/>
        <v>0</v>
      </c>
      <c r="FY40" s="165"/>
      <c r="FZ40" s="89"/>
      <c r="GA40" s="82"/>
      <c r="GC40" s="90"/>
      <c r="GD40" s="87"/>
      <c r="GE40" s="87"/>
      <c r="GF40" s="87">
        <f t="shared" si="22"/>
        <v>0</v>
      </c>
      <c r="GG40" s="114"/>
      <c r="GH40" s="89"/>
      <c r="GI40" s="82"/>
      <c r="GK40" s="90"/>
      <c r="GL40" s="87"/>
      <c r="GM40" s="87"/>
      <c r="GN40" s="87">
        <f t="shared" si="23"/>
        <v>0</v>
      </c>
      <c r="GO40" s="114"/>
      <c r="GP40" s="89"/>
      <c r="GQ40" s="82"/>
      <c r="GS40" s="90"/>
      <c r="GT40" s="87"/>
      <c r="GU40" s="87"/>
      <c r="GV40" s="87">
        <f t="shared" si="24"/>
        <v>0</v>
      </c>
      <c r="GW40" s="114"/>
      <c r="GX40" s="89"/>
      <c r="GY40" s="82"/>
      <c r="HA40" s="90"/>
      <c r="HB40" s="87"/>
      <c r="HC40" s="87"/>
      <c r="HD40" s="87">
        <f t="shared" si="25"/>
        <v>0</v>
      </c>
      <c r="HE40" s="114"/>
      <c r="HF40" s="89"/>
      <c r="HG40" s="82"/>
      <c r="HI40" s="90"/>
      <c r="HJ40" s="87"/>
      <c r="HK40" s="87"/>
      <c r="HL40" s="87">
        <f t="shared" si="26"/>
        <v>0</v>
      </c>
      <c r="HM40" s="114"/>
      <c r="HN40" s="89"/>
      <c r="HO40" s="82"/>
      <c r="HQ40" s="90"/>
      <c r="HR40" s="87"/>
      <c r="HS40" s="87"/>
      <c r="HT40" s="87">
        <f t="shared" si="27"/>
        <v>0</v>
      </c>
      <c r="HU40" s="114"/>
      <c r="HV40" s="89"/>
      <c r="HW40" s="82"/>
      <c r="HY40" s="90"/>
      <c r="HZ40" s="87"/>
      <c r="IA40" s="87"/>
      <c r="IB40" s="87">
        <f t="shared" si="28"/>
        <v>0</v>
      </c>
      <c r="IC40" s="114"/>
      <c r="ID40" s="89"/>
      <c r="IE40" s="82"/>
      <c r="IG40" s="90"/>
      <c r="IH40" s="87"/>
      <c r="II40" s="87"/>
      <c r="IJ40" s="87">
        <f t="shared" si="29"/>
        <v>0</v>
      </c>
      <c r="IK40" s="114"/>
      <c r="IL40" s="89"/>
      <c r="IM40" s="82"/>
      <c r="IO40" s="90"/>
      <c r="IP40" s="87"/>
      <c r="IQ40" s="87"/>
      <c r="IR40" s="87">
        <f t="shared" si="30"/>
        <v>0</v>
      </c>
      <c r="IS40" s="114"/>
      <c r="IT40" s="89"/>
      <c r="IU40" s="82"/>
      <c r="IW40" s="90"/>
      <c r="IX40" s="87"/>
      <c r="IY40" s="87"/>
      <c r="IZ40" s="87">
        <f t="shared" si="31"/>
        <v>0</v>
      </c>
      <c r="JA40" s="114"/>
      <c r="JB40" s="89"/>
      <c r="JC40" s="82"/>
      <c r="JE40" s="90"/>
      <c r="JF40" s="87"/>
      <c r="JG40" s="87"/>
      <c r="JH40" s="87">
        <f t="shared" si="32"/>
        <v>0</v>
      </c>
      <c r="JI40" s="114"/>
      <c r="JJ40" s="89"/>
      <c r="JK40" s="82"/>
      <c r="JM40" s="90"/>
      <c r="JN40" s="87"/>
      <c r="JO40" s="87"/>
      <c r="JP40" s="87">
        <f t="shared" si="33"/>
        <v>0</v>
      </c>
      <c r="JQ40" s="114"/>
      <c r="JR40" s="91"/>
      <c r="JS40" s="82"/>
      <c r="JU40" s="90"/>
      <c r="JV40" s="87"/>
      <c r="JW40" s="87"/>
      <c r="JX40" s="87">
        <f t="shared" si="94"/>
        <v>0</v>
      </c>
      <c r="JY40" s="114"/>
      <c r="JZ40" s="89"/>
      <c r="KA40" s="82"/>
      <c r="KC40" s="90"/>
      <c r="KD40" s="87"/>
      <c r="KE40" s="87"/>
      <c r="KF40" s="87">
        <f t="shared" si="34"/>
        <v>0</v>
      </c>
      <c r="KG40" s="114"/>
      <c r="KH40" s="86"/>
      <c r="KI40" s="109"/>
      <c r="KK40" s="90"/>
      <c r="KL40" s="87"/>
      <c r="KM40" s="87"/>
      <c r="KN40" s="87">
        <f t="shared" si="35"/>
        <v>0</v>
      </c>
      <c r="KO40" s="114"/>
      <c r="KP40" s="89"/>
      <c r="KQ40" s="82"/>
      <c r="KS40" s="90"/>
      <c r="KT40" s="87"/>
      <c r="KU40" s="87"/>
      <c r="KV40" s="87">
        <f t="shared" si="36"/>
        <v>0</v>
      </c>
      <c r="KW40" s="114"/>
      <c r="KX40" s="89"/>
      <c r="KY40" s="82"/>
      <c r="LA40" s="90"/>
      <c r="LB40" s="87"/>
      <c r="LC40" s="87"/>
      <c r="LD40" s="87">
        <f t="shared" si="37"/>
        <v>0</v>
      </c>
      <c r="LE40" s="114"/>
      <c r="LF40" s="89"/>
      <c r="LG40" s="82"/>
      <c r="LI40" s="99"/>
      <c r="LJ40" s="87"/>
      <c r="LK40" s="87"/>
      <c r="LL40" s="87">
        <f t="shared" si="38"/>
        <v>0</v>
      </c>
      <c r="LM40" s="114"/>
      <c r="LN40" s="89"/>
      <c r="LO40" s="82"/>
      <c r="LQ40" s="90"/>
      <c r="LR40" s="87"/>
      <c r="LS40" s="87"/>
      <c r="LT40" s="87">
        <f t="shared" si="39"/>
        <v>0</v>
      </c>
      <c r="LU40" s="114"/>
      <c r="LV40" s="89"/>
      <c r="LW40" s="82"/>
      <c r="LY40" s="10"/>
      <c r="LZ40" s="87"/>
      <c r="MA40" s="87"/>
      <c r="MB40" s="87">
        <f t="shared" si="40"/>
        <v>0</v>
      </c>
      <c r="MC40" s="114"/>
      <c r="MD40" s="89"/>
      <c r="ME40" s="82"/>
      <c r="MG40" s="90"/>
      <c r="MH40" s="87"/>
      <c r="MI40" s="87"/>
      <c r="MJ40" s="87">
        <f t="shared" si="41"/>
        <v>0</v>
      </c>
      <c r="MK40" s="114"/>
      <c r="ML40" s="89"/>
      <c r="MM40" s="82"/>
      <c r="MO40" s="90"/>
      <c r="MP40" s="87"/>
      <c r="MQ40" s="87"/>
      <c r="MR40" s="87">
        <f t="shared" si="42"/>
        <v>0</v>
      </c>
      <c r="MS40" s="114"/>
      <c r="MT40" s="89"/>
      <c r="MU40" s="82"/>
      <c r="MW40" s="90"/>
      <c r="MX40" s="87"/>
      <c r="MY40" s="87"/>
      <c r="MZ40" s="87">
        <f t="shared" si="43"/>
        <v>0</v>
      </c>
      <c r="NA40" s="114"/>
      <c r="NB40" s="89"/>
      <c r="NC40" s="82"/>
      <c r="NE40" s="90"/>
      <c r="NF40" s="87"/>
      <c r="NG40" s="87"/>
      <c r="NH40" s="87">
        <f t="shared" si="44"/>
        <v>0</v>
      </c>
      <c r="NI40" s="114"/>
      <c r="NJ40" s="89"/>
      <c r="NK40" s="82"/>
      <c r="NM40" s="90"/>
      <c r="NN40" s="87"/>
      <c r="NO40" s="87"/>
      <c r="NP40" s="87">
        <f t="shared" si="45"/>
        <v>0</v>
      </c>
      <c r="NQ40" s="114"/>
      <c r="NR40" s="89"/>
      <c r="NS40" s="82"/>
      <c r="NU40" s="90"/>
      <c r="NV40" s="87"/>
      <c r="NW40" s="87"/>
      <c r="NX40" s="87">
        <f t="shared" si="46"/>
        <v>0</v>
      </c>
      <c r="NY40" s="114"/>
      <c r="NZ40" s="89"/>
      <c r="OA40" s="82"/>
      <c r="OC40" s="90"/>
      <c r="OD40" s="87"/>
      <c r="OE40" s="87"/>
      <c r="OF40" s="87">
        <f t="shared" si="47"/>
        <v>0</v>
      </c>
      <c r="OG40" s="114"/>
      <c r="OH40" s="89"/>
      <c r="OI40" s="82"/>
      <c r="OK40" s="90"/>
      <c r="OL40" s="87"/>
      <c r="OM40" s="87"/>
      <c r="ON40" s="87">
        <f t="shared" si="48"/>
        <v>0</v>
      </c>
      <c r="OO40" s="114"/>
      <c r="OP40" s="91"/>
      <c r="OQ40" s="82"/>
      <c r="OS40" s="90"/>
      <c r="OT40" s="87"/>
      <c r="OU40" s="87"/>
      <c r="OV40" s="87">
        <f t="shared" si="49"/>
        <v>0</v>
      </c>
      <c r="OW40" s="114"/>
      <c r="OX40" s="89"/>
      <c r="OY40" s="82"/>
      <c r="PA40" s="90"/>
      <c r="PB40" s="87"/>
      <c r="PC40" s="87"/>
      <c r="PD40" s="87">
        <f t="shared" si="50"/>
        <v>0</v>
      </c>
      <c r="PE40" s="114"/>
      <c r="PF40" s="89"/>
      <c r="PG40" s="82"/>
      <c r="PI40" s="90"/>
      <c r="PJ40" s="87"/>
      <c r="PK40" s="87"/>
      <c r="PL40" s="87">
        <f t="shared" si="51"/>
        <v>0</v>
      </c>
      <c r="PM40" s="114"/>
      <c r="PN40" s="211"/>
      <c r="PO40" s="216"/>
      <c r="PQ40" s="90"/>
      <c r="PR40" s="87"/>
      <c r="PS40" s="87"/>
      <c r="PT40" s="87">
        <f t="shared" si="52"/>
        <v>0</v>
      </c>
      <c r="PU40" s="114"/>
      <c r="PV40" s="89"/>
      <c r="PW40" s="82"/>
      <c r="PY40" s="90"/>
      <c r="PZ40" s="87"/>
      <c r="QA40" s="87"/>
      <c r="QB40" s="87">
        <f t="shared" si="53"/>
        <v>0</v>
      </c>
      <c r="QC40" s="114"/>
      <c r="QD40" s="89"/>
      <c r="QE40" s="82"/>
      <c r="QG40" s="90"/>
      <c r="QH40" s="87"/>
      <c r="QI40" s="87"/>
      <c r="QJ40" s="87">
        <f t="shared" si="54"/>
        <v>0</v>
      </c>
      <c r="QK40" s="114"/>
      <c r="QL40" s="89"/>
      <c r="QM40" s="82"/>
      <c r="QO40" s="90"/>
      <c r="QP40" s="87"/>
      <c r="QQ40" s="87"/>
      <c r="QR40" s="87">
        <f t="shared" si="55"/>
        <v>0</v>
      </c>
      <c r="QS40" s="114"/>
      <c r="QT40" s="211"/>
      <c r="QU40" s="216"/>
      <c r="QW40" s="90"/>
      <c r="QX40" s="87"/>
      <c r="QY40" s="87"/>
      <c r="QZ40" s="87">
        <f t="shared" si="56"/>
        <v>0</v>
      </c>
      <c r="RA40" s="114"/>
      <c r="RB40" s="89"/>
      <c r="RC40" s="82"/>
      <c r="RE40" s="90"/>
      <c r="RF40" s="87"/>
      <c r="RG40" s="87"/>
      <c r="RH40" s="87">
        <f t="shared" si="57"/>
        <v>0</v>
      </c>
      <c r="RI40" s="114"/>
      <c r="RJ40" s="89"/>
      <c r="RK40" s="170"/>
      <c r="RM40" s="90"/>
      <c r="RN40" s="87"/>
      <c r="RO40" s="87"/>
      <c r="RP40" s="87">
        <f t="shared" si="58"/>
        <v>0</v>
      </c>
      <c r="RQ40" s="114"/>
      <c r="RR40" s="89"/>
      <c r="RS40" s="82"/>
      <c r="RU40" s="90"/>
      <c r="RV40" s="87"/>
      <c r="RW40" s="87"/>
      <c r="RX40" s="87">
        <f t="shared" si="59"/>
        <v>0</v>
      </c>
      <c r="RY40" s="114"/>
      <c r="RZ40" s="89"/>
      <c r="SA40" s="82"/>
      <c r="SC40" s="90"/>
      <c r="SD40" s="87"/>
      <c r="SE40" s="87"/>
      <c r="SF40" s="87">
        <f t="shared" si="60"/>
        <v>0</v>
      </c>
      <c r="SG40" s="114"/>
      <c r="SH40" s="89"/>
      <c r="SI40" s="82"/>
      <c r="SK40" s="90"/>
      <c r="SL40" s="87"/>
      <c r="SM40" s="87"/>
      <c r="SN40" s="87">
        <f t="shared" si="61"/>
        <v>0</v>
      </c>
      <c r="SO40" s="114"/>
      <c r="SP40" s="89"/>
      <c r="SQ40" s="82"/>
      <c r="SS40" s="90"/>
      <c r="ST40" s="87"/>
      <c r="SU40" s="87"/>
      <c r="SV40" s="87">
        <f t="shared" si="62"/>
        <v>0</v>
      </c>
      <c r="SW40" s="114"/>
      <c r="SX40" s="89"/>
      <c r="SY40" s="82"/>
      <c r="TA40" s="90"/>
      <c r="TB40" s="87"/>
      <c r="TC40" s="87"/>
      <c r="TD40" s="87">
        <f t="shared" si="63"/>
        <v>0</v>
      </c>
      <c r="TE40" s="114"/>
      <c r="TF40" s="89"/>
      <c r="TG40" s="82"/>
      <c r="TI40" s="90"/>
      <c r="TJ40" s="87"/>
      <c r="TK40" s="87"/>
      <c r="TL40" s="87">
        <f t="shared" si="64"/>
        <v>0</v>
      </c>
      <c r="TM40" s="114"/>
      <c r="TN40" s="89"/>
      <c r="TO40" s="82"/>
      <c r="TQ40" s="90"/>
      <c r="TR40" s="87"/>
      <c r="TS40" s="87"/>
      <c r="TT40" s="87">
        <f t="shared" si="65"/>
        <v>0</v>
      </c>
      <c r="TU40" s="114"/>
      <c r="TV40" s="91"/>
      <c r="TW40" s="82"/>
      <c r="TY40" s="90"/>
      <c r="TZ40" s="87"/>
      <c r="UA40" s="87"/>
      <c r="UB40" s="87">
        <f t="shared" si="66"/>
        <v>0</v>
      </c>
      <c r="UC40" s="114"/>
      <c r="UD40" s="89"/>
      <c r="UE40" s="82"/>
      <c r="UG40" s="90"/>
      <c r="UH40" s="87"/>
      <c r="UI40" s="87"/>
      <c r="UJ40" s="87">
        <f t="shared" si="67"/>
        <v>0</v>
      </c>
      <c r="UK40" s="114"/>
      <c r="UL40" s="89"/>
      <c r="UM40" s="82"/>
      <c r="UO40" s="90"/>
      <c r="UP40" s="87"/>
      <c r="UQ40" s="87"/>
      <c r="UR40" s="87">
        <f t="shared" si="68"/>
        <v>0</v>
      </c>
      <c r="US40" s="114"/>
      <c r="UT40" s="89"/>
      <c r="UU40" s="82"/>
      <c r="UW40" s="90"/>
      <c r="UX40" s="87"/>
      <c r="UY40" s="87"/>
      <c r="UZ40" s="87">
        <f t="shared" si="69"/>
        <v>0</v>
      </c>
      <c r="VA40" s="114"/>
      <c r="VB40" s="89"/>
      <c r="VC40" s="82"/>
      <c r="VE40" s="90"/>
      <c r="VF40" s="87"/>
      <c r="VG40" s="87"/>
      <c r="VH40" s="87">
        <f t="shared" si="70"/>
        <v>0</v>
      </c>
      <c r="VI40" s="114"/>
      <c r="VJ40" s="89"/>
      <c r="VK40" s="82"/>
      <c r="VM40" s="90"/>
      <c r="VN40" s="87"/>
      <c r="VO40" s="87"/>
      <c r="VP40" s="87">
        <f t="shared" si="71"/>
        <v>0</v>
      </c>
      <c r="VQ40" s="114"/>
      <c r="VR40" s="89"/>
      <c r="VS40" s="82"/>
      <c r="VU40" s="90"/>
      <c r="VV40" s="87"/>
      <c r="VW40" s="87"/>
      <c r="VX40" s="87">
        <f t="shared" si="72"/>
        <v>0</v>
      </c>
      <c r="VY40" s="114"/>
      <c r="VZ40" s="89"/>
      <c r="WA40" s="82"/>
      <c r="WC40" s="90"/>
      <c r="WD40" s="87"/>
      <c r="WE40" s="87"/>
      <c r="WF40" s="87">
        <f t="shared" si="73"/>
        <v>0</v>
      </c>
      <c r="WG40" s="114"/>
      <c r="WH40" s="89"/>
      <c r="WI40" s="82"/>
      <c r="WK40" s="90"/>
      <c r="WL40" s="87"/>
      <c r="WM40" s="87"/>
      <c r="WN40" s="87">
        <f t="shared" si="74"/>
        <v>0</v>
      </c>
      <c r="WO40" s="114"/>
      <c r="WP40" s="89"/>
      <c r="WQ40" s="82"/>
      <c r="WS40" s="90"/>
      <c r="WT40" s="87"/>
      <c r="WU40" s="87"/>
      <c r="WV40" s="87">
        <f t="shared" si="75"/>
        <v>0</v>
      </c>
      <c r="WW40" s="114"/>
      <c r="WX40" s="89"/>
      <c r="WY40" s="82"/>
      <c r="XA40" s="90"/>
      <c r="XB40" s="87"/>
      <c r="XC40" s="87"/>
      <c r="XD40" s="87">
        <f t="shared" si="76"/>
        <v>0</v>
      </c>
      <c r="XE40" s="114"/>
      <c r="XF40" s="89"/>
      <c r="XG40" s="82"/>
      <c r="XI40" s="90"/>
      <c r="XJ40" s="87"/>
      <c r="XK40" s="87"/>
      <c r="XL40" s="87">
        <f t="shared" si="77"/>
        <v>0</v>
      </c>
      <c r="XM40" s="114"/>
      <c r="XN40" s="89"/>
      <c r="XO40" s="82"/>
      <c r="XQ40" s="90"/>
      <c r="XR40" s="87"/>
      <c r="XS40" s="87"/>
      <c r="XT40" s="87">
        <f t="shared" si="78"/>
        <v>0</v>
      </c>
      <c r="XU40" s="114"/>
      <c r="XV40" s="89"/>
      <c r="XW40" s="82"/>
      <c r="XY40" s="90"/>
      <c r="XZ40" s="87"/>
      <c r="YA40" s="87"/>
      <c r="YB40" s="87">
        <f t="shared" si="79"/>
        <v>0</v>
      </c>
      <c r="YC40" s="114"/>
      <c r="YD40" s="89"/>
      <c r="YE40" s="82"/>
      <c r="YG40" s="90"/>
      <c r="YH40" s="87"/>
      <c r="YI40" s="87"/>
      <c r="YJ40" s="87">
        <f t="shared" si="80"/>
        <v>0</v>
      </c>
      <c r="YK40" s="114"/>
      <c r="YL40" s="89"/>
      <c r="YM40" s="82"/>
      <c r="YO40" s="90"/>
      <c r="YP40" s="87"/>
      <c r="YQ40" s="87"/>
      <c r="YR40" s="87">
        <f t="shared" si="81"/>
        <v>0</v>
      </c>
      <c r="YS40" s="114"/>
      <c r="YT40" s="89"/>
      <c r="YU40" s="82"/>
      <c r="YW40" s="90"/>
      <c r="YX40" s="87"/>
      <c r="YY40" s="87"/>
      <c r="YZ40" s="87">
        <f t="shared" si="82"/>
        <v>0</v>
      </c>
      <c r="ZA40" s="114"/>
      <c r="ZB40" s="89"/>
      <c r="ZC40" s="82"/>
      <c r="ZE40" s="90"/>
      <c r="ZF40" s="87"/>
      <c r="ZG40" s="87"/>
      <c r="ZH40" s="87">
        <f t="shared" si="83"/>
        <v>0</v>
      </c>
      <c r="ZI40" s="114"/>
      <c r="ZJ40" s="89"/>
      <c r="ZK40" s="82"/>
      <c r="ZM40" s="90"/>
      <c r="ZN40" s="87"/>
      <c r="ZO40" s="87"/>
      <c r="ZP40" s="87">
        <f t="shared" si="84"/>
        <v>0</v>
      </c>
      <c r="ZQ40" s="114"/>
      <c r="ZR40" s="89"/>
      <c r="ZS40" s="82"/>
      <c r="ZU40" s="90"/>
      <c r="ZV40" s="87"/>
      <c r="ZW40" s="87"/>
      <c r="ZX40" s="87">
        <f t="shared" si="85"/>
        <v>0</v>
      </c>
      <c r="ZY40" s="114"/>
      <c r="ZZ40" s="89"/>
      <c r="AAA40" s="82"/>
      <c r="AAC40" s="90"/>
      <c r="AAD40" s="87"/>
      <c r="AAE40" s="87"/>
      <c r="AAF40" s="87">
        <f t="shared" si="86"/>
        <v>0</v>
      </c>
      <c r="AAG40" s="114"/>
      <c r="AAH40" s="89"/>
      <c r="AAI40" s="82"/>
      <c r="AAK40" s="90"/>
      <c r="AAL40" s="87"/>
      <c r="AAM40" s="87"/>
      <c r="AAN40" s="87">
        <f t="shared" si="87"/>
        <v>0</v>
      </c>
      <c r="AAO40" s="114"/>
      <c r="AAP40" s="89"/>
      <c r="AAQ40" s="82"/>
      <c r="AAS40" s="90"/>
      <c r="AAT40" s="87"/>
      <c r="AAU40" s="87"/>
      <c r="AAV40" s="87">
        <f t="shared" si="88"/>
        <v>0</v>
      </c>
      <c r="AAW40" s="114"/>
      <c r="AAX40" s="89"/>
      <c r="AAY40" s="82"/>
      <c r="ABA40" s="90"/>
      <c r="ABB40" s="87"/>
      <c r="ABC40" s="87"/>
      <c r="ABD40" s="87">
        <f t="shared" si="89"/>
        <v>0</v>
      </c>
      <c r="ABE40" s="114"/>
      <c r="ABF40" s="89"/>
      <c r="ABG40" s="82"/>
      <c r="ABI40" s="90"/>
      <c r="ABJ40" s="87"/>
      <c r="ABK40" s="87"/>
      <c r="ABL40" s="87">
        <f t="shared" si="90"/>
        <v>0</v>
      </c>
      <c r="ABM40" s="114"/>
      <c r="ABN40" s="89"/>
      <c r="ABO40" s="82"/>
      <c r="ABQ40" s="90"/>
      <c r="ABR40" s="87"/>
      <c r="ABS40" s="87"/>
      <c r="ABT40" s="87">
        <f t="shared" si="91"/>
        <v>0</v>
      </c>
      <c r="ABU40" s="114"/>
      <c r="ABV40" s="89"/>
      <c r="ABW40" s="82"/>
      <c r="ABY40" s="90"/>
      <c r="ABZ40" s="87"/>
      <c r="ACA40" s="87"/>
      <c r="ACB40" s="87">
        <f t="shared" si="92"/>
        <v>0</v>
      </c>
      <c r="ACC40" s="114"/>
      <c r="ACD40" s="89"/>
      <c r="ACE40" s="82"/>
    </row>
    <row r="41" spans="1:759" ht="12" customHeight="1" x14ac:dyDescent="0.25">
      <c r="A41" s="84"/>
      <c r="B41" s="85"/>
      <c r="C41" s="87"/>
      <c r="D41" s="87">
        <f t="shared" si="2"/>
        <v>1700</v>
      </c>
      <c r="E41" s="114"/>
      <c r="F41" s="211"/>
      <c r="G41" s="382"/>
      <c r="H41" s="72"/>
      <c r="I41" s="84"/>
      <c r="J41" s="87"/>
      <c r="K41" s="87"/>
      <c r="L41" s="87">
        <f t="shared" si="0"/>
        <v>1000</v>
      </c>
      <c r="M41" s="114"/>
      <c r="N41" s="89"/>
      <c r="O41" s="82"/>
      <c r="P41" s="72"/>
      <c r="Q41" s="90"/>
      <c r="R41" s="87"/>
      <c r="S41" s="87"/>
      <c r="T41" s="87">
        <f t="shared" si="1"/>
        <v>4000</v>
      </c>
      <c r="U41" s="114"/>
      <c r="V41" s="89"/>
      <c r="W41" s="82"/>
      <c r="X41" s="72"/>
      <c r="Y41" s="90"/>
      <c r="Z41" s="87"/>
      <c r="AA41" s="86"/>
      <c r="AB41" s="87">
        <f t="shared" si="3"/>
        <v>1000</v>
      </c>
      <c r="AC41" s="114"/>
      <c r="AD41" s="89"/>
      <c r="AE41" s="82"/>
      <c r="AF41" s="72"/>
      <c r="AG41" s="84"/>
      <c r="AH41" s="222"/>
      <c r="AI41" s="222"/>
      <c r="AJ41" s="87">
        <f t="shared" si="4"/>
        <v>2000</v>
      </c>
      <c r="AK41" s="114"/>
      <c r="AL41" s="89"/>
      <c r="AM41" s="82"/>
      <c r="AN41" s="72"/>
      <c r="AO41" s="90"/>
      <c r="AP41" s="222"/>
      <c r="AQ41" s="222"/>
      <c r="AR41" s="87">
        <f t="shared" si="5"/>
        <v>1000</v>
      </c>
      <c r="AS41" s="114"/>
      <c r="AT41" s="89"/>
      <c r="AU41" s="82"/>
      <c r="AV41" s="72"/>
      <c r="AW41" s="90"/>
      <c r="AX41" s="87"/>
      <c r="AY41" s="87"/>
      <c r="AZ41" s="87">
        <f t="shared" si="6"/>
        <v>1150</v>
      </c>
      <c r="BA41" s="114"/>
      <c r="BB41" s="211"/>
      <c r="BC41" s="82"/>
      <c r="BD41" s="72"/>
      <c r="BE41" s="90"/>
      <c r="BF41" s="87"/>
      <c r="BG41" s="87"/>
      <c r="BH41" s="87">
        <f t="shared" si="7"/>
        <v>7000</v>
      </c>
      <c r="BI41" s="114"/>
      <c r="BJ41" s="220"/>
      <c r="BK41" s="82"/>
      <c r="BL41" s="72"/>
      <c r="BM41" s="90"/>
      <c r="BN41" s="87"/>
      <c r="BO41" s="87"/>
      <c r="BP41" s="87">
        <f t="shared" si="8"/>
        <v>1000</v>
      </c>
      <c r="BQ41" s="114"/>
      <c r="BR41" s="89"/>
      <c r="BS41" s="82"/>
      <c r="BT41" s="72"/>
      <c r="BU41" s="90"/>
      <c r="BV41" s="87"/>
      <c r="BW41" s="87"/>
      <c r="BX41" s="87">
        <f t="shared" si="9"/>
        <v>0</v>
      </c>
      <c r="BY41" s="114"/>
      <c r="BZ41" s="89"/>
      <c r="CA41" s="82"/>
      <c r="CB41" s="72"/>
      <c r="CC41" s="90"/>
      <c r="CD41" s="87"/>
      <c r="CE41" s="87"/>
      <c r="CF41" s="87">
        <f t="shared" si="10"/>
        <v>0</v>
      </c>
      <c r="CG41" s="114"/>
      <c r="CH41" s="89"/>
      <c r="CI41" s="82"/>
      <c r="CJ41" s="72"/>
      <c r="CK41" s="90"/>
      <c r="CL41" s="87"/>
      <c r="CM41" s="87"/>
      <c r="CN41" s="87">
        <f t="shared" si="11"/>
        <v>0</v>
      </c>
      <c r="CO41" s="114"/>
      <c r="CP41" s="220"/>
      <c r="CQ41" s="82"/>
      <c r="CR41" s="72"/>
      <c r="CS41" s="90"/>
      <c r="CT41" s="87"/>
      <c r="CU41" s="87"/>
      <c r="CV41" s="87">
        <f t="shared" si="12"/>
        <v>0</v>
      </c>
      <c r="CW41" s="114"/>
      <c r="CX41" s="220"/>
      <c r="CY41" s="82"/>
      <c r="CZ41" s="72"/>
      <c r="DA41" s="84"/>
      <c r="DB41" s="87"/>
      <c r="DC41" s="87"/>
      <c r="DD41" s="87">
        <f t="shared" si="13"/>
        <v>0</v>
      </c>
      <c r="DE41" s="114"/>
      <c r="DF41" s="89"/>
      <c r="DG41" s="82"/>
      <c r="DH41" s="72"/>
      <c r="DI41" s="90"/>
      <c r="DJ41" s="87"/>
      <c r="DK41" s="87"/>
      <c r="DL41" s="87">
        <f t="shared" si="14"/>
        <v>0</v>
      </c>
      <c r="DM41" s="114"/>
      <c r="DN41" s="89"/>
      <c r="DO41" s="82"/>
      <c r="DP41" s="72"/>
      <c r="DQ41" s="90"/>
      <c r="DR41" s="87"/>
      <c r="DS41" s="87"/>
      <c r="DT41" s="87">
        <f t="shared" si="15"/>
        <v>0</v>
      </c>
      <c r="DU41" s="114"/>
      <c r="DV41" s="89"/>
      <c r="DW41" s="82"/>
      <c r="DX41" s="72"/>
      <c r="DY41" s="90"/>
      <c r="DZ41" s="87"/>
      <c r="EA41" s="87"/>
      <c r="EB41" s="87">
        <f t="shared" si="16"/>
        <v>0</v>
      </c>
      <c r="EC41" s="114"/>
      <c r="ED41" s="89"/>
      <c r="EE41" s="82"/>
      <c r="EF41" s="72"/>
      <c r="EG41" s="90"/>
      <c r="EH41" s="87"/>
      <c r="EI41" s="87"/>
      <c r="EJ41" s="87">
        <f t="shared" si="17"/>
        <v>0</v>
      </c>
      <c r="EK41" s="114"/>
      <c r="EL41" s="89"/>
      <c r="EM41" s="82"/>
      <c r="EO41" s="90"/>
      <c r="EP41" s="87"/>
      <c r="EQ41" s="87"/>
      <c r="ER41" s="87">
        <f t="shared" si="18"/>
        <v>0</v>
      </c>
      <c r="ES41" s="114"/>
      <c r="ET41" s="89"/>
      <c r="EU41" s="82"/>
      <c r="EW41" s="90"/>
      <c r="EX41" s="87"/>
      <c r="EY41" s="87"/>
      <c r="EZ41" s="87">
        <f t="shared" si="19"/>
        <v>0</v>
      </c>
      <c r="FA41" s="114"/>
      <c r="FB41" s="89"/>
      <c r="FC41" s="82"/>
      <c r="FE41" s="90"/>
      <c r="FF41" s="87"/>
      <c r="FG41" s="87"/>
      <c r="FH41" s="87">
        <f t="shared" si="93"/>
        <v>0</v>
      </c>
      <c r="FI41" s="114"/>
      <c r="FJ41" s="89"/>
      <c r="FK41" s="82"/>
      <c r="FM41" s="90"/>
      <c r="FN41" s="87"/>
      <c r="FO41" s="87"/>
      <c r="FP41" s="87">
        <f t="shared" si="20"/>
        <v>0</v>
      </c>
      <c r="FQ41" s="114"/>
      <c r="FR41" s="89"/>
      <c r="FS41" s="82"/>
      <c r="FT41" s="72"/>
      <c r="FU41" s="90"/>
      <c r="FV41" s="87"/>
      <c r="FW41" s="87"/>
      <c r="FX41" s="87">
        <f t="shared" si="21"/>
        <v>0</v>
      </c>
      <c r="FY41" s="165"/>
      <c r="FZ41" s="89"/>
      <c r="GA41" s="82"/>
      <c r="GC41" s="90"/>
      <c r="GD41" s="87"/>
      <c r="GE41" s="87"/>
      <c r="GF41" s="87">
        <f t="shared" si="22"/>
        <v>0</v>
      </c>
      <c r="GG41" s="114"/>
      <c r="GH41" s="89"/>
      <c r="GI41" s="82"/>
      <c r="GK41" s="90"/>
      <c r="GL41" s="87"/>
      <c r="GM41" s="87"/>
      <c r="GN41" s="87">
        <f t="shared" si="23"/>
        <v>0</v>
      </c>
      <c r="GO41" s="114"/>
      <c r="GP41" s="89"/>
      <c r="GQ41" s="82"/>
      <c r="GS41" s="90"/>
      <c r="GT41" s="87"/>
      <c r="GU41" s="87"/>
      <c r="GV41" s="87">
        <f t="shared" si="24"/>
        <v>0</v>
      </c>
      <c r="GW41" s="114"/>
      <c r="GX41" s="89"/>
      <c r="GY41" s="82"/>
      <c r="HA41" s="90"/>
      <c r="HB41" s="87"/>
      <c r="HC41" s="87"/>
      <c r="HD41" s="87">
        <f t="shared" si="25"/>
        <v>0</v>
      </c>
      <c r="HE41" s="114"/>
      <c r="HF41" s="89"/>
      <c r="HG41" s="82"/>
      <c r="HI41" s="90"/>
      <c r="HJ41" s="87"/>
      <c r="HK41" s="87"/>
      <c r="HL41" s="87">
        <f t="shared" si="26"/>
        <v>0</v>
      </c>
      <c r="HM41" s="114"/>
      <c r="HN41" s="89"/>
      <c r="HO41" s="82"/>
      <c r="HQ41" s="90"/>
      <c r="HR41" s="87"/>
      <c r="HS41" s="87"/>
      <c r="HT41" s="87">
        <f t="shared" si="27"/>
        <v>0</v>
      </c>
      <c r="HU41" s="114"/>
      <c r="HV41" s="89"/>
      <c r="HW41" s="82"/>
      <c r="HY41" s="90"/>
      <c r="HZ41" s="87"/>
      <c r="IA41" s="87"/>
      <c r="IB41" s="87">
        <f t="shared" si="28"/>
        <v>0</v>
      </c>
      <c r="IC41" s="114"/>
      <c r="ID41" s="89"/>
      <c r="IE41" s="82"/>
      <c r="IG41" s="90"/>
      <c r="IH41" s="87"/>
      <c r="II41" s="87"/>
      <c r="IJ41" s="87">
        <f t="shared" si="29"/>
        <v>0</v>
      </c>
      <c r="IK41" s="114"/>
      <c r="IL41" s="89"/>
      <c r="IM41" s="82"/>
      <c r="IO41" s="90"/>
      <c r="IP41" s="87"/>
      <c r="IQ41" s="87"/>
      <c r="IR41" s="87">
        <f t="shared" si="30"/>
        <v>0</v>
      </c>
      <c r="IS41" s="114"/>
      <c r="IT41" s="89"/>
      <c r="IU41" s="82"/>
      <c r="IW41" s="90"/>
      <c r="IX41" s="87"/>
      <c r="IY41" s="87"/>
      <c r="IZ41" s="87">
        <f t="shared" si="31"/>
        <v>0</v>
      </c>
      <c r="JA41" s="114"/>
      <c r="JB41" s="89"/>
      <c r="JC41" s="82"/>
      <c r="JE41" s="90"/>
      <c r="JF41" s="87"/>
      <c r="JG41" s="87"/>
      <c r="JH41" s="87">
        <f t="shared" si="32"/>
        <v>0</v>
      </c>
      <c r="JI41" s="114"/>
      <c r="JJ41" s="89"/>
      <c r="JK41" s="82"/>
      <c r="JM41" s="90"/>
      <c r="JN41" s="87"/>
      <c r="JO41" s="87"/>
      <c r="JP41" s="87">
        <f t="shared" si="33"/>
        <v>0</v>
      </c>
      <c r="JQ41" s="114"/>
      <c r="JR41" s="91"/>
      <c r="JS41" s="82"/>
      <c r="JU41" s="90"/>
      <c r="JV41" s="87"/>
      <c r="JW41" s="87"/>
      <c r="JX41" s="87">
        <f t="shared" si="94"/>
        <v>0</v>
      </c>
      <c r="JY41" s="114"/>
      <c r="JZ41" s="89"/>
      <c r="KA41" s="82"/>
      <c r="KC41" s="90"/>
      <c r="KD41" s="87"/>
      <c r="KE41" s="87"/>
      <c r="KF41" s="87">
        <f t="shared" si="34"/>
        <v>0</v>
      </c>
      <c r="KG41" s="114"/>
      <c r="KH41" s="86"/>
      <c r="KI41" s="109"/>
      <c r="KK41" s="90"/>
      <c r="KL41" s="87"/>
      <c r="KM41" s="87"/>
      <c r="KN41" s="87">
        <f t="shared" si="35"/>
        <v>0</v>
      </c>
      <c r="KO41" s="114"/>
      <c r="KP41" s="89"/>
      <c r="KQ41" s="82"/>
      <c r="KS41" s="90"/>
      <c r="KT41" s="87"/>
      <c r="KU41" s="87"/>
      <c r="KV41" s="87">
        <f t="shared" si="36"/>
        <v>0</v>
      </c>
      <c r="KW41" s="114"/>
      <c r="KX41" s="89"/>
      <c r="KY41" s="82"/>
      <c r="LA41" s="90"/>
      <c r="LB41" s="87"/>
      <c r="LC41" s="87"/>
      <c r="LD41" s="87">
        <f t="shared" si="37"/>
        <v>0</v>
      </c>
      <c r="LE41" s="114"/>
      <c r="LF41" s="89"/>
      <c r="LG41" s="82"/>
      <c r="LI41" s="99"/>
      <c r="LJ41" s="87"/>
      <c r="LK41" s="87"/>
      <c r="LL41" s="87">
        <f t="shared" si="38"/>
        <v>0</v>
      </c>
      <c r="LM41" s="114"/>
      <c r="LN41" s="89"/>
      <c r="LO41" s="82"/>
      <c r="LQ41" s="90"/>
      <c r="LR41" s="87"/>
      <c r="LS41" s="87"/>
      <c r="LT41" s="87">
        <f t="shared" si="39"/>
        <v>0</v>
      </c>
      <c r="LU41" s="114"/>
      <c r="LV41" s="89"/>
      <c r="LW41" s="82"/>
      <c r="LY41" s="84"/>
      <c r="LZ41" s="87"/>
      <c r="MA41" s="87"/>
      <c r="MB41" s="87">
        <f t="shared" si="40"/>
        <v>0</v>
      </c>
      <c r="MC41" s="114"/>
      <c r="MD41" s="89"/>
      <c r="ME41" s="82"/>
      <c r="MG41" s="90"/>
      <c r="MH41" s="87"/>
      <c r="MI41" s="87"/>
      <c r="MJ41" s="87">
        <f t="shared" si="41"/>
        <v>0</v>
      </c>
      <c r="MK41" s="114"/>
      <c r="ML41" s="89"/>
      <c r="MM41" s="82"/>
      <c r="MO41" s="90"/>
      <c r="MP41" s="87"/>
      <c r="MQ41" s="87"/>
      <c r="MR41" s="87">
        <f t="shared" si="42"/>
        <v>0</v>
      </c>
      <c r="MS41" s="114"/>
      <c r="MT41" s="89"/>
      <c r="MU41" s="82"/>
      <c r="MW41" s="90"/>
      <c r="MX41" s="87"/>
      <c r="MY41" s="87"/>
      <c r="MZ41" s="87">
        <f t="shared" si="43"/>
        <v>0</v>
      </c>
      <c r="NA41" s="114"/>
      <c r="NB41" s="89"/>
      <c r="NC41" s="82"/>
      <c r="NE41" s="90"/>
      <c r="NF41" s="87"/>
      <c r="NG41" s="87"/>
      <c r="NH41" s="87">
        <f t="shared" si="44"/>
        <v>0</v>
      </c>
      <c r="NI41" s="114"/>
      <c r="NJ41" s="89"/>
      <c r="NK41" s="82"/>
      <c r="NM41" s="90"/>
      <c r="NN41" s="87"/>
      <c r="NO41" s="87"/>
      <c r="NP41" s="87">
        <f t="shared" si="45"/>
        <v>0</v>
      </c>
      <c r="NQ41" s="114"/>
      <c r="NR41" s="89"/>
      <c r="NS41" s="82"/>
      <c r="NU41" s="90"/>
      <c r="NV41" s="87"/>
      <c r="NW41" s="87"/>
      <c r="NX41" s="87">
        <f t="shared" si="46"/>
        <v>0</v>
      </c>
      <c r="NY41" s="114"/>
      <c r="NZ41" s="89"/>
      <c r="OA41" s="82"/>
      <c r="OC41" s="90"/>
      <c r="OD41" s="87"/>
      <c r="OE41" s="87"/>
      <c r="OF41" s="87">
        <f t="shared" si="47"/>
        <v>0</v>
      </c>
      <c r="OG41" s="114"/>
      <c r="OH41" s="89"/>
      <c r="OI41" s="82"/>
      <c r="OK41" s="90"/>
      <c r="OL41" s="87"/>
      <c r="OM41" s="87"/>
      <c r="ON41" s="87">
        <f t="shared" si="48"/>
        <v>0</v>
      </c>
      <c r="OO41" s="114"/>
      <c r="OP41" s="91"/>
      <c r="OQ41" s="82"/>
      <c r="OS41" s="90"/>
      <c r="OT41" s="87"/>
      <c r="OU41" s="87"/>
      <c r="OV41" s="87">
        <f t="shared" si="49"/>
        <v>0</v>
      </c>
      <c r="OW41" s="114"/>
      <c r="OX41" s="89"/>
      <c r="OY41" s="82"/>
      <c r="PA41" s="90"/>
      <c r="PB41" s="87"/>
      <c r="PC41" s="87"/>
      <c r="PD41" s="87">
        <f t="shared" si="50"/>
        <v>0</v>
      </c>
      <c r="PE41" s="114"/>
      <c r="PF41" s="89"/>
      <c r="PG41" s="82"/>
      <c r="PI41" s="90"/>
      <c r="PJ41" s="87"/>
      <c r="PK41" s="87"/>
      <c r="PL41" s="87">
        <f t="shared" si="51"/>
        <v>0</v>
      </c>
      <c r="PM41" s="114"/>
      <c r="PN41" s="211"/>
      <c r="PO41" s="216"/>
      <c r="PQ41" s="90"/>
      <c r="PR41" s="87"/>
      <c r="PS41" s="87"/>
      <c r="PT41" s="87">
        <f t="shared" si="52"/>
        <v>0</v>
      </c>
      <c r="PU41" s="114"/>
      <c r="PV41" s="89"/>
      <c r="PW41" s="82"/>
      <c r="PY41" s="90"/>
      <c r="PZ41" s="87"/>
      <c r="QA41" s="87"/>
      <c r="QB41" s="87">
        <f t="shared" si="53"/>
        <v>0</v>
      </c>
      <c r="QC41" s="114"/>
      <c r="QD41" s="89"/>
      <c r="QE41" s="82"/>
      <c r="QG41" s="90"/>
      <c r="QH41" s="87"/>
      <c r="QI41" s="87"/>
      <c r="QJ41" s="87">
        <f t="shared" si="54"/>
        <v>0</v>
      </c>
      <c r="QK41" s="114"/>
      <c r="QL41" s="89"/>
      <c r="QM41" s="82"/>
      <c r="QO41" s="90"/>
      <c r="QP41" s="87"/>
      <c r="QQ41" s="87"/>
      <c r="QR41" s="87">
        <f t="shared" si="55"/>
        <v>0</v>
      </c>
      <c r="QS41" s="114"/>
      <c r="QT41" s="211"/>
      <c r="QU41" s="216"/>
      <c r="QW41" s="90"/>
      <c r="QX41" s="87"/>
      <c r="QY41" s="87"/>
      <c r="QZ41" s="87">
        <f t="shared" si="56"/>
        <v>0</v>
      </c>
      <c r="RA41" s="114"/>
      <c r="RB41" s="89"/>
      <c r="RC41" s="82"/>
      <c r="RE41" s="90"/>
      <c r="RF41" s="87"/>
      <c r="RG41" s="87"/>
      <c r="RH41" s="87">
        <f t="shared" si="57"/>
        <v>0</v>
      </c>
      <c r="RI41" s="114"/>
      <c r="RJ41" s="89"/>
      <c r="RK41" s="170"/>
      <c r="RM41" s="90"/>
      <c r="RN41" s="87"/>
      <c r="RO41" s="87"/>
      <c r="RP41" s="87">
        <f t="shared" si="58"/>
        <v>0</v>
      </c>
      <c r="RQ41" s="114"/>
      <c r="RR41" s="89"/>
      <c r="RS41" s="82"/>
      <c r="RU41" s="90"/>
      <c r="RV41" s="87"/>
      <c r="RW41" s="87"/>
      <c r="RX41" s="87">
        <f t="shared" si="59"/>
        <v>0</v>
      </c>
      <c r="RY41" s="114"/>
      <c r="RZ41" s="89"/>
      <c r="SA41" s="82"/>
      <c r="SC41" s="90"/>
      <c r="SD41" s="87"/>
      <c r="SE41" s="87"/>
      <c r="SF41" s="87">
        <f t="shared" si="60"/>
        <v>0</v>
      </c>
      <c r="SG41" s="114"/>
      <c r="SH41" s="89"/>
      <c r="SI41" s="82"/>
      <c r="SK41" s="90"/>
      <c r="SL41" s="87"/>
      <c r="SM41" s="87"/>
      <c r="SN41" s="87">
        <f t="shared" si="61"/>
        <v>0</v>
      </c>
      <c r="SO41" s="114"/>
      <c r="SP41" s="89"/>
      <c r="SQ41" s="82"/>
      <c r="SS41" s="90"/>
      <c r="ST41" s="87"/>
      <c r="SU41" s="87"/>
      <c r="SV41" s="87">
        <f t="shared" si="62"/>
        <v>0</v>
      </c>
      <c r="SW41" s="114"/>
      <c r="SX41" s="89"/>
      <c r="SY41" s="82"/>
      <c r="TA41" s="90"/>
      <c r="TB41" s="87"/>
      <c r="TC41" s="87"/>
      <c r="TD41" s="87">
        <f t="shared" si="63"/>
        <v>0</v>
      </c>
      <c r="TE41" s="114"/>
      <c r="TF41" s="89"/>
      <c r="TG41" s="82"/>
      <c r="TI41" s="90"/>
      <c r="TJ41" s="87"/>
      <c r="TK41" s="87"/>
      <c r="TL41" s="87">
        <f t="shared" si="64"/>
        <v>0</v>
      </c>
      <c r="TM41" s="114"/>
      <c r="TN41" s="89"/>
      <c r="TO41" s="82"/>
      <c r="TQ41" s="90"/>
      <c r="TR41" s="87"/>
      <c r="TS41" s="87"/>
      <c r="TT41" s="87">
        <f t="shared" si="65"/>
        <v>0</v>
      </c>
      <c r="TU41" s="114"/>
      <c r="TV41" s="91"/>
      <c r="TW41" s="82"/>
      <c r="TY41" s="90"/>
      <c r="TZ41" s="87"/>
      <c r="UA41" s="87"/>
      <c r="UB41" s="87">
        <f t="shared" si="66"/>
        <v>0</v>
      </c>
      <c r="UC41" s="114"/>
      <c r="UD41" s="89"/>
      <c r="UE41" s="82"/>
      <c r="UG41" s="90"/>
      <c r="UH41" s="87"/>
      <c r="UI41" s="87"/>
      <c r="UJ41" s="87">
        <f t="shared" si="67"/>
        <v>0</v>
      </c>
      <c r="UK41" s="114"/>
      <c r="UL41" s="89"/>
      <c r="UM41" s="82"/>
      <c r="UO41" s="90"/>
      <c r="UP41" s="87"/>
      <c r="UQ41" s="87"/>
      <c r="UR41" s="87">
        <f t="shared" si="68"/>
        <v>0</v>
      </c>
      <c r="US41" s="114"/>
      <c r="UT41" s="89"/>
      <c r="UU41" s="82"/>
      <c r="UW41" s="90"/>
      <c r="UX41" s="87"/>
      <c r="UY41" s="87"/>
      <c r="UZ41" s="87">
        <f t="shared" si="69"/>
        <v>0</v>
      </c>
      <c r="VA41" s="114"/>
      <c r="VB41" s="89"/>
      <c r="VC41" s="82"/>
      <c r="VE41" s="90"/>
      <c r="VF41" s="87"/>
      <c r="VG41" s="87"/>
      <c r="VH41" s="87">
        <f t="shared" si="70"/>
        <v>0</v>
      </c>
      <c r="VI41" s="114"/>
      <c r="VJ41" s="89"/>
      <c r="VK41" s="82"/>
      <c r="VM41" s="90"/>
      <c r="VN41" s="87"/>
      <c r="VO41" s="87"/>
      <c r="VP41" s="87">
        <f t="shared" si="71"/>
        <v>0</v>
      </c>
      <c r="VQ41" s="114"/>
      <c r="VR41" s="89"/>
      <c r="VS41" s="82"/>
      <c r="VU41" s="90"/>
      <c r="VV41" s="87"/>
      <c r="VW41" s="87"/>
      <c r="VX41" s="87">
        <f t="shared" si="72"/>
        <v>0</v>
      </c>
      <c r="VY41" s="114"/>
      <c r="VZ41" s="89"/>
      <c r="WA41" s="82"/>
      <c r="WC41" s="90"/>
      <c r="WD41" s="87"/>
      <c r="WE41" s="87"/>
      <c r="WF41" s="87">
        <f t="shared" si="73"/>
        <v>0</v>
      </c>
      <c r="WG41" s="114"/>
      <c r="WH41" s="89"/>
      <c r="WI41" s="82"/>
      <c r="WK41" s="90"/>
      <c r="WL41" s="87"/>
      <c r="WM41" s="87"/>
      <c r="WN41" s="87">
        <f t="shared" si="74"/>
        <v>0</v>
      </c>
      <c r="WO41" s="114"/>
      <c r="WP41" s="89"/>
      <c r="WQ41" s="82"/>
      <c r="WS41" s="90"/>
      <c r="WT41" s="87"/>
      <c r="WU41" s="87"/>
      <c r="WV41" s="87">
        <f t="shared" si="75"/>
        <v>0</v>
      </c>
      <c r="WW41" s="114"/>
      <c r="WX41" s="89"/>
      <c r="WY41" s="82"/>
      <c r="XA41" s="90"/>
      <c r="XB41" s="87"/>
      <c r="XC41" s="87"/>
      <c r="XD41" s="87">
        <f t="shared" si="76"/>
        <v>0</v>
      </c>
      <c r="XE41" s="114"/>
      <c r="XF41" s="89"/>
      <c r="XG41" s="82"/>
      <c r="XI41" s="90"/>
      <c r="XJ41" s="87"/>
      <c r="XK41" s="87"/>
      <c r="XL41" s="87">
        <f t="shared" si="77"/>
        <v>0</v>
      </c>
      <c r="XM41" s="114"/>
      <c r="XN41" s="89"/>
      <c r="XO41" s="82"/>
      <c r="XQ41" s="90"/>
      <c r="XR41" s="87"/>
      <c r="XS41" s="87"/>
      <c r="XT41" s="87">
        <f t="shared" si="78"/>
        <v>0</v>
      </c>
      <c r="XU41" s="114"/>
      <c r="XV41" s="89"/>
      <c r="XW41" s="82"/>
      <c r="XY41" s="90"/>
      <c r="XZ41" s="87"/>
      <c r="YA41" s="87"/>
      <c r="YB41" s="87">
        <f t="shared" si="79"/>
        <v>0</v>
      </c>
      <c r="YC41" s="114"/>
      <c r="YD41" s="89"/>
      <c r="YE41" s="82"/>
      <c r="YG41" s="90"/>
      <c r="YH41" s="87"/>
      <c r="YI41" s="87"/>
      <c r="YJ41" s="87">
        <f t="shared" si="80"/>
        <v>0</v>
      </c>
      <c r="YK41" s="114"/>
      <c r="YL41" s="89"/>
      <c r="YM41" s="82"/>
      <c r="YO41" s="90"/>
      <c r="YP41" s="87"/>
      <c r="YQ41" s="87"/>
      <c r="YR41" s="87">
        <f t="shared" si="81"/>
        <v>0</v>
      </c>
      <c r="YS41" s="114"/>
      <c r="YT41" s="89"/>
      <c r="YU41" s="82"/>
      <c r="YW41" s="90"/>
      <c r="YX41" s="87"/>
      <c r="YY41" s="87"/>
      <c r="YZ41" s="87">
        <f t="shared" si="82"/>
        <v>0</v>
      </c>
      <c r="ZA41" s="114"/>
      <c r="ZB41" s="89"/>
      <c r="ZC41" s="82"/>
      <c r="ZE41" s="90"/>
      <c r="ZF41" s="87"/>
      <c r="ZG41" s="87"/>
      <c r="ZH41" s="87">
        <f t="shared" si="83"/>
        <v>0</v>
      </c>
      <c r="ZI41" s="114"/>
      <c r="ZJ41" s="89"/>
      <c r="ZK41" s="82"/>
      <c r="ZM41" s="90"/>
      <c r="ZN41" s="87"/>
      <c r="ZO41" s="87"/>
      <c r="ZP41" s="87">
        <f t="shared" si="84"/>
        <v>0</v>
      </c>
      <c r="ZQ41" s="114"/>
      <c r="ZR41" s="89"/>
      <c r="ZS41" s="82"/>
      <c r="ZU41" s="90"/>
      <c r="ZV41" s="87"/>
      <c r="ZW41" s="87"/>
      <c r="ZX41" s="87">
        <f t="shared" si="85"/>
        <v>0</v>
      </c>
      <c r="ZY41" s="114"/>
      <c r="ZZ41" s="89"/>
      <c r="AAA41" s="82"/>
      <c r="AAC41" s="90"/>
      <c r="AAD41" s="87"/>
      <c r="AAE41" s="87"/>
      <c r="AAF41" s="87">
        <f t="shared" si="86"/>
        <v>0</v>
      </c>
      <c r="AAG41" s="114"/>
      <c r="AAH41" s="89"/>
      <c r="AAI41" s="82"/>
      <c r="AAK41" s="90"/>
      <c r="AAL41" s="87"/>
      <c r="AAM41" s="87"/>
      <c r="AAN41" s="87">
        <f t="shared" si="87"/>
        <v>0</v>
      </c>
      <c r="AAO41" s="114"/>
      <c r="AAP41" s="89"/>
      <c r="AAQ41" s="82"/>
      <c r="AAS41" s="90"/>
      <c r="AAT41" s="87"/>
      <c r="AAU41" s="87"/>
      <c r="AAV41" s="87">
        <f t="shared" si="88"/>
        <v>0</v>
      </c>
      <c r="AAW41" s="114"/>
      <c r="AAX41" s="89"/>
      <c r="AAY41" s="82"/>
      <c r="ABA41" s="90"/>
      <c r="ABB41" s="87"/>
      <c r="ABC41" s="87"/>
      <c r="ABD41" s="87">
        <f t="shared" si="89"/>
        <v>0</v>
      </c>
      <c r="ABE41" s="114"/>
      <c r="ABF41" s="89"/>
      <c r="ABG41" s="82"/>
      <c r="ABI41" s="90"/>
      <c r="ABJ41" s="87"/>
      <c r="ABK41" s="87"/>
      <c r="ABL41" s="87">
        <f t="shared" si="90"/>
        <v>0</v>
      </c>
      <c r="ABM41" s="114"/>
      <c r="ABN41" s="89"/>
      <c r="ABO41" s="82"/>
      <c r="ABQ41" s="90"/>
      <c r="ABR41" s="87"/>
      <c r="ABS41" s="87"/>
      <c r="ABT41" s="87">
        <f t="shared" si="91"/>
        <v>0</v>
      </c>
      <c r="ABU41" s="114"/>
      <c r="ABV41" s="89"/>
      <c r="ABW41" s="82"/>
      <c r="ABY41" s="90"/>
      <c r="ABZ41" s="87"/>
      <c r="ACA41" s="87"/>
      <c r="ACB41" s="87">
        <f t="shared" si="92"/>
        <v>0</v>
      </c>
      <c r="ACC41" s="114"/>
      <c r="ACD41" s="89"/>
      <c r="ACE41" s="82"/>
    </row>
    <row r="42" spans="1:759" ht="12" customHeight="1" x14ac:dyDescent="0.25">
      <c r="A42" s="84"/>
      <c r="B42" s="85"/>
      <c r="C42" s="87"/>
      <c r="D42" s="87">
        <f t="shared" si="2"/>
        <v>1700</v>
      </c>
      <c r="E42" s="114"/>
      <c r="F42" s="211"/>
      <c r="G42" s="382"/>
      <c r="H42" s="72"/>
      <c r="I42" s="84"/>
      <c r="J42" s="87"/>
      <c r="K42" s="87"/>
      <c r="L42" s="87">
        <f t="shared" si="0"/>
        <v>1000</v>
      </c>
      <c r="M42" s="114"/>
      <c r="N42" s="89"/>
      <c r="O42" s="82"/>
      <c r="P42" s="72"/>
      <c r="Q42" s="90"/>
      <c r="R42" s="87"/>
      <c r="S42" s="87"/>
      <c r="T42" s="87">
        <f t="shared" si="1"/>
        <v>4000</v>
      </c>
      <c r="U42" s="114"/>
      <c r="V42" s="89"/>
      <c r="W42" s="82"/>
      <c r="X42" s="72"/>
      <c r="Y42" s="90"/>
      <c r="Z42" s="87"/>
      <c r="AA42" s="87"/>
      <c r="AB42" s="87">
        <f t="shared" si="3"/>
        <v>1000</v>
      </c>
      <c r="AC42" s="114"/>
      <c r="AD42" s="89"/>
      <c r="AE42" s="82"/>
      <c r="AF42" s="72"/>
      <c r="AG42" s="84"/>
      <c r="AH42" s="222"/>
      <c r="AI42" s="222"/>
      <c r="AJ42" s="87">
        <f t="shared" si="4"/>
        <v>2000</v>
      </c>
      <c r="AK42" s="114"/>
      <c r="AL42" s="89"/>
      <c r="AM42" s="82"/>
      <c r="AN42" s="72"/>
      <c r="AO42" s="90"/>
      <c r="AP42" s="222"/>
      <c r="AQ42" s="222"/>
      <c r="AR42" s="87">
        <f t="shared" si="5"/>
        <v>1000</v>
      </c>
      <c r="AS42" s="114"/>
      <c r="AT42" s="89"/>
      <c r="AU42" s="82"/>
      <c r="AV42" s="72"/>
      <c r="AW42" s="90"/>
      <c r="AX42" s="87"/>
      <c r="AY42" s="87"/>
      <c r="AZ42" s="87">
        <f t="shared" si="6"/>
        <v>1150</v>
      </c>
      <c r="BA42" s="114"/>
      <c r="BB42" s="211"/>
      <c r="BC42" s="82"/>
      <c r="BD42" s="72"/>
      <c r="BE42" s="90"/>
      <c r="BF42" s="87"/>
      <c r="BG42" s="87"/>
      <c r="BH42" s="87">
        <f t="shared" si="7"/>
        <v>7000</v>
      </c>
      <c r="BI42" s="114"/>
      <c r="BJ42" s="220"/>
      <c r="BK42" s="82"/>
      <c r="BL42" s="72"/>
      <c r="BM42" s="90"/>
      <c r="BN42" s="87"/>
      <c r="BO42" s="87"/>
      <c r="BP42" s="87">
        <f t="shared" si="8"/>
        <v>1000</v>
      </c>
      <c r="BQ42" s="114"/>
      <c r="BR42" s="89"/>
      <c r="BS42" s="82"/>
      <c r="BT42" s="72"/>
      <c r="BU42" s="90"/>
      <c r="BV42" s="87"/>
      <c r="BW42" s="87"/>
      <c r="BX42" s="87">
        <f t="shared" si="9"/>
        <v>0</v>
      </c>
      <c r="BY42" s="114"/>
      <c r="BZ42" s="89"/>
      <c r="CA42" s="82"/>
      <c r="CB42" s="72"/>
      <c r="CC42" s="90"/>
      <c r="CD42" s="87"/>
      <c r="CE42" s="87"/>
      <c r="CF42" s="87">
        <f t="shared" si="10"/>
        <v>0</v>
      </c>
      <c r="CG42" s="114"/>
      <c r="CH42" s="89"/>
      <c r="CI42" s="82"/>
      <c r="CJ42" s="72"/>
      <c r="CK42" s="90"/>
      <c r="CL42" s="87"/>
      <c r="CM42" s="87"/>
      <c r="CN42" s="87">
        <f t="shared" si="11"/>
        <v>0</v>
      </c>
      <c r="CO42" s="114"/>
      <c r="CP42" s="220"/>
      <c r="CQ42" s="82"/>
      <c r="CR42" s="72"/>
      <c r="CS42" s="90"/>
      <c r="CT42" s="87"/>
      <c r="CU42" s="87"/>
      <c r="CV42" s="87">
        <f t="shared" si="12"/>
        <v>0</v>
      </c>
      <c r="CW42" s="114"/>
      <c r="CX42" s="220"/>
      <c r="CY42" s="82"/>
      <c r="CZ42" s="72"/>
      <c r="DA42" s="84"/>
      <c r="DB42" s="87"/>
      <c r="DC42" s="87"/>
      <c r="DD42" s="87">
        <f t="shared" si="13"/>
        <v>0</v>
      </c>
      <c r="DE42" s="114"/>
      <c r="DF42" s="89"/>
      <c r="DG42" s="82"/>
      <c r="DH42" s="72"/>
      <c r="DI42" s="90"/>
      <c r="DJ42" s="87"/>
      <c r="DK42" s="87"/>
      <c r="DL42" s="87">
        <f t="shared" si="14"/>
        <v>0</v>
      </c>
      <c r="DM42" s="114"/>
      <c r="DN42" s="89"/>
      <c r="DO42" s="82"/>
      <c r="DP42" s="72"/>
      <c r="DQ42" s="90"/>
      <c r="DR42" s="87"/>
      <c r="DS42" s="87"/>
      <c r="DT42" s="87">
        <f t="shared" si="15"/>
        <v>0</v>
      </c>
      <c r="DU42" s="114"/>
      <c r="DV42" s="89"/>
      <c r="DW42" s="82"/>
      <c r="DX42" s="72"/>
      <c r="DY42" s="90"/>
      <c r="DZ42" s="87"/>
      <c r="EA42" s="87"/>
      <c r="EB42" s="87">
        <f t="shared" si="16"/>
        <v>0</v>
      </c>
      <c r="EC42" s="114"/>
      <c r="ED42" s="89"/>
      <c r="EE42" s="82"/>
      <c r="EF42" s="72"/>
      <c r="EG42" s="90"/>
      <c r="EH42" s="87"/>
      <c r="EI42" s="87"/>
      <c r="EJ42" s="87">
        <f t="shared" si="17"/>
        <v>0</v>
      </c>
      <c r="EK42" s="114"/>
      <c r="EL42" s="89"/>
      <c r="EM42" s="82"/>
      <c r="EO42" s="90"/>
      <c r="EP42" s="87"/>
      <c r="EQ42" s="87"/>
      <c r="ER42" s="87">
        <f t="shared" si="18"/>
        <v>0</v>
      </c>
      <c r="ES42" s="114"/>
      <c r="ET42" s="89"/>
      <c r="EU42" s="82"/>
      <c r="EW42" s="90"/>
      <c r="EX42" s="87"/>
      <c r="EY42" s="87"/>
      <c r="EZ42" s="87">
        <f t="shared" si="19"/>
        <v>0</v>
      </c>
      <c r="FA42" s="114"/>
      <c r="FB42" s="89"/>
      <c r="FC42" s="82"/>
      <c r="FE42" s="90"/>
      <c r="FF42" s="87"/>
      <c r="FG42" s="87"/>
      <c r="FH42" s="87">
        <f t="shared" si="93"/>
        <v>0</v>
      </c>
      <c r="FI42" s="114"/>
      <c r="FJ42" s="89"/>
      <c r="FK42" s="82"/>
      <c r="FM42" s="90"/>
      <c r="FN42" s="87"/>
      <c r="FO42" s="87"/>
      <c r="FP42" s="87">
        <f t="shared" si="20"/>
        <v>0</v>
      </c>
      <c r="FQ42" s="114"/>
      <c r="FR42" s="89"/>
      <c r="FS42" s="82"/>
      <c r="FT42" s="72"/>
      <c r="FU42" s="90"/>
      <c r="FV42" s="87"/>
      <c r="FW42" s="87"/>
      <c r="FX42" s="87">
        <f t="shared" si="21"/>
        <v>0</v>
      </c>
      <c r="FY42" s="165"/>
      <c r="FZ42" s="89"/>
      <c r="GA42" s="82"/>
      <c r="GC42" s="90"/>
      <c r="GD42" s="87"/>
      <c r="GE42" s="87"/>
      <c r="GF42" s="87">
        <f t="shared" si="22"/>
        <v>0</v>
      </c>
      <c r="GG42" s="114"/>
      <c r="GH42" s="89"/>
      <c r="GI42" s="82"/>
      <c r="GK42" s="90"/>
      <c r="GL42" s="87"/>
      <c r="GM42" s="87"/>
      <c r="GN42" s="87">
        <f t="shared" si="23"/>
        <v>0</v>
      </c>
      <c r="GO42" s="114"/>
      <c r="GP42" s="89"/>
      <c r="GQ42" s="82"/>
      <c r="GS42" s="90"/>
      <c r="GT42" s="87"/>
      <c r="GU42" s="87"/>
      <c r="GV42" s="87">
        <f t="shared" si="24"/>
        <v>0</v>
      </c>
      <c r="GW42" s="114"/>
      <c r="GX42" s="89"/>
      <c r="GY42" s="82"/>
      <c r="HA42" s="90"/>
      <c r="HB42" s="87"/>
      <c r="HC42" s="87"/>
      <c r="HD42" s="87">
        <f t="shared" si="25"/>
        <v>0</v>
      </c>
      <c r="HE42" s="114"/>
      <c r="HF42" s="89"/>
      <c r="HG42" s="82"/>
      <c r="HI42" s="90"/>
      <c r="HJ42" s="87"/>
      <c r="HK42" s="87"/>
      <c r="HL42" s="87">
        <f t="shared" si="26"/>
        <v>0</v>
      </c>
      <c r="HM42" s="114"/>
      <c r="HN42" s="89"/>
      <c r="HO42" s="82"/>
      <c r="HQ42" s="90"/>
      <c r="HR42" s="87"/>
      <c r="HS42" s="87"/>
      <c r="HT42" s="87">
        <f t="shared" si="27"/>
        <v>0</v>
      </c>
      <c r="HU42" s="114"/>
      <c r="HV42" s="89"/>
      <c r="HW42" s="82"/>
      <c r="HY42" s="90"/>
      <c r="HZ42" s="87"/>
      <c r="IA42" s="87"/>
      <c r="IB42" s="87">
        <f t="shared" si="28"/>
        <v>0</v>
      </c>
      <c r="IC42" s="114"/>
      <c r="ID42" s="89"/>
      <c r="IE42" s="82"/>
      <c r="IG42" s="90"/>
      <c r="IH42" s="87"/>
      <c r="II42" s="87"/>
      <c r="IJ42" s="87">
        <f t="shared" si="29"/>
        <v>0</v>
      </c>
      <c r="IK42" s="114"/>
      <c r="IL42" s="89"/>
      <c r="IM42" s="82"/>
      <c r="IO42" s="90"/>
      <c r="IP42" s="87"/>
      <c r="IQ42" s="87"/>
      <c r="IR42" s="87">
        <f t="shared" si="30"/>
        <v>0</v>
      </c>
      <c r="IS42" s="114"/>
      <c r="IT42" s="89"/>
      <c r="IU42" s="82"/>
      <c r="IW42" s="90"/>
      <c r="IX42" s="87"/>
      <c r="IY42" s="87"/>
      <c r="IZ42" s="87">
        <f t="shared" si="31"/>
        <v>0</v>
      </c>
      <c r="JA42" s="114"/>
      <c r="JB42" s="89"/>
      <c r="JC42" s="82"/>
      <c r="JE42" s="90"/>
      <c r="JF42" s="87"/>
      <c r="JG42" s="87"/>
      <c r="JH42" s="87">
        <f t="shared" si="32"/>
        <v>0</v>
      </c>
      <c r="JI42" s="114"/>
      <c r="JJ42" s="89"/>
      <c r="JK42" s="82"/>
      <c r="JM42" s="90"/>
      <c r="JN42" s="87"/>
      <c r="JO42" s="87"/>
      <c r="JP42" s="87">
        <f t="shared" si="33"/>
        <v>0</v>
      </c>
      <c r="JQ42" s="114"/>
      <c r="JR42" s="91"/>
      <c r="JS42" s="82"/>
      <c r="JU42" s="90"/>
      <c r="JV42" s="87"/>
      <c r="JW42" s="87"/>
      <c r="JX42" s="87">
        <f t="shared" si="94"/>
        <v>0</v>
      </c>
      <c r="JY42" s="114"/>
      <c r="JZ42" s="89"/>
      <c r="KA42" s="82"/>
      <c r="KC42" s="90"/>
      <c r="KD42" s="87"/>
      <c r="KE42" s="87"/>
      <c r="KF42" s="87">
        <f t="shared" si="34"/>
        <v>0</v>
      </c>
      <c r="KG42" s="114"/>
      <c r="KH42" s="86"/>
      <c r="KI42" s="109"/>
      <c r="KK42" s="90"/>
      <c r="KL42" s="87"/>
      <c r="KM42" s="87"/>
      <c r="KN42" s="87">
        <f t="shared" si="35"/>
        <v>0</v>
      </c>
      <c r="KO42" s="114"/>
      <c r="KP42" s="89"/>
      <c r="KQ42" s="82"/>
      <c r="KS42" s="90"/>
      <c r="KT42" s="87"/>
      <c r="KU42" s="87"/>
      <c r="KV42" s="87">
        <f t="shared" si="36"/>
        <v>0</v>
      </c>
      <c r="KW42" s="114"/>
      <c r="KX42" s="89"/>
      <c r="KY42" s="82"/>
      <c r="LA42" s="90"/>
      <c r="LB42" s="87"/>
      <c r="LC42" s="87"/>
      <c r="LD42" s="87">
        <f t="shared" si="37"/>
        <v>0</v>
      </c>
      <c r="LE42" s="114"/>
      <c r="LF42" s="89"/>
      <c r="LG42" s="82"/>
      <c r="LI42" s="99"/>
      <c r="LJ42" s="87"/>
      <c r="LK42" s="87"/>
      <c r="LL42" s="87">
        <f t="shared" si="38"/>
        <v>0</v>
      </c>
      <c r="LM42" s="114"/>
      <c r="LN42" s="89"/>
      <c r="LO42" s="82"/>
      <c r="LQ42" s="90"/>
      <c r="LR42" s="87"/>
      <c r="LS42" s="87"/>
      <c r="LT42" s="87">
        <f t="shared" si="39"/>
        <v>0</v>
      </c>
      <c r="LU42" s="114"/>
      <c r="LV42" s="89"/>
      <c r="LW42" s="82"/>
      <c r="LY42" s="84"/>
      <c r="LZ42" s="87"/>
      <c r="MA42" s="87"/>
      <c r="MB42" s="87">
        <f t="shared" si="40"/>
        <v>0</v>
      </c>
      <c r="MC42" s="114"/>
      <c r="MD42" s="89"/>
      <c r="ME42" s="82"/>
      <c r="MG42" s="90"/>
      <c r="MH42" s="87"/>
      <c r="MI42" s="87"/>
      <c r="MJ42" s="87">
        <f t="shared" si="41"/>
        <v>0</v>
      </c>
      <c r="MK42" s="114"/>
      <c r="ML42" s="89"/>
      <c r="MM42" s="82"/>
      <c r="MO42" s="90"/>
      <c r="MP42" s="87"/>
      <c r="MQ42" s="87"/>
      <c r="MR42" s="87">
        <f t="shared" si="42"/>
        <v>0</v>
      </c>
      <c r="MS42" s="114"/>
      <c r="MT42" s="89"/>
      <c r="MU42" s="82"/>
      <c r="MW42" s="90"/>
      <c r="MX42" s="87"/>
      <c r="MY42" s="87"/>
      <c r="MZ42" s="87">
        <f t="shared" si="43"/>
        <v>0</v>
      </c>
      <c r="NA42" s="114"/>
      <c r="NB42" s="89"/>
      <c r="NC42" s="82"/>
      <c r="NE42" s="90"/>
      <c r="NF42" s="87"/>
      <c r="NG42" s="87"/>
      <c r="NH42" s="87">
        <f t="shared" si="44"/>
        <v>0</v>
      </c>
      <c r="NI42" s="114"/>
      <c r="NJ42" s="89"/>
      <c r="NK42" s="82"/>
      <c r="NM42" s="90"/>
      <c r="NN42" s="87"/>
      <c r="NO42" s="87"/>
      <c r="NP42" s="87">
        <f t="shared" si="45"/>
        <v>0</v>
      </c>
      <c r="NQ42" s="114"/>
      <c r="NR42" s="89"/>
      <c r="NS42" s="82"/>
      <c r="NU42" s="90"/>
      <c r="NV42" s="87"/>
      <c r="NW42" s="87"/>
      <c r="NX42" s="87">
        <f t="shared" si="46"/>
        <v>0</v>
      </c>
      <c r="NY42" s="114"/>
      <c r="NZ42" s="89"/>
      <c r="OA42" s="82"/>
      <c r="OC42" s="90"/>
      <c r="OD42" s="87"/>
      <c r="OE42" s="87"/>
      <c r="OF42" s="87">
        <f t="shared" si="47"/>
        <v>0</v>
      </c>
      <c r="OG42" s="114"/>
      <c r="OH42" s="89"/>
      <c r="OI42" s="82"/>
      <c r="OK42" s="90"/>
      <c r="OL42" s="87"/>
      <c r="OM42" s="87"/>
      <c r="ON42" s="87">
        <f t="shared" si="48"/>
        <v>0</v>
      </c>
      <c r="OO42" s="114"/>
      <c r="OP42" s="91"/>
      <c r="OQ42" s="82"/>
      <c r="OS42" s="90"/>
      <c r="OT42" s="87"/>
      <c r="OU42" s="87"/>
      <c r="OV42" s="87">
        <f t="shared" si="49"/>
        <v>0</v>
      </c>
      <c r="OW42" s="114"/>
      <c r="OX42" s="89"/>
      <c r="OY42" s="82"/>
      <c r="PA42" s="90"/>
      <c r="PB42" s="87"/>
      <c r="PC42" s="87"/>
      <c r="PD42" s="87">
        <f t="shared" si="50"/>
        <v>0</v>
      </c>
      <c r="PE42" s="114"/>
      <c r="PF42" s="89"/>
      <c r="PG42" s="82"/>
      <c r="PI42" s="90"/>
      <c r="PJ42" s="87"/>
      <c r="PK42" s="87"/>
      <c r="PL42" s="87">
        <f t="shared" si="51"/>
        <v>0</v>
      </c>
      <c r="PM42" s="114"/>
      <c r="PN42" s="211"/>
      <c r="PO42" s="216"/>
      <c r="PQ42" s="90"/>
      <c r="PR42" s="87"/>
      <c r="PS42" s="87"/>
      <c r="PT42" s="87">
        <f t="shared" si="52"/>
        <v>0</v>
      </c>
      <c r="PU42" s="114"/>
      <c r="PV42" s="89"/>
      <c r="PW42" s="82"/>
      <c r="PY42" s="90"/>
      <c r="PZ42" s="87"/>
      <c r="QA42" s="87"/>
      <c r="QB42" s="87">
        <f t="shared" si="53"/>
        <v>0</v>
      </c>
      <c r="QC42" s="114"/>
      <c r="QD42" s="89"/>
      <c r="QE42" s="82"/>
      <c r="QG42" s="90"/>
      <c r="QH42" s="87"/>
      <c r="QI42" s="87"/>
      <c r="QJ42" s="87">
        <f t="shared" si="54"/>
        <v>0</v>
      </c>
      <c r="QK42" s="114"/>
      <c r="QL42" s="89"/>
      <c r="QM42" s="82"/>
      <c r="QO42" s="90"/>
      <c r="QP42" s="87"/>
      <c r="QQ42" s="87"/>
      <c r="QR42" s="87">
        <f t="shared" si="55"/>
        <v>0</v>
      </c>
      <c r="QS42" s="114"/>
      <c r="QT42" s="211"/>
      <c r="QU42" s="216"/>
      <c r="QW42" s="90"/>
      <c r="QX42" s="87"/>
      <c r="QY42" s="87"/>
      <c r="QZ42" s="87">
        <f t="shared" si="56"/>
        <v>0</v>
      </c>
      <c r="RA42" s="114"/>
      <c r="RB42" s="89"/>
      <c r="RC42" s="82"/>
      <c r="RE42" s="90"/>
      <c r="RF42" s="87"/>
      <c r="RG42" s="87"/>
      <c r="RH42" s="87">
        <f t="shared" si="57"/>
        <v>0</v>
      </c>
      <c r="RI42" s="114"/>
      <c r="RJ42" s="89"/>
      <c r="RK42" s="170"/>
      <c r="RM42" s="90"/>
      <c r="RN42" s="87"/>
      <c r="RO42" s="87"/>
      <c r="RP42" s="87">
        <f t="shared" si="58"/>
        <v>0</v>
      </c>
      <c r="RQ42" s="114"/>
      <c r="RR42" s="89"/>
      <c r="RS42" s="82"/>
      <c r="RU42" s="90"/>
      <c r="RV42" s="87"/>
      <c r="RW42" s="87"/>
      <c r="RX42" s="87">
        <f t="shared" si="59"/>
        <v>0</v>
      </c>
      <c r="RY42" s="114"/>
      <c r="RZ42" s="89"/>
      <c r="SA42" s="82"/>
      <c r="SC42" s="90"/>
      <c r="SD42" s="87"/>
      <c r="SE42" s="87"/>
      <c r="SF42" s="87">
        <f t="shared" si="60"/>
        <v>0</v>
      </c>
      <c r="SG42" s="114"/>
      <c r="SH42" s="89"/>
      <c r="SI42" s="82"/>
      <c r="SK42" s="90"/>
      <c r="SL42" s="87"/>
      <c r="SM42" s="87"/>
      <c r="SN42" s="87">
        <f t="shared" si="61"/>
        <v>0</v>
      </c>
      <c r="SO42" s="114"/>
      <c r="SP42" s="89"/>
      <c r="SQ42" s="82"/>
      <c r="SS42" s="90"/>
      <c r="ST42" s="87"/>
      <c r="SU42" s="87"/>
      <c r="SV42" s="87">
        <f t="shared" si="62"/>
        <v>0</v>
      </c>
      <c r="SW42" s="114"/>
      <c r="SX42" s="89"/>
      <c r="SY42" s="82"/>
      <c r="TA42" s="90"/>
      <c r="TB42" s="87"/>
      <c r="TC42" s="87"/>
      <c r="TD42" s="87">
        <f t="shared" si="63"/>
        <v>0</v>
      </c>
      <c r="TE42" s="114"/>
      <c r="TF42" s="89"/>
      <c r="TG42" s="82"/>
      <c r="TI42" s="90"/>
      <c r="TJ42" s="87"/>
      <c r="TK42" s="87"/>
      <c r="TL42" s="87">
        <f t="shared" si="64"/>
        <v>0</v>
      </c>
      <c r="TM42" s="114"/>
      <c r="TN42" s="89"/>
      <c r="TO42" s="82"/>
      <c r="TQ42" s="90"/>
      <c r="TR42" s="87"/>
      <c r="TS42" s="87"/>
      <c r="TT42" s="87">
        <f t="shared" si="65"/>
        <v>0</v>
      </c>
      <c r="TU42" s="114"/>
      <c r="TV42" s="91"/>
      <c r="TW42" s="82"/>
      <c r="TY42" s="90"/>
      <c r="TZ42" s="87"/>
      <c r="UA42" s="87"/>
      <c r="UB42" s="87">
        <f t="shared" si="66"/>
        <v>0</v>
      </c>
      <c r="UC42" s="114"/>
      <c r="UD42" s="89"/>
      <c r="UE42" s="82"/>
      <c r="UG42" s="90"/>
      <c r="UH42" s="87"/>
      <c r="UI42" s="87"/>
      <c r="UJ42" s="87">
        <f t="shared" si="67"/>
        <v>0</v>
      </c>
      <c r="UK42" s="114"/>
      <c r="UL42" s="89"/>
      <c r="UM42" s="82"/>
      <c r="UO42" s="90"/>
      <c r="UP42" s="87"/>
      <c r="UQ42" s="87"/>
      <c r="UR42" s="87">
        <f t="shared" si="68"/>
        <v>0</v>
      </c>
      <c r="US42" s="114"/>
      <c r="UT42" s="89"/>
      <c r="UU42" s="82"/>
      <c r="UW42" s="90"/>
      <c r="UX42" s="87"/>
      <c r="UY42" s="87"/>
      <c r="UZ42" s="87">
        <f t="shared" si="69"/>
        <v>0</v>
      </c>
      <c r="VA42" s="114"/>
      <c r="VB42" s="89"/>
      <c r="VC42" s="82"/>
      <c r="VE42" s="90"/>
      <c r="VF42" s="87"/>
      <c r="VG42" s="87"/>
      <c r="VH42" s="87">
        <f t="shared" si="70"/>
        <v>0</v>
      </c>
      <c r="VI42" s="114"/>
      <c r="VJ42" s="89"/>
      <c r="VK42" s="82"/>
      <c r="VM42" s="90"/>
      <c r="VN42" s="87"/>
      <c r="VO42" s="87"/>
      <c r="VP42" s="87">
        <f t="shared" si="71"/>
        <v>0</v>
      </c>
      <c r="VQ42" s="114"/>
      <c r="VR42" s="89"/>
      <c r="VS42" s="82"/>
      <c r="VU42" s="90"/>
      <c r="VV42" s="87"/>
      <c r="VW42" s="87"/>
      <c r="VX42" s="87">
        <f t="shared" si="72"/>
        <v>0</v>
      </c>
      <c r="VY42" s="114"/>
      <c r="VZ42" s="89"/>
      <c r="WA42" s="82"/>
      <c r="WC42" s="90"/>
      <c r="WD42" s="87"/>
      <c r="WE42" s="87"/>
      <c r="WF42" s="87">
        <f t="shared" si="73"/>
        <v>0</v>
      </c>
      <c r="WG42" s="114"/>
      <c r="WH42" s="89"/>
      <c r="WI42" s="82"/>
      <c r="WK42" s="90"/>
      <c r="WL42" s="87"/>
      <c r="WM42" s="87"/>
      <c r="WN42" s="87">
        <f t="shared" si="74"/>
        <v>0</v>
      </c>
      <c r="WO42" s="114"/>
      <c r="WP42" s="89"/>
      <c r="WQ42" s="82"/>
      <c r="WS42" s="90"/>
      <c r="WT42" s="87"/>
      <c r="WU42" s="87"/>
      <c r="WV42" s="87">
        <f t="shared" si="75"/>
        <v>0</v>
      </c>
      <c r="WW42" s="114"/>
      <c r="WX42" s="89"/>
      <c r="WY42" s="82"/>
      <c r="XA42" s="90"/>
      <c r="XB42" s="87"/>
      <c r="XC42" s="87"/>
      <c r="XD42" s="87">
        <f t="shared" si="76"/>
        <v>0</v>
      </c>
      <c r="XE42" s="114"/>
      <c r="XF42" s="89"/>
      <c r="XG42" s="82"/>
      <c r="XI42" s="7"/>
      <c r="XJ42" s="87"/>
      <c r="XK42" s="87"/>
      <c r="XL42" s="87">
        <f t="shared" si="77"/>
        <v>0</v>
      </c>
      <c r="XM42" s="114"/>
      <c r="XN42" s="89"/>
      <c r="XO42" s="82"/>
      <c r="XQ42" s="90"/>
      <c r="XR42" s="87"/>
      <c r="XS42" s="87"/>
      <c r="XT42" s="87">
        <f t="shared" si="78"/>
        <v>0</v>
      </c>
      <c r="XU42" s="114"/>
      <c r="XV42" s="89"/>
      <c r="XW42" s="82"/>
      <c r="XY42" s="90"/>
      <c r="XZ42" s="87"/>
      <c r="YA42" s="87"/>
      <c r="YB42" s="87">
        <f t="shared" si="79"/>
        <v>0</v>
      </c>
      <c r="YC42" s="114"/>
      <c r="YD42" s="89"/>
      <c r="YE42" s="82"/>
      <c r="YG42" s="90"/>
      <c r="YH42" s="87"/>
      <c r="YI42" s="87"/>
      <c r="YJ42" s="87">
        <f t="shared" si="80"/>
        <v>0</v>
      </c>
      <c r="YK42" s="114"/>
      <c r="YL42" s="89"/>
      <c r="YM42" s="82"/>
      <c r="YO42" s="90"/>
      <c r="YP42" s="87"/>
      <c r="YQ42" s="87"/>
      <c r="YR42" s="87">
        <f t="shared" si="81"/>
        <v>0</v>
      </c>
      <c r="YS42" s="114"/>
      <c r="YT42" s="89"/>
      <c r="YU42" s="82"/>
      <c r="YW42" s="90"/>
      <c r="YX42" s="87"/>
      <c r="YY42" s="87"/>
      <c r="YZ42" s="87">
        <f t="shared" si="82"/>
        <v>0</v>
      </c>
      <c r="ZA42" s="114"/>
      <c r="ZB42" s="89"/>
      <c r="ZC42" s="82"/>
      <c r="ZE42" s="90"/>
      <c r="ZF42" s="87"/>
      <c r="ZG42" s="87"/>
      <c r="ZH42" s="87">
        <f t="shared" si="83"/>
        <v>0</v>
      </c>
      <c r="ZI42" s="114"/>
      <c r="ZJ42" s="89"/>
      <c r="ZK42" s="82"/>
      <c r="ZM42" s="90"/>
      <c r="ZN42" s="87"/>
      <c r="ZO42" s="87"/>
      <c r="ZP42" s="87">
        <f t="shared" si="84"/>
        <v>0</v>
      </c>
      <c r="ZQ42" s="114"/>
      <c r="ZR42" s="89"/>
      <c r="ZS42" s="82"/>
      <c r="ZU42" s="90"/>
      <c r="ZV42" s="87"/>
      <c r="ZW42" s="87"/>
      <c r="ZX42" s="87">
        <f t="shared" si="85"/>
        <v>0</v>
      </c>
      <c r="ZY42" s="114"/>
      <c r="ZZ42" s="89"/>
      <c r="AAA42" s="82"/>
      <c r="AAC42" s="90"/>
      <c r="AAD42" s="87"/>
      <c r="AAE42" s="87"/>
      <c r="AAF42" s="87">
        <f t="shared" si="86"/>
        <v>0</v>
      </c>
      <c r="AAG42" s="114"/>
      <c r="AAH42" s="89"/>
      <c r="AAI42" s="82"/>
      <c r="AAK42" s="90"/>
      <c r="AAL42" s="87"/>
      <c r="AAM42" s="87"/>
      <c r="AAN42" s="87">
        <f t="shared" si="87"/>
        <v>0</v>
      </c>
      <c r="AAO42" s="114"/>
      <c r="AAP42" s="89"/>
      <c r="AAQ42" s="82"/>
      <c r="AAS42" s="90"/>
      <c r="AAT42" s="87"/>
      <c r="AAU42" s="87"/>
      <c r="AAV42" s="87">
        <f t="shared" si="88"/>
        <v>0</v>
      </c>
      <c r="AAW42" s="114"/>
      <c r="AAX42" s="89"/>
      <c r="AAY42" s="82"/>
      <c r="ABA42" s="90"/>
      <c r="ABB42" s="87"/>
      <c r="ABC42" s="87"/>
      <c r="ABD42" s="87">
        <f t="shared" si="89"/>
        <v>0</v>
      </c>
      <c r="ABE42" s="114"/>
      <c r="ABF42" s="89"/>
      <c r="ABG42" s="82"/>
      <c r="ABI42" s="90"/>
      <c r="ABJ42" s="87"/>
      <c r="ABK42" s="87"/>
      <c r="ABL42" s="87">
        <f t="shared" si="90"/>
        <v>0</v>
      </c>
      <c r="ABM42" s="114"/>
      <c r="ABN42" s="89"/>
      <c r="ABO42" s="82"/>
      <c r="ABQ42" s="90"/>
      <c r="ABR42" s="87"/>
      <c r="ABS42" s="87"/>
      <c r="ABT42" s="87">
        <f t="shared" si="91"/>
        <v>0</v>
      </c>
      <c r="ABU42" s="114"/>
      <c r="ABV42" s="89"/>
      <c r="ABW42" s="82"/>
      <c r="ABY42" s="90"/>
      <c r="ABZ42" s="87"/>
      <c r="ACA42" s="87"/>
      <c r="ACB42" s="87">
        <f t="shared" si="92"/>
        <v>0</v>
      </c>
      <c r="ACC42" s="114"/>
      <c r="ACD42" s="89"/>
      <c r="ACE42" s="82"/>
    </row>
    <row r="43" spans="1:759" ht="12" customHeight="1" x14ac:dyDescent="0.25">
      <c r="A43" s="84"/>
      <c r="B43" s="85"/>
      <c r="C43" s="87"/>
      <c r="D43" s="87">
        <f t="shared" si="2"/>
        <v>1700</v>
      </c>
      <c r="E43" s="114"/>
      <c r="F43" s="211"/>
      <c r="G43" s="382"/>
      <c r="H43" s="72"/>
      <c r="I43" s="84"/>
      <c r="J43" s="87"/>
      <c r="K43" s="87"/>
      <c r="L43" s="87">
        <f t="shared" si="0"/>
        <v>1000</v>
      </c>
      <c r="M43" s="114"/>
      <c r="N43" s="89"/>
      <c r="O43" s="82"/>
      <c r="P43" s="72"/>
      <c r="Q43" s="90"/>
      <c r="R43" s="87"/>
      <c r="S43" s="87"/>
      <c r="T43" s="87">
        <f t="shared" si="1"/>
        <v>4000</v>
      </c>
      <c r="U43" s="114"/>
      <c r="V43" s="89"/>
      <c r="W43" s="82"/>
      <c r="X43" s="72"/>
      <c r="Y43" s="90"/>
      <c r="Z43" s="87"/>
      <c r="AA43" s="87"/>
      <c r="AB43" s="87">
        <f t="shared" si="3"/>
        <v>1000</v>
      </c>
      <c r="AC43" s="114"/>
      <c r="AD43" s="89"/>
      <c r="AE43" s="82"/>
      <c r="AF43" s="72"/>
      <c r="AG43" s="84"/>
      <c r="AH43" s="222"/>
      <c r="AI43" s="222"/>
      <c r="AJ43" s="87">
        <f t="shared" si="4"/>
        <v>2000</v>
      </c>
      <c r="AK43" s="114"/>
      <c r="AL43" s="89"/>
      <c r="AM43" s="82"/>
      <c r="AN43" s="72"/>
      <c r="AO43" s="90"/>
      <c r="AP43" s="222"/>
      <c r="AQ43" s="222"/>
      <c r="AR43" s="87">
        <f t="shared" si="5"/>
        <v>1000</v>
      </c>
      <c r="AS43" s="114"/>
      <c r="AT43" s="89"/>
      <c r="AU43" s="82"/>
      <c r="AV43" s="72"/>
      <c r="AW43" s="90"/>
      <c r="AX43" s="87"/>
      <c r="AY43" s="87"/>
      <c r="AZ43" s="87">
        <f t="shared" si="6"/>
        <v>1150</v>
      </c>
      <c r="BA43" s="114"/>
      <c r="BB43" s="211"/>
      <c r="BC43" s="82"/>
      <c r="BD43" s="72"/>
      <c r="BE43" s="90"/>
      <c r="BF43" s="87"/>
      <c r="BG43" s="87"/>
      <c r="BH43" s="87">
        <f t="shared" si="7"/>
        <v>7000</v>
      </c>
      <c r="BI43" s="114"/>
      <c r="BJ43" s="220"/>
      <c r="BK43" s="82"/>
      <c r="BL43" s="72"/>
      <c r="BM43" s="90"/>
      <c r="BN43" s="87"/>
      <c r="BO43" s="87"/>
      <c r="BP43" s="87">
        <f t="shared" si="8"/>
        <v>1000</v>
      </c>
      <c r="BQ43" s="114"/>
      <c r="BR43" s="89"/>
      <c r="BS43" s="82"/>
      <c r="BT43" s="72"/>
      <c r="BU43" s="90"/>
      <c r="BV43" s="87"/>
      <c r="BW43" s="87"/>
      <c r="BX43" s="87">
        <f t="shared" si="9"/>
        <v>0</v>
      </c>
      <c r="BY43" s="114"/>
      <c r="BZ43" s="89"/>
      <c r="CA43" s="82"/>
      <c r="CB43" s="72"/>
      <c r="CC43" s="90"/>
      <c r="CD43" s="87"/>
      <c r="CE43" s="87"/>
      <c r="CF43" s="87">
        <f t="shared" si="10"/>
        <v>0</v>
      </c>
      <c r="CG43" s="114"/>
      <c r="CH43" s="89"/>
      <c r="CI43" s="82"/>
      <c r="CJ43" s="72"/>
      <c r="CK43" s="90"/>
      <c r="CL43" s="87"/>
      <c r="CM43" s="87"/>
      <c r="CN43" s="87">
        <f t="shared" si="11"/>
        <v>0</v>
      </c>
      <c r="CO43" s="114"/>
      <c r="CP43" s="220"/>
      <c r="CQ43" s="82"/>
      <c r="CR43" s="72"/>
      <c r="CS43" s="90"/>
      <c r="CT43" s="87"/>
      <c r="CU43" s="87"/>
      <c r="CV43" s="87">
        <f t="shared" si="12"/>
        <v>0</v>
      </c>
      <c r="CW43" s="114"/>
      <c r="CX43" s="220"/>
      <c r="CY43" s="82"/>
      <c r="CZ43" s="72"/>
      <c r="DA43" s="84"/>
      <c r="DB43" s="87"/>
      <c r="DC43" s="87"/>
      <c r="DD43" s="87">
        <f t="shared" si="13"/>
        <v>0</v>
      </c>
      <c r="DE43" s="114"/>
      <c r="DF43" s="89"/>
      <c r="DG43" s="82"/>
      <c r="DH43" s="72"/>
      <c r="DI43" s="90"/>
      <c r="DJ43" s="87"/>
      <c r="DK43" s="87"/>
      <c r="DL43" s="87">
        <f t="shared" si="14"/>
        <v>0</v>
      </c>
      <c r="DM43" s="114"/>
      <c r="DN43" s="89"/>
      <c r="DO43" s="82"/>
      <c r="DP43" s="72"/>
      <c r="DQ43" s="90"/>
      <c r="DR43" s="87"/>
      <c r="DS43" s="87"/>
      <c r="DT43" s="87">
        <f t="shared" si="15"/>
        <v>0</v>
      </c>
      <c r="DU43" s="114"/>
      <c r="DV43" s="89"/>
      <c r="DW43" s="82"/>
      <c r="DX43" s="72"/>
      <c r="DY43" s="90"/>
      <c r="DZ43" s="87"/>
      <c r="EA43" s="87"/>
      <c r="EB43" s="87">
        <f t="shared" si="16"/>
        <v>0</v>
      </c>
      <c r="EC43" s="114"/>
      <c r="ED43" s="89"/>
      <c r="EE43" s="82"/>
      <c r="EF43" s="72"/>
      <c r="EG43" s="90"/>
      <c r="EH43" s="87"/>
      <c r="EI43" s="87"/>
      <c r="EJ43" s="87">
        <f t="shared" si="17"/>
        <v>0</v>
      </c>
      <c r="EK43" s="114"/>
      <c r="EL43" s="89"/>
      <c r="EM43" s="82"/>
      <c r="EO43" s="90"/>
      <c r="EP43" s="87"/>
      <c r="EQ43" s="87"/>
      <c r="ER43" s="87">
        <f t="shared" si="18"/>
        <v>0</v>
      </c>
      <c r="ES43" s="114"/>
      <c r="ET43" s="89"/>
      <c r="EU43" s="82"/>
      <c r="EW43" s="90"/>
      <c r="EX43" s="87"/>
      <c r="EY43" s="87"/>
      <c r="EZ43" s="87">
        <f t="shared" si="19"/>
        <v>0</v>
      </c>
      <c r="FA43" s="114"/>
      <c r="FB43" s="89"/>
      <c r="FC43" s="82"/>
      <c r="FE43" s="90"/>
      <c r="FF43" s="87"/>
      <c r="FG43" s="87"/>
      <c r="FH43" s="87">
        <f t="shared" si="93"/>
        <v>0</v>
      </c>
      <c r="FI43" s="114"/>
      <c r="FJ43" s="89"/>
      <c r="FK43" s="82"/>
      <c r="FM43" s="90"/>
      <c r="FN43" s="87"/>
      <c r="FO43" s="87"/>
      <c r="FP43" s="87">
        <f t="shared" si="20"/>
        <v>0</v>
      </c>
      <c r="FQ43" s="114"/>
      <c r="FR43" s="89"/>
      <c r="FS43" s="82"/>
      <c r="FT43" s="72"/>
      <c r="FU43" s="90"/>
      <c r="FV43" s="87"/>
      <c r="FW43" s="87"/>
      <c r="FX43" s="87">
        <f t="shared" si="21"/>
        <v>0</v>
      </c>
      <c r="FY43" s="165"/>
      <c r="FZ43" s="89"/>
      <c r="GA43" s="82"/>
      <c r="GC43" s="90"/>
      <c r="GD43" s="87"/>
      <c r="GE43" s="87"/>
      <c r="GF43" s="87">
        <f t="shared" si="22"/>
        <v>0</v>
      </c>
      <c r="GG43" s="114"/>
      <c r="GH43" s="89"/>
      <c r="GI43" s="82"/>
      <c r="GK43" s="90"/>
      <c r="GL43" s="87"/>
      <c r="GM43" s="87"/>
      <c r="GN43" s="87">
        <f t="shared" si="23"/>
        <v>0</v>
      </c>
      <c r="GO43" s="114"/>
      <c r="GP43" s="89"/>
      <c r="GQ43" s="82"/>
      <c r="GS43" s="90"/>
      <c r="GT43" s="87"/>
      <c r="GU43" s="87"/>
      <c r="GV43" s="87">
        <f t="shared" si="24"/>
        <v>0</v>
      </c>
      <c r="GW43" s="114"/>
      <c r="GX43" s="89"/>
      <c r="GY43" s="82"/>
      <c r="HA43" s="90"/>
      <c r="HB43" s="87"/>
      <c r="HC43" s="87"/>
      <c r="HD43" s="87">
        <f t="shared" si="25"/>
        <v>0</v>
      </c>
      <c r="HE43" s="114"/>
      <c r="HF43" s="89"/>
      <c r="HG43" s="82"/>
      <c r="HI43" s="90"/>
      <c r="HJ43" s="87"/>
      <c r="HK43" s="87"/>
      <c r="HL43" s="87">
        <f t="shared" si="26"/>
        <v>0</v>
      </c>
      <c r="HM43" s="114"/>
      <c r="HN43" s="89"/>
      <c r="HO43" s="82"/>
      <c r="HQ43" s="90"/>
      <c r="HR43" s="87"/>
      <c r="HS43" s="87"/>
      <c r="HT43" s="87">
        <f t="shared" si="27"/>
        <v>0</v>
      </c>
      <c r="HU43" s="114"/>
      <c r="HV43" s="89"/>
      <c r="HW43" s="82"/>
      <c r="HY43" s="90"/>
      <c r="HZ43" s="87"/>
      <c r="IA43" s="87"/>
      <c r="IB43" s="87">
        <f t="shared" si="28"/>
        <v>0</v>
      </c>
      <c r="IC43" s="114"/>
      <c r="ID43" s="89"/>
      <c r="IE43" s="82"/>
      <c r="IG43" s="90"/>
      <c r="IH43" s="87"/>
      <c r="II43" s="87"/>
      <c r="IJ43" s="87">
        <f t="shared" si="29"/>
        <v>0</v>
      </c>
      <c r="IK43" s="114"/>
      <c r="IL43" s="89"/>
      <c r="IM43" s="82"/>
      <c r="IO43" s="90"/>
      <c r="IP43" s="87"/>
      <c r="IQ43" s="87"/>
      <c r="IR43" s="87">
        <f t="shared" si="30"/>
        <v>0</v>
      </c>
      <c r="IS43" s="114"/>
      <c r="IT43" s="89"/>
      <c r="IU43" s="82"/>
      <c r="IW43" s="90"/>
      <c r="IX43" s="87"/>
      <c r="IY43" s="87"/>
      <c r="IZ43" s="87">
        <f t="shared" si="31"/>
        <v>0</v>
      </c>
      <c r="JA43" s="114"/>
      <c r="JB43" s="89"/>
      <c r="JC43" s="82"/>
      <c r="JE43" s="90"/>
      <c r="JF43" s="87"/>
      <c r="JG43" s="87"/>
      <c r="JH43" s="87">
        <f t="shared" si="32"/>
        <v>0</v>
      </c>
      <c r="JI43" s="114"/>
      <c r="JJ43" s="89"/>
      <c r="JK43" s="82"/>
      <c r="JM43" s="90"/>
      <c r="JN43" s="87"/>
      <c r="JO43" s="87"/>
      <c r="JP43" s="87">
        <f t="shared" si="33"/>
        <v>0</v>
      </c>
      <c r="JQ43" s="114"/>
      <c r="JR43" s="91"/>
      <c r="JS43" s="82"/>
      <c r="JU43" s="90"/>
      <c r="JV43" s="87"/>
      <c r="JW43" s="87"/>
      <c r="JX43" s="87">
        <f t="shared" si="94"/>
        <v>0</v>
      </c>
      <c r="JY43" s="114"/>
      <c r="JZ43" s="89"/>
      <c r="KA43" s="82"/>
      <c r="KC43" s="90"/>
      <c r="KD43" s="87"/>
      <c r="KE43" s="87"/>
      <c r="KF43" s="87">
        <f t="shared" si="34"/>
        <v>0</v>
      </c>
      <c r="KG43" s="114"/>
      <c r="KH43" s="86"/>
      <c r="KI43" s="109"/>
      <c r="KK43" s="90"/>
      <c r="KL43" s="87"/>
      <c r="KM43" s="87"/>
      <c r="KN43" s="87">
        <f t="shared" si="35"/>
        <v>0</v>
      </c>
      <c r="KO43" s="114"/>
      <c r="KP43" s="89"/>
      <c r="KQ43" s="82"/>
      <c r="KS43" s="90"/>
      <c r="KT43" s="87"/>
      <c r="KU43" s="87"/>
      <c r="KV43" s="87">
        <f t="shared" si="36"/>
        <v>0</v>
      </c>
      <c r="KW43" s="114"/>
      <c r="KX43" s="89"/>
      <c r="KY43" s="82"/>
      <c r="LA43" s="90"/>
      <c r="LB43" s="87"/>
      <c r="LC43" s="87"/>
      <c r="LD43" s="87">
        <f t="shared" si="37"/>
        <v>0</v>
      </c>
      <c r="LE43" s="114"/>
      <c r="LF43" s="89"/>
      <c r="LG43" s="82"/>
      <c r="LI43" s="99"/>
      <c r="LJ43" s="87"/>
      <c r="LK43" s="87"/>
      <c r="LL43" s="87">
        <f t="shared" si="38"/>
        <v>0</v>
      </c>
      <c r="LM43" s="114"/>
      <c r="LN43" s="89"/>
      <c r="LO43" s="82"/>
      <c r="LQ43" s="90"/>
      <c r="LR43" s="87"/>
      <c r="LS43" s="87"/>
      <c r="LT43" s="87">
        <f t="shared" si="39"/>
        <v>0</v>
      </c>
      <c r="LU43" s="114"/>
      <c r="LV43" s="89"/>
      <c r="LW43" s="82"/>
      <c r="LY43" s="84"/>
      <c r="LZ43" s="87"/>
      <c r="MA43" s="87"/>
      <c r="MB43" s="87">
        <f t="shared" si="40"/>
        <v>0</v>
      </c>
      <c r="MC43" s="114"/>
      <c r="MD43" s="89"/>
      <c r="ME43" s="82"/>
      <c r="MG43" s="90"/>
      <c r="MH43" s="87"/>
      <c r="MI43" s="87"/>
      <c r="MJ43" s="87">
        <f t="shared" si="41"/>
        <v>0</v>
      </c>
      <c r="MK43" s="114"/>
      <c r="ML43" s="89"/>
      <c r="MM43" s="82"/>
      <c r="MO43" s="90"/>
      <c r="MP43" s="87"/>
      <c r="MQ43" s="87"/>
      <c r="MR43" s="87">
        <f t="shared" si="42"/>
        <v>0</v>
      </c>
      <c r="MS43" s="114"/>
      <c r="MT43" s="89"/>
      <c r="MU43" s="82"/>
      <c r="MW43" s="90"/>
      <c r="MX43" s="87"/>
      <c r="MY43" s="87"/>
      <c r="MZ43" s="87">
        <f t="shared" si="43"/>
        <v>0</v>
      </c>
      <c r="NA43" s="114"/>
      <c r="NB43" s="89"/>
      <c r="NC43" s="82"/>
      <c r="NE43" s="90"/>
      <c r="NF43" s="87"/>
      <c r="NG43" s="87"/>
      <c r="NH43" s="87">
        <f t="shared" si="44"/>
        <v>0</v>
      </c>
      <c r="NI43" s="114"/>
      <c r="NJ43" s="89"/>
      <c r="NK43" s="82"/>
      <c r="NM43" s="90"/>
      <c r="NN43" s="87"/>
      <c r="NO43" s="87"/>
      <c r="NP43" s="87">
        <f t="shared" si="45"/>
        <v>0</v>
      </c>
      <c r="NQ43" s="114"/>
      <c r="NR43" s="89"/>
      <c r="NS43" s="82"/>
      <c r="NU43" s="90"/>
      <c r="NV43" s="87"/>
      <c r="NW43" s="87"/>
      <c r="NX43" s="87">
        <f t="shared" si="46"/>
        <v>0</v>
      </c>
      <c r="NY43" s="114"/>
      <c r="NZ43" s="89"/>
      <c r="OA43" s="82"/>
      <c r="OC43" s="90"/>
      <c r="OD43" s="87"/>
      <c r="OE43" s="87"/>
      <c r="OF43" s="87">
        <f t="shared" si="47"/>
        <v>0</v>
      </c>
      <c r="OG43" s="114"/>
      <c r="OH43" s="89"/>
      <c r="OI43" s="82"/>
      <c r="OK43" s="90"/>
      <c r="OL43" s="87"/>
      <c r="OM43" s="87"/>
      <c r="ON43" s="87">
        <f t="shared" si="48"/>
        <v>0</v>
      </c>
      <c r="OO43" s="114"/>
      <c r="OP43" s="91"/>
      <c r="OQ43" s="82"/>
      <c r="OS43" s="90"/>
      <c r="OT43" s="87"/>
      <c r="OU43" s="87"/>
      <c r="OV43" s="87">
        <f t="shared" si="49"/>
        <v>0</v>
      </c>
      <c r="OW43" s="114"/>
      <c r="OX43" s="89"/>
      <c r="OY43" s="82"/>
      <c r="PA43" s="90"/>
      <c r="PB43" s="87"/>
      <c r="PC43" s="87"/>
      <c r="PD43" s="87">
        <f t="shared" si="50"/>
        <v>0</v>
      </c>
      <c r="PE43" s="114"/>
      <c r="PF43" s="89"/>
      <c r="PG43" s="82"/>
      <c r="PI43" s="90"/>
      <c r="PJ43" s="87"/>
      <c r="PK43" s="87"/>
      <c r="PL43" s="87">
        <f t="shared" si="51"/>
        <v>0</v>
      </c>
      <c r="PM43" s="114"/>
      <c r="PN43" s="211"/>
      <c r="PO43" s="216"/>
      <c r="PQ43" s="90"/>
      <c r="PR43" s="87"/>
      <c r="PS43" s="87"/>
      <c r="PT43" s="87">
        <f t="shared" si="52"/>
        <v>0</v>
      </c>
      <c r="PU43" s="114"/>
      <c r="PV43" s="89"/>
      <c r="PW43" s="82"/>
      <c r="PY43" s="90"/>
      <c r="PZ43" s="87"/>
      <c r="QA43" s="87"/>
      <c r="QB43" s="87">
        <f t="shared" si="53"/>
        <v>0</v>
      </c>
      <c r="QC43" s="114"/>
      <c r="QD43" s="89"/>
      <c r="QE43" s="82"/>
      <c r="QG43" s="90"/>
      <c r="QH43" s="87"/>
      <c r="QI43" s="87"/>
      <c r="QJ43" s="87">
        <f t="shared" si="54"/>
        <v>0</v>
      </c>
      <c r="QK43" s="114"/>
      <c r="QL43" s="89"/>
      <c r="QM43" s="82"/>
      <c r="QO43" s="90"/>
      <c r="QP43" s="87"/>
      <c r="QQ43" s="87"/>
      <c r="QR43" s="87">
        <f t="shared" si="55"/>
        <v>0</v>
      </c>
      <c r="QS43" s="114"/>
      <c r="QT43" s="211"/>
      <c r="QU43" s="216"/>
      <c r="QW43" s="90"/>
      <c r="QX43" s="87"/>
      <c r="QY43" s="87"/>
      <c r="QZ43" s="87">
        <f t="shared" si="56"/>
        <v>0</v>
      </c>
      <c r="RA43" s="114"/>
      <c r="RB43" s="89"/>
      <c r="RC43" s="82"/>
      <c r="RE43" s="90"/>
      <c r="RF43" s="87"/>
      <c r="RG43" s="87"/>
      <c r="RH43" s="87">
        <f t="shared" si="57"/>
        <v>0</v>
      </c>
      <c r="RI43" s="114"/>
      <c r="RJ43" s="89"/>
      <c r="RK43" s="170"/>
      <c r="RM43" s="90"/>
      <c r="RN43" s="87"/>
      <c r="RO43" s="87"/>
      <c r="RP43" s="87">
        <f t="shared" si="58"/>
        <v>0</v>
      </c>
      <c r="RQ43" s="114"/>
      <c r="RR43" s="89"/>
      <c r="RS43" s="82"/>
      <c r="RU43" s="90"/>
      <c r="RV43" s="161"/>
      <c r="RW43" s="87"/>
      <c r="RX43" s="87">
        <f t="shared" si="59"/>
        <v>0</v>
      </c>
      <c r="RY43" s="114"/>
      <c r="RZ43" s="89"/>
      <c r="SA43" s="82"/>
      <c r="SC43" s="90"/>
      <c r="SD43" s="87"/>
      <c r="SE43" s="87"/>
      <c r="SF43" s="87">
        <f t="shared" si="60"/>
        <v>0</v>
      </c>
      <c r="SG43" s="114"/>
      <c r="SH43" s="89"/>
      <c r="SI43" s="82"/>
      <c r="SK43" s="90"/>
      <c r="SL43" s="87"/>
      <c r="SM43" s="87"/>
      <c r="SN43" s="87">
        <f t="shared" si="61"/>
        <v>0</v>
      </c>
      <c r="SO43" s="114"/>
      <c r="SP43" s="89"/>
      <c r="SQ43" s="82"/>
      <c r="SS43" s="90"/>
      <c r="ST43" s="87"/>
      <c r="SU43" s="87"/>
      <c r="SV43" s="87">
        <f t="shared" si="62"/>
        <v>0</v>
      </c>
      <c r="SW43" s="114"/>
      <c r="SX43" s="89"/>
      <c r="SY43" s="82"/>
      <c r="TA43" s="90"/>
      <c r="TB43" s="87"/>
      <c r="TC43" s="87"/>
      <c r="TD43" s="87">
        <f t="shared" si="63"/>
        <v>0</v>
      </c>
      <c r="TE43" s="114"/>
      <c r="TF43" s="89"/>
      <c r="TG43" s="82"/>
      <c r="TI43" s="90"/>
      <c r="TJ43" s="87"/>
      <c r="TK43" s="87"/>
      <c r="TL43" s="87">
        <f t="shared" si="64"/>
        <v>0</v>
      </c>
      <c r="TM43" s="114"/>
      <c r="TN43" s="89"/>
      <c r="TO43" s="82"/>
      <c r="TQ43" s="90"/>
      <c r="TR43" s="87"/>
      <c r="TS43" s="87"/>
      <c r="TT43" s="87">
        <f t="shared" si="65"/>
        <v>0</v>
      </c>
      <c r="TU43" s="114"/>
      <c r="TV43" s="91"/>
      <c r="TW43" s="82"/>
      <c r="TY43" s="90"/>
      <c r="TZ43" s="87"/>
      <c r="UA43" s="87"/>
      <c r="UB43" s="87">
        <f t="shared" si="66"/>
        <v>0</v>
      </c>
      <c r="UC43" s="114"/>
      <c r="UD43" s="89"/>
      <c r="UE43" s="82"/>
      <c r="UG43" s="90"/>
      <c r="UH43" s="87"/>
      <c r="UI43" s="87"/>
      <c r="UJ43" s="87">
        <f t="shared" si="67"/>
        <v>0</v>
      </c>
      <c r="UK43" s="114"/>
      <c r="UL43" s="89"/>
      <c r="UM43" s="82"/>
      <c r="UO43" s="90"/>
      <c r="UP43" s="87"/>
      <c r="UQ43" s="87"/>
      <c r="UR43" s="87">
        <f t="shared" si="68"/>
        <v>0</v>
      </c>
      <c r="US43" s="114"/>
      <c r="UT43" s="89"/>
      <c r="UU43" s="82"/>
      <c r="UW43" s="90"/>
      <c r="UX43" s="87"/>
      <c r="UY43" s="87"/>
      <c r="UZ43" s="87">
        <f t="shared" si="69"/>
        <v>0</v>
      </c>
      <c r="VA43" s="114"/>
      <c r="VB43" s="89"/>
      <c r="VC43" s="82"/>
      <c r="VE43" s="90"/>
      <c r="VF43" s="87"/>
      <c r="VG43" s="87"/>
      <c r="VH43" s="87">
        <f t="shared" si="70"/>
        <v>0</v>
      </c>
      <c r="VI43" s="114"/>
      <c r="VJ43" s="89"/>
      <c r="VK43" s="82"/>
      <c r="VM43" s="90"/>
      <c r="VN43" s="87"/>
      <c r="VO43" s="87"/>
      <c r="VP43" s="87">
        <f t="shared" si="71"/>
        <v>0</v>
      </c>
      <c r="VQ43" s="114"/>
      <c r="VR43" s="89"/>
      <c r="VS43" s="82"/>
      <c r="VU43" s="90"/>
      <c r="VV43" s="87"/>
      <c r="VW43" s="87"/>
      <c r="VX43" s="87">
        <f t="shared" si="72"/>
        <v>0</v>
      </c>
      <c r="VY43" s="114"/>
      <c r="VZ43" s="89"/>
      <c r="WA43" s="82"/>
      <c r="WC43" s="90"/>
      <c r="WD43" s="87"/>
      <c r="WE43" s="87"/>
      <c r="WF43" s="87">
        <f t="shared" si="73"/>
        <v>0</v>
      </c>
      <c r="WG43" s="114"/>
      <c r="WH43" s="89"/>
      <c r="WI43" s="82"/>
      <c r="WK43" s="90"/>
      <c r="WL43" s="87"/>
      <c r="WM43" s="87"/>
      <c r="WN43" s="87">
        <f t="shared" si="74"/>
        <v>0</v>
      </c>
      <c r="WO43" s="114"/>
      <c r="WP43" s="89"/>
      <c r="WQ43" s="82"/>
      <c r="WS43" s="90"/>
      <c r="WT43" s="87"/>
      <c r="WU43" s="87"/>
      <c r="WV43" s="87">
        <f t="shared" si="75"/>
        <v>0</v>
      </c>
      <c r="WW43" s="114"/>
      <c r="WX43" s="89"/>
      <c r="WY43" s="82"/>
      <c r="XA43" s="90"/>
      <c r="XB43" s="87"/>
      <c r="XC43" s="87"/>
      <c r="XD43" s="87">
        <f t="shared" si="76"/>
        <v>0</v>
      </c>
      <c r="XE43" s="114"/>
      <c r="XF43" s="89"/>
      <c r="XG43" s="82"/>
      <c r="XI43" s="90"/>
      <c r="XJ43" s="87"/>
      <c r="XK43" s="87"/>
      <c r="XL43" s="87">
        <f t="shared" si="77"/>
        <v>0</v>
      </c>
      <c r="XM43" s="114"/>
      <c r="XN43" s="89"/>
      <c r="XO43" s="82"/>
      <c r="XQ43" s="90"/>
      <c r="XR43" s="87"/>
      <c r="XS43" s="87"/>
      <c r="XT43" s="87">
        <f t="shared" si="78"/>
        <v>0</v>
      </c>
      <c r="XU43" s="114"/>
      <c r="XV43" s="89"/>
      <c r="XW43" s="82"/>
      <c r="XY43" s="90"/>
      <c r="XZ43" s="87"/>
      <c r="YA43" s="87"/>
      <c r="YB43" s="87">
        <f t="shared" si="79"/>
        <v>0</v>
      </c>
      <c r="YC43" s="114"/>
      <c r="YD43" s="89"/>
      <c r="YE43" s="82"/>
      <c r="YG43" s="90"/>
      <c r="YH43" s="87"/>
      <c r="YI43" s="87"/>
      <c r="YJ43" s="87">
        <f t="shared" si="80"/>
        <v>0</v>
      </c>
      <c r="YK43" s="114"/>
      <c r="YL43" s="89"/>
      <c r="YM43" s="82"/>
      <c r="YO43" s="90"/>
      <c r="YP43" s="87"/>
      <c r="YQ43" s="87"/>
      <c r="YR43" s="87">
        <f t="shared" si="81"/>
        <v>0</v>
      </c>
      <c r="YS43" s="114"/>
      <c r="YT43" s="89"/>
      <c r="YU43" s="82"/>
      <c r="YW43" s="90"/>
      <c r="YX43" s="87"/>
      <c r="YY43" s="87"/>
      <c r="YZ43" s="87">
        <f t="shared" si="82"/>
        <v>0</v>
      </c>
      <c r="ZA43" s="114"/>
      <c r="ZB43" s="89"/>
      <c r="ZC43" s="82"/>
      <c r="ZE43" s="90"/>
      <c r="ZF43" s="87"/>
      <c r="ZG43" s="87"/>
      <c r="ZH43" s="87">
        <f t="shared" si="83"/>
        <v>0</v>
      </c>
      <c r="ZI43" s="114"/>
      <c r="ZJ43" s="89"/>
      <c r="ZK43" s="82"/>
      <c r="ZM43" s="90"/>
      <c r="ZN43" s="87"/>
      <c r="ZO43" s="87"/>
      <c r="ZP43" s="87">
        <f t="shared" si="84"/>
        <v>0</v>
      </c>
      <c r="ZQ43" s="114"/>
      <c r="ZR43" s="89"/>
      <c r="ZS43" s="82"/>
      <c r="ZU43" s="90"/>
      <c r="ZV43" s="87"/>
      <c r="ZW43" s="87"/>
      <c r="ZX43" s="87">
        <f t="shared" si="85"/>
        <v>0</v>
      </c>
      <c r="ZY43" s="114"/>
      <c r="ZZ43" s="89"/>
      <c r="AAA43" s="82"/>
      <c r="AAC43" s="90"/>
      <c r="AAD43" s="87"/>
      <c r="AAE43" s="87"/>
      <c r="AAF43" s="87">
        <f t="shared" si="86"/>
        <v>0</v>
      </c>
      <c r="AAG43" s="114"/>
      <c r="AAH43" s="89"/>
      <c r="AAI43" s="82"/>
      <c r="AAK43" s="90"/>
      <c r="AAL43" s="87"/>
      <c r="AAM43" s="87"/>
      <c r="AAN43" s="87">
        <f t="shared" si="87"/>
        <v>0</v>
      </c>
      <c r="AAO43" s="114"/>
      <c r="AAP43" s="89"/>
      <c r="AAQ43" s="82"/>
      <c r="AAS43" s="90"/>
      <c r="AAT43" s="87"/>
      <c r="AAU43" s="87"/>
      <c r="AAV43" s="87">
        <f t="shared" si="88"/>
        <v>0</v>
      </c>
      <c r="AAW43" s="114"/>
      <c r="AAX43" s="89"/>
      <c r="AAY43" s="82"/>
      <c r="ABA43" s="90"/>
      <c r="ABB43" s="87"/>
      <c r="ABC43" s="87"/>
      <c r="ABD43" s="87">
        <f t="shared" si="89"/>
        <v>0</v>
      </c>
      <c r="ABE43" s="114"/>
      <c r="ABF43" s="89"/>
      <c r="ABG43" s="82"/>
      <c r="ABI43" s="90"/>
      <c r="ABJ43" s="87"/>
      <c r="ABK43" s="87"/>
      <c r="ABL43" s="87">
        <f t="shared" si="90"/>
        <v>0</v>
      </c>
      <c r="ABM43" s="114"/>
      <c r="ABN43" s="89"/>
      <c r="ABO43" s="82"/>
      <c r="ABQ43" s="90"/>
      <c r="ABR43" s="87"/>
      <c r="ABS43" s="87"/>
      <c r="ABT43" s="87">
        <f t="shared" si="91"/>
        <v>0</v>
      </c>
      <c r="ABU43" s="114"/>
      <c r="ABV43" s="89"/>
      <c r="ABW43" s="82"/>
      <c r="ABY43" s="90"/>
      <c r="ABZ43" s="87"/>
      <c r="ACA43" s="87"/>
      <c r="ACB43" s="87">
        <f t="shared" si="92"/>
        <v>0</v>
      </c>
      <c r="ACC43" s="114"/>
      <c r="ACD43" s="89"/>
      <c r="ACE43" s="82"/>
    </row>
    <row r="44" spans="1:759" ht="12" customHeight="1" x14ac:dyDescent="0.25">
      <c r="A44" s="84"/>
      <c r="B44" s="85"/>
      <c r="C44" s="87"/>
      <c r="D44" s="87">
        <f t="shared" si="2"/>
        <v>1700</v>
      </c>
      <c r="E44" s="114"/>
      <c r="F44" s="211"/>
      <c r="G44" s="382"/>
      <c r="H44" s="72"/>
      <c r="I44" s="84"/>
      <c r="J44" s="87"/>
      <c r="K44" s="87"/>
      <c r="L44" s="87">
        <f t="shared" si="0"/>
        <v>1000</v>
      </c>
      <c r="M44" s="114"/>
      <c r="N44" s="89"/>
      <c r="O44" s="82"/>
      <c r="P44" s="72"/>
      <c r="Q44" s="90"/>
      <c r="R44" s="87"/>
      <c r="S44" s="87"/>
      <c r="T44" s="87">
        <f t="shared" si="1"/>
        <v>4000</v>
      </c>
      <c r="U44" s="114"/>
      <c r="V44" s="89"/>
      <c r="W44" s="82"/>
      <c r="X44" s="72"/>
      <c r="Y44" s="90"/>
      <c r="Z44" s="87"/>
      <c r="AA44" s="87"/>
      <c r="AB44" s="87">
        <f t="shared" si="3"/>
        <v>1000</v>
      </c>
      <c r="AC44" s="114"/>
      <c r="AD44" s="89"/>
      <c r="AE44" s="82"/>
      <c r="AF44" s="72"/>
      <c r="AG44" s="84"/>
      <c r="AH44" s="222"/>
      <c r="AI44" s="222"/>
      <c r="AJ44" s="87">
        <f t="shared" si="4"/>
        <v>2000</v>
      </c>
      <c r="AK44" s="114"/>
      <c r="AL44" s="89"/>
      <c r="AM44" s="82"/>
      <c r="AN44" s="72"/>
      <c r="AO44" s="90"/>
      <c r="AP44" s="222"/>
      <c r="AQ44" s="222"/>
      <c r="AR44" s="87">
        <f t="shared" si="5"/>
        <v>1000</v>
      </c>
      <c r="AS44" s="114"/>
      <c r="AT44" s="89"/>
      <c r="AU44" s="82"/>
      <c r="AV44" s="72"/>
      <c r="AW44" s="90"/>
      <c r="AX44" s="87"/>
      <c r="AY44" s="87"/>
      <c r="AZ44" s="87">
        <f t="shared" si="6"/>
        <v>1150</v>
      </c>
      <c r="BA44" s="114"/>
      <c r="BB44" s="211"/>
      <c r="BC44" s="82"/>
      <c r="BD44" s="72"/>
      <c r="BE44" s="90"/>
      <c r="BF44" s="87"/>
      <c r="BG44" s="87"/>
      <c r="BH44" s="87">
        <f t="shared" si="7"/>
        <v>7000</v>
      </c>
      <c r="BI44" s="114"/>
      <c r="BJ44" s="220"/>
      <c r="BK44" s="82"/>
      <c r="BL44" s="72"/>
      <c r="BM44" s="90"/>
      <c r="BN44" s="87"/>
      <c r="BO44" s="87"/>
      <c r="BP44" s="87">
        <f t="shared" si="8"/>
        <v>1000</v>
      </c>
      <c r="BQ44" s="114"/>
      <c r="BR44" s="89"/>
      <c r="BS44" s="82"/>
      <c r="BT44" s="72"/>
      <c r="BU44" s="90"/>
      <c r="BV44" s="87"/>
      <c r="BW44" s="87"/>
      <c r="BX44" s="87">
        <f t="shared" si="9"/>
        <v>0</v>
      </c>
      <c r="BY44" s="114"/>
      <c r="BZ44" s="89"/>
      <c r="CA44" s="82"/>
      <c r="CB44" s="72"/>
      <c r="CC44" s="90"/>
      <c r="CD44" s="87"/>
      <c r="CE44" s="87"/>
      <c r="CF44" s="87">
        <f t="shared" si="10"/>
        <v>0</v>
      </c>
      <c r="CG44" s="114"/>
      <c r="CH44" s="89"/>
      <c r="CI44" s="82"/>
      <c r="CJ44" s="72"/>
      <c r="CK44" s="90"/>
      <c r="CL44" s="87"/>
      <c r="CM44" s="87"/>
      <c r="CN44" s="87">
        <f t="shared" si="11"/>
        <v>0</v>
      </c>
      <c r="CO44" s="114"/>
      <c r="CP44" s="220"/>
      <c r="CQ44" s="82"/>
      <c r="CR44" s="72"/>
      <c r="CS44" s="90"/>
      <c r="CT44" s="87"/>
      <c r="CU44" s="87"/>
      <c r="CV44" s="87">
        <f t="shared" si="12"/>
        <v>0</v>
      </c>
      <c r="CW44" s="114"/>
      <c r="CX44" s="220"/>
      <c r="CY44" s="82"/>
      <c r="CZ44" s="72"/>
      <c r="DA44" s="84"/>
      <c r="DB44" s="87"/>
      <c r="DC44" s="87"/>
      <c r="DD44" s="87">
        <f t="shared" si="13"/>
        <v>0</v>
      </c>
      <c r="DE44" s="114"/>
      <c r="DF44" s="89"/>
      <c r="DG44" s="82"/>
      <c r="DH44" s="72"/>
      <c r="DI44" s="90"/>
      <c r="DJ44" s="87"/>
      <c r="DK44" s="87"/>
      <c r="DL44" s="87">
        <f t="shared" si="14"/>
        <v>0</v>
      </c>
      <c r="DM44" s="114"/>
      <c r="DN44" s="89"/>
      <c r="DO44" s="82"/>
      <c r="DP44" s="72"/>
      <c r="DQ44" s="90"/>
      <c r="DR44" s="87"/>
      <c r="DS44" s="87"/>
      <c r="DT44" s="87">
        <f t="shared" si="15"/>
        <v>0</v>
      </c>
      <c r="DU44" s="114"/>
      <c r="DV44" s="89"/>
      <c r="DW44" s="82"/>
      <c r="DX44" s="72"/>
      <c r="DY44" s="90"/>
      <c r="DZ44" s="87"/>
      <c r="EA44" s="87"/>
      <c r="EB44" s="87">
        <f t="shared" si="16"/>
        <v>0</v>
      </c>
      <c r="EC44" s="114"/>
      <c r="ED44" s="89"/>
      <c r="EE44" s="82"/>
      <c r="EF44" s="72"/>
      <c r="EG44" s="90"/>
      <c r="EH44" s="87"/>
      <c r="EI44" s="87"/>
      <c r="EJ44" s="87">
        <f t="shared" si="17"/>
        <v>0</v>
      </c>
      <c r="EK44" s="114"/>
      <c r="EL44" s="89"/>
      <c r="EM44" s="82"/>
      <c r="EO44" s="90"/>
      <c r="EP44" s="87"/>
      <c r="EQ44" s="87"/>
      <c r="ER44" s="87">
        <f t="shared" si="18"/>
        <v>0</v>
      </c>
      <c r="ES44" s="114"/>
      <c r="ET44" s="89"/>
      <c r="EU44" s="82"/>
      <c r="EW44" s="90"/>
      <c r="EX44" s="87"/>
      <c r="EY44" s="87"/>
      <c r="EZ44" s="87">
        <f t="shared" si="19"/>
        <v>0</v>
      </c>
      <c r="FA44" s="114"/>
      <c r="FB44" s="89"/>
      <c r="FC44" s="82"/>
      <c r="FE44" s="90"/>
      <c r="FF44" s="87"/>
      <c r="FG44" s="87"/>
      <c r="FH44" s="87">
        <f t="shared" si="93"/>
        <v>0</v>
      </c>
      <c r="FI44" s="114"/>
      <c r="FJ44" s="89"/>
      <c r="FK44" s="82"/>
      <c r="FM44" s="90"/>
      <c r="FN44" s="87"/>
      <c r="FO44" s="87"/>
      <c r="FP44" s="87">
        <f t="shared" si="20"/>
        <v>0</v>
      </c>
      <c r="FQ44" s="114"/>
      <c r="FR44" s="89"/>
      <c r="FS44" s="82"/>
      <c r="FT44" s="72"/>
      <c r="FU44" s="90"/>
      <c r="FV44" s="87"/>
      <c r="FW44" s="87"/>
      <c r="FX44" s="87">
        <f t="shared" si="21"/>
        <v>0</v>
      </c>
      <c r="FY44" s="165"/>
      <c r="FZ44" s="89"/>
      <c r="GA44" s="82"/>
      <c r="GC44" s="90"/>
      <c r="GD44" s="87"/>
      <c r="GE44" s="87"/>
      <c r="GF44" s="87">
        <f t="shared" si="22"/>
        <v>0</v>
      </c>
      <c r="GG44" s="114"/>
      <c r="GH44" s="89"/>
      <c r="GI44" s="82"/>
      <c r="GK44" s="90"/>
      <c r="GL44" s="87"/>
      <c r="GM44" s="87"/>
      <c r="GN44" s="87">
        <f t="shared" si="23"/>
        <v>0</v>
      </c>
      <c r="GO44" s="114"/>
      <c r="GP44" s="89"/>
      <c r="GQ44" s="82"/>
      <c r="GS44" s="90"/>
      <c r="GT44" s="87"/>
      <c r="GU44" s="87"/>
      <c r="GV44" s="87">
        <f t="shared" si="24"/>
        <v>0</v>
      </c>
      <c r="GW44" s="114"/>
      <c r="GX44" s="89"/>
      <c r="GY44" s="82"/>
      <c r="HA44" s="90"/>
      <c r="HB44" s="87"/>
      <c r="HC44" s="87"/>
      <c r="HD44" s="87">
        <f t="shared" si="25"/>
        <v>0</v>
      </c>
      <c r="HE44" s="114"/>
      <c r="HF44" s="89"/>
      <c r="HG44" s="82"/>
      <c r="HI44" s="90"/>
      <c r="HJ44" s="87"/>
      <c r="HK44" s="87"/>
      <c r="HL44" s="87">
        <f t="shared" si="26"/>
        <v>0</v>
      </c>
      <c r="HM44" s="114"/>
      <c r="HN44" s="89"/>
      <c r="HO44" s="82"/>
      <c r="HQ44" s="90"/>
      <c r="HR44" s="87"/>
      <c r="HS44" s="87"/>
      <c r="HT44" s="87">
        <f t="shared" si="27"/>
        <v>0</v>
      </c>
      <c r="HU44" s="114"/>
      <c r="HV44" s="89"/>
      <c r="HW44" s="82"/>
      <c r="HY44" s="90"/>
      <c r="HZ44" s="87"/>
      <c r="IA44" s="87"/>
      <c r="IB44" s="87">
        <f t="shared" si="28"/>
        <v>0</v>
      </c>
      <c r="IC44" s="114"/>
      <c r="ID44" s="89"/>
      <c r="IE44" s="82"/>
      <c r="IG44" s="90"/>
      <c r="IH44" s="87"/>
      <c r="II44" s="87"/>
      <c r="IJ44" s="87">
        <f t="shared" si="29"/>
        <v>0</v>
      </c>
      <c r="IK44" s="114"/>
      <c r="IL44" s="89"/>
      <c r="IM44" s="82"/>
      <c r="IO44" s="90"/>
      <c r="IP44" s="87"/>
      <c r="IQ44" s="87"/>
      <c r="IR44" s="87">
        <f t="shared" si="30"/>
        <v>0</v>
      </c>
      <c r="IS44" s="114"/>
      <c r="IT44" s="89"/>
      <c r="IU44" s="82"/>
      <c r="IW44" s="90"/>
      <c r="IX44" s="87"/>
      <c r="IY44" s="87"/>
      <c r="IZ44" s="87">
        <f t="shared" si="31"/>
        <v>0</v>
      </c>
      <c r="JA44" s="114"/>
      <c r="JB44" s="89"/>
      <c r="JC44" s="82"/>
      <c r="JE44" s="90"/>
      <c r="JF44" s="87"/>
      <c r="JG44" s="87"/>
      <c r="JH44" s="87">
        <f t="shared" si="32"/>
        <v>0</v>
      </c>
      <c r="JI44" s="114"/>
      <c r="JJ44" s="89"/>
      <c r="JK44" s="82"/>
      <c r="JM44" s="90"/>
      <c r="JN44" s="87"/>
      <c r="JO44" s="87"/>
      <c r="JP44" s="87">
        <f t="shared" si="33"/>
        <v>0</v>
      </c>
      <c r="JQ44" s="114"/>
      <c r="JR44" s="91"/>
      <c r="JS44" s="82"/>
      <c r="JU44" s="90"/>
      <c r="JV44" s="87"/>
      <c r="JW44" s="87"/>
      <c r="JX44" s="87">
        <f t="shared" si="94"/>
        <v>0</v>
      </c>
      <c r="JY44" s="114"/>
      <c r="JZ44" s="89"/>
      <c r="KA44" s="82"/>
      <c r="KC44" s="90"/>
      <c r="KD44" s="87"/>
      <c r="KE44" s="87"/>
      <c r="KF44" s="87">
        <f t="shared" si="34"/>
        <v>0</v>
      </c>
      <c r="KG44" s="114"/>
      <c r="KH44" s="86"/>
      <c r="KI44" s="109"/>
      <c r="KK44" s="90"/>
      <c r="KL44" s="87"/>
      <c r="KM44" s="87"/>
      <c r="KN44" s="87">
        <f t="shared" si="35"/>
        <v>0</v>
      </c>
      <c r="KO44" s="114"/>
      <c r="KP44" s="89"/>
      <c r="KQ44" s="82"/>
      <c r="KS44" s="90"/>
      <c r="KT44" s="87"/>
      <c r="KU44" s="87"/>
      <c r="KV44" s="87">
        <f t="shared" si="36"/>
        <v>0</v>
      </c>
      <c r="KW44" s="114"/>
      <c r="KX44" s="89"/>
      <c r="KY44" s="82"/>
      <c r="LA44" s="90"/>
      <c r="LB44" s="87"/>
      <c r="LC44" s="87"/>
      <c r="LD44" s="87">
        <f t="shared" si="37"/>
        <v>0</v>
      </c>
      <c r="LE44" s="114"/>
      <c r="LF44" s="89"/>
      <c r="LG44" s="82"/>
      <c r="LI44" s="99"/>
      <c r="LJ44" s="87"/>
      <c r="LK44" s="87"/>
      <c r="LL44" s="87">
        <f t="shared" si="38"/>
        <v>0</v>
      </c>
      <c r="LM44" s="114"/>
      <c r="LN44" s="89"/>
      <c r="LO44" s="82"/>
      <c r="LQ44" s="90"/>
      <c r="LR44" s="87"/>
      <c r="LS44" s="87"/>
      <c r="LT44" s="87">
        <f t="shared" si="39"/>
        <v>0</v>
      </c>
      <c r="LU44" s="114"/>
      <c r="LV44" s="89"/>
      <c r="LW44" s="82"/>
      <c r="LY44" s="90"/>
      <c r="LZ44" s="87"/>
      <c r="MA44" s="87"/>
      <c r="MB44" s="87">
        <f t="shared" si="40"/>
        <v>0</v>
      </c>
      <c r="MC44" s="114"/>
      <c r="MD44" s="89"/>
      <c r="ME44" s="82"/>
      <c r="MG44" s="90"/>
      <c r="MH44" s="87"/>
      <c r="MI44" s="87"/>
      <c r="MJ44" s="87">
        <f t="shared" si="41"/>
        <v>0</v>
      </c>
      <c r="MK44" s="114"/>
      <c r="ML44" s="89"/>
      <c r="MM44" s="82"/>
      <c r="MO44" s="90"/>
      <c r="MP44" s="87"/>
      <c r="MQ44" s="87"/>
      <c r="MR44" s="87">
        <f t="shared" si="42"/>
        <v>0</v>
      </c>
      <c r="MS44" s="114"/>
      <c r="MT44" s="89"/>
      <c r="MU44" s="82"/>
      <c r="MW44" s="90"/>
      <c r="MX44" s="87"/>
      <c r="MY44" s="87"/>
      <c r="MZ44" s="87">
        <f t="shared" si="43"/>
        <v>0</v>
      </c>
      <c r="NA44" s="114"/>
      <c r="NB44" s="89"/>
      <c r="NC44" s="82"/>
      <c r="NE44" s="90"/>
      <c r="NF44" s="87"/>
      <c r="NG44" s="87"/>
      <c r="NH44" s="87">
        <f t="shared" si="44"/>
        <v>0</v>
      </c>
      <c r="NI44" s="114"/>
      <c r="NJ44" s="89"/>
      <c r="NK44" s="82"/>
      <c r="NM44" s="90"/>
      <c r="NN44" s="87"/>
      <c r="NO44" s="87"/>
      <c r="NP44" s="87">
        <f t="shared" si="45"/>
        <v>0</v>
      </c>
      <c r="NQ44" s="114"/>
      <c r="NR44" s="89"/>
      <c r="NS44" s="82"/>
      <c r="NU44" s="90"/>
      <c r="NV44" s="87"/>
      <c r="NW44" s="87"/>
      <c r="NX44" s="87">
        <f t="shared" si="46"/>
        <v>0</v>
      </c>
      <c r="NY44" s="114"/>
      <c r="NZ44" s="89"/>
      <c r="OA44" s="82"/>
      <c r="OC44" s="90"/>
      <c r="OD44" s="87"/>
      <c r="OE44" s="87"/>
      <c r="OF44" s="87">
        <f t="shared" si="47"/>
        <v>0</v>
      </c>
      <c r="OG44" s="114"/>
      <c r="OH44" s="89"/>
      <c r="OI44" s="82"/>
      <c r="OK44" s="90"/>
      <c r="OL44" s="87"/>
      <c r="OM44" s="87"/>
      <c r="ON44" s="87">
        <f t="shared" si="48"/>
        <v>0</v>
      </c>
      <c r="OO44" s="114"/>
      <c r="OP44" s="91"/>
      <c r="OQ44" s="82"/>
      <c r="OS44" s="90"/>
      <c r="OT44" s="87"/>
      <c r="OU44" s="87"/>
      <c r="OV44" s="87">
        <f t="shared" si="49"/>
        <v>0</v>
      </c>
      <c r="OW44" s="114"/>
      <c r="OX44" s="89"/>
      <c r="OY44" s="82"/>
      <c r="PA44" s="90"/>
      <c r="PB44" s="87"/>
      <c r="PC44" s="87"/>
      <c r="PD44" s="87">
        <f t="shared" si="50"/>
        <v>0</v>
      </c>
      <c r="PE44" s="114"/>
      <c r="PF44" s="89"/>
      <c r="PG44" s="82"/>
      <c r="PI44" s="90"/>
      <c r="PJ44" s="87"/>
      <c r="PK44" s="87"/>
      <c r="PL44" s="87">
        <f t="shared" si="51"/>
        <v>0</v>
      </c>
      <c r="PM44" s="114"/>
      <c r="PN44" s="211"/>
      <c r="PO44" s="216"/>
      <c r="PQ44" s="90"/>
      <c r="PR44" s="87"/>
      <c r="PS44" s="87"/>
      <c r="PT44" s="87">
        <f t="shared" si="52"/>
        <v>0</v>
      </c>
      <c r="PU44" s="114"/>
      <c r="PV44" s="89"/>
      <c r="PW44" s="82"/>
      <c r="PY44" s="90"/>
      <c r="PZ44" s="87"/>
      <c r="QA44" s="87"/>
      <c r="QB44" s="87">
        <f t="shared" si="53"/>
        <v>0</v>
      </c>
      <c r="QC44" s="114"/>
      <c r="QD44" s="89"/>
      <c r="QE44" s="82"/>
      <c r="QG44" s="90"/>
      <c r="QH44" s="87"/>
      <c r="QI44" s="87"/>
      <c r="QJ44" s="87">
        <f t="shared" si="54"/>
        <v>0</v>
      </c>
      <c r="QK44" s="114"/>
      <c r="QL44" s="89"/>
      <c r="QM44" s="82"/>
      <c r="QO44" s="90"/>
      <c r="QP44" s="87"/>
      <c r="QQ44" s="87"/>
      <c r="QR44" s="87">
        <f t="shared" si="55"/>
        <v>0</v>
      </c>
      <c r="QS44" s="114"/>
      <c r="QT44" s="211"/>
      <c r="QU44" s="216"/>
      <c r="QW44" s="90"/>
      <c r="QX44" s="87"/>
      <c r="QY44" s="87"/>
      <c r="QZ44" s="87">
        <f t="shared" si="56"/>
        <v>0</v>
      </c>
      <c r="RA44" s="114"/>
      <c r="RB44" s="89"/>
      <c r="RC44" s="82"/>
      <c r="RE44" s="90"/>
      <c r="RF44" s="87"/>
      <c r="RG44" s="87"/>
      <c r="RH44" s="87">
        <f t="shared" si="57"/>
        <v>0</v>
      </c>
      <c r="RI44" s="114"/>
      <c r="RJ44" s="89"/>
      <c r="RK44" s="170"/>
      <c r="RM44" s="90"/>
      <c r="RN44" s="87"/>
      <c r="RO44" s="87"/>
      <c r="RP44" s="87">
        <f t="shared" si="58"/>
        <v>0</v>
      </c>
      <c r="RQ44" s="114"/>
      <c r="RR44" s="89"/>
      <c r="RS44" s="82"/>
      <c r="RU44" s="90"/>
      <c r="RV44" s="87"/>
      <c r="RW44" s="87"/>
      <c r="RX44" s="87">
        <f t="shared" si="59"/>
        <v>0</v>
      </c>
      <c r="RY44" s="114"/>
      <c r="RZ44" s="89"/>
      <c r="SA44" s="82"/>
      <c r="SC44" s="90"/>
      <c r="SD44" s="87"/>
      <c r="SE44" s="87"/>
      <c r="SF44" s="87">
        <f t="shared" si="60"/>
        <v>0</v>
      </c>
      <c r="SG44" s="114"/>
      <c r="SH44" s="89"/>
      <c r="SI44" s="82"/>
      <c r="SK44" s="90"/>
      <c r="SL44" s="87"/>
      <c r="SM44" s="87"/>
      <c r="SN44" s="87">
        <f t="shared" si="61"/>
        <v>0</v>
      </c>
      <c r="SO44" s="114"/>
      <c r="SP44" s="89"/>
      <c r="SQ44" s="82"/>
      <c r="SS44" s="90"/>
      <c r="ST44" s="87"/>
      <c r="SU44" s="87"/>
      <c r="SV44" s="87">
        <f t="shared" si="62"/>
        <v>0</v>
      </c>
      <c r="SW44" s="114"/>
      <c r="SX44" s="89"/>
      <c r="SY44" s="82"/>
      <c r="TA44" s="90"/>
      <c r="TB44" s="87"/>
      <c r="TC44" s="87"/>
      <c r="TD44" s="87">
        <f t="shared" si="63"/>
        <v>0</v>
      </c>
      <c r="TE44" s="114"/>
      <c r="TF44" s="89"/>
      <c r="TG44" s="82"/>
      <c r="TI44" s="90"/>
      <c r="TJ44" s="87"/>
      <c r="TK44" s="87"/>
      <c r="TL44" s="87">
        <f t="shared" si="64"/>
        <v>0</v>
      </c>
      <c r="TM44" s="114"/>
      <c r="TN44" s="89"/>
      <c r="TO44" s="82"/>
      <c r="TQ44" s="90"/>
      <c r="TR44" s="87"/>
      <c r="TS44" s="87"/>
      <c r="TT44" s="87">
        <f t="shared" si="65"/>
        <v>0</v>
      </c>
      <c r="TU44" s="114"/>
      <c r="TV44" s="91"/>
      <c r="TW44" s="82"/>
      <c r="TY44" s="90"/>
      <c r="TZ44" s="87"/>
      <c r="UA44" s="87"/>
      <c r="UB44" s="87">
        <f t="shared" si="66"/>
        <v>0</v>
      </c>
      <c r="UC44" s="114"/>
      <c r="UD44" s="89"/>
      <c r="UE44" s="82"/>
      <c r="UG44" s="90"/>
      <c r="UH44" s="87"/>
      <c r="UI44" s="87"/>
      <c r="UJ44" s="87">
        <f t="shared" si="67"/>
        <v>0</v>
      </c>
      <c r="UK44" s="114"/>
      <c r="UL44" s="89"/>
      <c r="UM44" s="82"/>
      <c r="UO44" s="90"/>
      <c r="UP44" s="87"/>
      <c r="UQ44" s="87"/>
      <c r="UR44" s="87">
        <f t="shared" si="68"/>
        <v>0</v>
      </c>
      <c r="US44" s="114"/>
      <c r="UT44" s="89"/>
      <c r="UU44" s="82"/>
      <c r="UW44" s="90"/>
      <c r="UX44" s="87"/>
      <c r="UY44" s="87"/>
      <c r="UZ44" s="87">
        <f t="shared" si="69"/>
        <v>0</v>
      </c>
      <c r="VA44" s="114"/>
      <c r="VB44" s="89"/>
      <c r="VC44" s="82"/>
      <c r="VE44" s="90"/>
      <c r="VF44" s="87"/>
      <c r="VG44" s="87"/>
      <c r="VH44" s="87">
        <f t="shared" si="70"/>
        <v>0</v>
      </c>
      <c r="VI44" s="114"/>
      <c r="VJ44" s="89"/>
      <c r="VK44" s="82"/>
      <c r="VM44" s="90"/>
      <c r="VN44" s="87"/>
      <c r="VO44" s="87"/>
      <c r="VP44" s="87">
        <f t="shared" si="71"/>
        <v>0</v>
      </c>
      <c r="VQ44" s="114"/>
      <c r="VR44" s="89"/>
      <c r="VS44" s="82"/>
      <c r="VU44" s="90"/>
      <c r="VV44" s="87"/>
      <c r="VW44" s="87"/>
      <c r="VX44" s="87">
        <f t="shared" si="72"/>
        <v>0</v>
      </c>
      <c r="VY44" s="114"/>
      <c r="VZ44" s="89"/>
      <c r="WA44" s="82"/>
      <c r="WC44" s="90"/>
      <c r="WD44" s="87"/>
      <c r="WE44" s="87"/>
      <c r="WF44" s="87">
        <f t="shared" si="73"/>
        <v>0</v>
      </c>
      <c r="WG44" s="114"/>
      <c r="WH44" s="89"/>
      <c r="WI44" s="82"/>
      <c r="WK44" s="90"/>
      <c r="WL44" s="87"/>
      <c r="WM44" s="87"/>
      <c r="WN44" s="87">
        <f t="shared" si="74"/>
        <v>0</v>
      </c>
      <c r="WO44" s="114"/>
      <c r="WP44" s="89"/>
      <c r="WQ44" s="82"/>
      <c r="WS44" s="90"/>
      <c r="WT44" s="87"/>
      <c r="WU44" s="87"/>
      <c r="WV44" s="87">
        <f t="shared" si="75"/>
        <v>0</v>
      </c>
      <c r="WW44" s="114"/>
      <c r="WX44" s="89"/>
      <c r="WY44" s="82"/>
      <c r="XA44" s="90"/>
      <c r="XB44" s="87"/>
      <c r="XC44" s="87"/>
      <c r="XD44" s="87">
        <f t="shared" si="76"/>
        <v>0</v>
      </c>
      <c r="XE44" s="114"/>
      <c r="XF44" s="89"/>
      <c r="XG44" s="82"/>
      <c r="XI44" s="90"/>
      <c r="XJ44" s="87"/>
      <c r="XK44" s="87"/>
      <c r="XL44" s="87">
        <f t="shared" si="77"/>
        <v>0</v>
      </c>
      <c r="XM44" s="114"/>
      <c r="XN44" s="89"/>
      <c r="XO44" s="82"/>
      <c r="XQ44" s="90"/>
      <c r="XR44" s="87"/>
      <c r="XS44" s="87"/>
      <c r="XT44" s="87">
        <f t="shared" si="78"/>
        <v>0</v>
      </c>
      <c r="XU44" s="114"/>
      <c r="XV44" s="89"/>
      <c r="XW44" s="82"/>
      <c r="XY44" s="90"/>
      <c r="XZ44" s="87"/>
      <c r="YA44" s="87"/>
      <c r="YB44" s="87">
        <f t="shared" si="79"/>
        <v>0</v>
      </c>
      <c r="YC44" s="114"/>
      <c r="YD44" s="89"/>
      <c r="YE44" s="82"/>
      <c r="YG44" s="90"/>
      <c r="YH44" s="87"/>
      <c r="YI44" s="87"/>
      <c r="YJ44" s="87">
        <f t="shared" si="80"/>
        <v>0</v>
      </c>
      <c r="YK44" s="114"/>
      <c r="YL44" s="89"/>
      <c r="YM44" s="82"/>
      <c r="YO44" s="90"/>
      <c r="YP44" s="87"/>
      <c r="YQ44" s="87"/>
      <c r="YR44" s="87">
        <f t="shared" si="81"/>
        <v>0</v>
      </c>
      <c r="YS44" s="114"/>
      <c r="YT44" s="89"/>
      <c r="YU44" s="82"/>
      <c r="YW44" s="90"/>
      <c r="YX44" s="87"/>
      <c r="YY44" s="87"/>
      <c r="YZ44" s="87">
        <f t="shared" si="82"/>
        <v>0</v>
      </c>
      <c r="ZA44" s="114"/>
      <c r="ZB44" s="89"/>
      <c r="ZC44" s="82"/>
      <c r="ZE44" s="90"/>
      <c r="ZF44" s="87"/>
      <c r="ZG44" s="87"/>
      <c r="ZH44" s="87">
        <f t="shared" si="83"/>
        <v>0</v>
      </c>
      <c r="ZI44" s="114"/>
      <c r="ZJ44" s="89"/>
      <c r="ZK44" s="82"/>
      <c r="ZM44" s="90"/>
      <c r="ZN44" s="87"/>
      <c r="ZO44" s="87"/>
      <c r="ZP44" s="87">
        <f t="shared" si="84"/>
        <v>0</v>
      </c>
      <c r="ZQ44" s="114"/>
      <c r="ZR44" s="89"/>
      <c r="ZS44" s="82"/>
      <c r="ZU44" s="90"/>
      <c r="ZV44" s="87"/>
      <c r="ZW44" s="87"/>
      <c r="ZX44" s="87">
        <f t="shared" si="85"/>
        <v>0</v>
      </c>
      <c r="ZY44" s="114"/>
      <c r="ZZ44" s="89"/>
      <c r="AAA44" s="82"/>
      <c r="AAC44" s="90"/>
      <c r="AAD44" s="87"/>
      <c r="AAE44" s="87"/>
      <c r="AAF44" s="87">
        <f t="shared" si="86"/>
        <v>0</v>
      </c>
      <c r="AAG44" s="114"/>
      <c r="AAH44" s="89"/>
      <c r="AAI44" s="82"/>
      <c r="AAK44" s="90"/>
      <c r="AAL44" s="87"/>
      <c r="AAM44" s="87"/>
      <c r="AAN44" s="87">
        <f t="shared" si="87"/>
        <v>0</v>
      </c>
      <c r="AAO44" s="114"/>
      <c r="AAP44" s="89"/>
      <c r="AAQ44" s="82"/>
      <c r="AAS44" s="90"/>
      <c r="AAT44" s="87"/>
      <c r="AAU44" s="87"/>
      <c r="AAV44" s="87">
        <f t="shared" si="88"/>
        <v>0</v>
      </c>
      <c r="AAW44" s="114"/>
      <c r="AAX44" s="89"/>
      <c r="AAY44" s="82"/>
      <c r="ABA44" s="90"/>
      <c r="ABB44" s="87"/>
      <c r="ABC44" s="87"/>
      <c r="ABD44" s="87">
        <f t="shared" si="89"/>
        <v>0</v>
      </c>
      <c r="ABE44" s="114"/>
      <c r="ABF44" s="89"/>
      <c r="ABG44" s="82"/>
      <c r="ABI44" s="90"/>
      <c r="ABJ44" s="87"/>
      <c r="ABK44" s="87"/>
      <c r="ABL44" s="87">
        <f t="shared" si="90"/>
        <v>0</v>
      </c>
      <c r="ABM44" s="114"/>
      <c r="ABN44" s="89"/>
      <c r="ABO44" s="82"/>
      <c r="ABQ44" s="90"/>
      <c r="ABR44" s="87"/>
      <c r="ABS44" s="87"/>
      <c r="ABT44" s="87">
        <f t="shared" si="91"/>
        <v>0</v>
      </c>
      <c r="ABU44" s="114"/>
      <c r="ABV44" s="89"/>
      <c r="ABW44" s="82"/>
      <c r="ABY44" s="90"/>
      <c r="ABZ44" s="87"/>
      <c r="ACA44" s="87"/>
      <c r="ACB44" s="87">
        <f t="shared" si="92"/>
        <v>0</v>
      </c>
      <c r="ACC44" s="114"/>
      <c r="ACD44" s="89"/>
      <c r="ACE44" s="82"/>
    </row>
    <row r="45" spans="1:759" ht="12" customHeight="1" x14ac:dyDescent="0.25">
      <c r="A45" s="84"/>
      <c r="B45" s="85"/>
      <c r="C45" s="87"/>
      <c r="D45" s="87">
        <f t="shared" si="2"/>
        <v>1700</v>
      </c>
      <c r="E45" s="114"/>
      <c r="F45" s="211"/>
      <c r="G45" s="382"/>
      <c r="H45" s="72"/>
      <c r="I45" s="84"/>
      <c r="J45" s="87"/>
      <c r="K45" s="87"/>
      <c r="L45" s="87">
        <f t="shared" si="0"/>
        <v>1000</v>
      </c>
      <c r="M45" s="114"/>
      <c r="N45" s="89"/>
      <c r="O45" s="82"/>
      <c r="P45" s="72"/>
      <c r="Q45" s="90"/>
      <c r="R45" s="87"/>
      <c r="S45" s="87"/>
      <c r="T45" s="87">
        <f t="shared" si="1"/>
        <v>4000</v>
      </c>
      <c r="U45" s="114"/>
      <c r="V45" s="89"/>
      <c r="W45" s="82"/>
      <c r="X45" s="72"/>
      <c r="Y45" s="90"/>
      <c r="Z45" s="87"/>
      <c r="AA45" s="87"/>
      <c r="AB45" s="87">
        <f t="shared" si="3"/>
        <v>1000</v>
      </c>
      <c r="AC45" s="114"/>
      <c r="AD45" s="89"/>
      <c r="AE45" s="82"/>
      <c r="AF45" s="72"/>
      <c r="AG45" s="84"/>
      <c r="AH45" s="222"/>
      <c r="AI45" s="222"/>
      <c r="AJ45" s="87">
        <f t="shared" si="4"/>
        <v>2000</v>
      </c>
      <c r="AK45" s="114"/>
      <c r="AL45" s="89"/>
      <c r="AM45" s="82"/>
      <c r="AN45" s="72"/>
      <c r="AO45" s="90"/>
      <c r="AP45" s="222"/>
      <c r="AQ45" s="222"/>
      <c r="AR45" s="87">
        <f t="shared" si="5"/>
        <v>1000</v>
      </c>
      <c r="AS45" s="114"/>
      <c r="AT45" s="89"/>
      <c r="AU45" s="82"/>
      <c r="AV45" s="72"/>
      <c r="AW45" s="90"/>
      <c r="AX45" s="87"/>
      <c r="AY45" s="87"/>
      <c r="AZ45" s="87">
        <f t="shared" si="6"/>
        <v>1150</v>
      </c>
      <c r="BA45" s="114"/>
      <c r="BB45" s="211"/>
      <c r="BC45" s="82"/>
      <c r="BD45" s="72"/>
      <c r="BE45" s="90"/>
      <c r="BF45" s="87"/>
      <c r="BG45" s="87"/>
      <c r="BH45" s="87">
        <f t="shared" si="7"/>
        <v>7000</v>
      </c>
      <c r="BI45" s="114"/>
      <c r="BJ45" s="220"/>
      <c r="BK45" s="82"/>
      <c r="BL45" s="72"/>
      <c r="BM45" s="90"/>
      <c r="BN45" s="87"/>
      <c r="BO45" s="87"/>
      <c r="BP45" s="87">
        <f t="shared" si="8"/>
        <v>1000</v>
      </c>
      <c r="BQ45" s="114"/>
      <c r="BR45" s="89"/>
      <c r="BS45" s="82"/>
      <c r="BT45" s="72"/>
      <c r="BU45" s="90"/>
      <c r="BV45" s="87"/>
      <c r="BW45" s="87"/>
      <c r="BX45" s="87">
        <f t="shared" si="9"/>
        <v>0</v>
      </c>
      <c r="BY45" s="114"/>
      <c r="BZ45" s="89"/>
      <c r="CA45" s="82"/>
      <c r="CB45" s="72"/>
      <c r="CC45" s="90"/>
      <c r="CD45" s="87"/>
      <c r="CE45" s="87"/>
      <c r="CF45" s="87">
        <f t="shared" si="10"/>
        <v>0</v>
      </c>
      <c r="CG45" s="114"/>
      <c r="CH45" s="89"/>
      <c r="CI45" s="82"/>
      <c r="CJ45" s="72"/>
      <c r="CK45" s="90"/>
      <c r="CL45" s="87"/>
      <c r="CM45" s="87"/>
      <c r="CN45" s="87">
        <f t="shared" si="11"/>
        <v>0</v>
      </c>
      <c r="CO45" s="114"/>
      <c r="CP45" s="220"/>
      <c r="CQ45" s="82"/>
      <c r="CR45" s="72"/>
      <c r="CS45" s="90"/>
      <c r="CT45" s="87"/>
      <c r="CU45" s="87"/>
      <c r="CV45" s="87">
        <f t="shared" si="12"/>
        <v>0</v>
      </c>
      <c r="CW45" s="114"/>
      <c r="CX45" s="220"/>
      <c r="CY45" s="82"/>
      <c r="CZ45" s="72"/>
      <c r="DA45" s="84"/>
      <c r="DB45" s="87"/>
      <c r="DC45" s="87"/>
      <c r="DD45" s="87">
        <f t="shared" si="13"/>
        <v>0</v>
      </c>
      <c r="DE45" s="114"/>
      <c r="DF45" s="89"/>
      <c r="DG45" s="82"/>
      <c r="DH45" s="72"/>
      <c r="DI45" s="90"/>
      <c r="DJ45" s="87"/>
      <c r="DK45" s="87"/>
      <c r="DL45" s="87">
        <f t="shared" si="14"/>
        <v>0</v>
      </c>
      <c r="DM45" s="114"/>
      <c r="DN45" s="89"/>
      <c r="DO45" s="82"/>
      <c r="DP45" s="72"/>
      <c r="DQ45" s="90"/>
      <c r="DR45" s="87"/>
      <c r="DS45" s="87"/>
      <c r="DT45" s="87">
        <f t="shared" si="15"/>
        <v>0</v>
      </c>
      <c r="DU45" s="114"/>
      <c r="DV45" s="89"/>
      <c r="DW45" s="82"/>
      <c r="DX45" s="72"/>
      <c r="DY45" s="90"/>
      <c r="DZ45" s="87"/>
      <c r="EA45" s="87"/>
      <c r="EB45" s="87">
        <f t="shared" si="16"/>
        <v>0</v>
      </c>
      <c r="EC45" s="114"/>
      <c r="ED45" s="89"/>
      <c r="EE45" s="82"/>
      <c r="EF45" s="72"/>
      <c r="EG45" s="90"/>
      <c r="EH45" s="87"/>
      <c r="EI45" s="87"/>
      <c r="EJ45" s="87">
        <f t="shared" si="17"/>
        <v>0</v>
      </c>
      <c r="EK45" s="114"/>
      <c r="EL45" s="89"/>
      <c r="EM45" s="82"/>
      <c r="EO45" s="90"/>
      <c r="EP45" s="87"/>
      <c r="EQ45" s="87"/>
      <c r="ER45" s="87">
        <f t="shared" si="18"/>
        <v>0</v>
      </c>
      <c r="ES45" s="114"/>
      <c r="ET45" s="89"/>
      <c r="EU45" s="82"/>
      <c r="EW45" s="90"/>
      <c r="EX45" s="87"/>
      <c r="EY45" s="87"/>
      <c r="EZ45" s="87">
        <f t="shared" si="19"/>
        <v>0</v>
      </c>
      <c r="FA45" s="114"/>
      <c r="FB45" s="89"/>
      <c r="FC45" s="82"/>
      <c r="FE45" s="90"/>
      <c r="FF45" s="87"/>
      <c r="FG45" s="87"/>
      <c r="FH45" s="87">
        <f t="shared" si="93"/>
        <v>0</v>
      </c>
      <c r="FI45" s="114"/>
      <c r="FJ45" s="89"/>
      <c r="FK45" s="82"/>
      <c r="FM45" s="90"/>
      <c r="FN45" s="87"/>
      <c r="FO45" s="87"/>
      <c r="FP45" s="87">
        <f t="shared" si="20"/>
        <v>0</v>
      </c>
      <c r="FQ45" s="114"/>
      <c r="FR45" s="89"/>
      <c r="FS45" s="82"/>
      <c r="FT45" s="72"/>
      <c r="FU45" s="90"/>
      <c r="FV45" s="87"/>
      <c r="FW45" s="87"/>
      <c r="FX45" s="87">
        <f t="shared" si="21"/>
        <v>0</v>
      </c>
      <c r="FY45" s="165"/>
      <c r="FZ45" s="89"/>
      <c r="GA45" s="82"/>
      <c r="GC45" s="90"/>
      <c r="GD45" s="87"/>
      <c r="GE45" s="87"/>
      <c r="GF45" s="87">
        <f t="shared" si="22"/>
        <v>0</v>
      </c>
      <c r="GG45" s="114"/>
      <c r="GH45" s="89"/>
      <c r="GI45" s="82"/>
      <c r="GK45" s="90"/>
      <c r="GL45" s="87"/>
      <c r="GM45" s="87"/>
      <c r="GN45" s="87">
        <f t="shared" si="23"/>
        <v>0</v>
      </c>
      <c r="GO45" s="114"/>
      <c r="GP45" s="89"/>
      <c r="GQ45" s="82"/>
      <c r="GS45" s="90"/>
      <c r="GT45" s="87"/>
      <c r="GU45" s="87"/>
      <c r="GV45" s="87">
        <f t="shared" si="24"/>
        <v>0</v>
      </c>
      <c r="GW45" s="114"/>
      <c r="GX45" s="89"/>
      <c r="GY45" s="82"/>
      <c r="HA45" s="90"/>
      <c r="HB45" s="87"/>
      <c r="HC45" s="87"/>
      <c r="HD45" s="87">
        <f t="shared" si="25"/>
        <v>0</v>
      </c>
      <c r="HE45" s="114"/>
      <c r="HF45" s="89"/>
      <c r="HG45" s="82"/>
      <c r="HI45" s="90"/>
      <c r="HJ45" s="87"/>
      <c r="HK45" s="87"/>
      <c r="HL45" s="87">
        <f t="shared" si="26"/>
        <v>0</v>
      </c>
      <c r="HM45" s="114"/>
      <c r="HN45" s="89"/>
      <c r="HO45" s="82"/>
      <c r="HQ45" s="90"/>
      <c r="HR45" s="87"/>
      <c r="HS45" s="87"/>
      <c r="HT45" s="87">
        <f t="shared" si="27"/>
        <v>0</v>
      </c>
      <c r="HU45" s="114"/>
      <c r="HV45" s="89"/>
      <c r="HW45" s="82"/>
      <c r="HY45" s="90"/>
      <c r="HZ45" s="87"/>
      <c r="IA45" s="87"/>
      <c r="IB45" s="87">
        <f t="shared" si="28"/>
        <v>0</v>
      </c>
      <c r="IC45" s="114"/>
      <c r="ID45" s="89"/>
      <c r="IE45" s="82"/>
      <c r="IG45" s="90"/>
      <c r="IH45" s="87"/>
      <c r="II45" s="87"/>
      <c r="IJ45" s="87">
        <f t="shared" si="29"/>
        <v>0</v>
      </c>
      <c r="IK45" s="114"/>
      <c r="IL45" s="89"/>
      <c r="IM45" s="82"/>
      <c r="IO45" s="90"/>
      <c r="IP45" s="87"/>
      <c r="IQ45" s="87"/>
      <c r="IR45" s="87">
        <f t="shared" si="30"/>
        <v>0</v>
      </c>
      <c r="IS45" s="114"/>
      <c r="IT45" s="89"/>
      <c r="IU45" s="82"/>
      <c r="IW45" s="90"/>
      <c r="IX45" s="87"/>
      <c r="IY45" s="87"/>
      <c r="IZ45" s="87">
        <f t="shared" si="31"/>
        <v>0</v>
      </c>
      <c r="JA45" s="114"/>
      <c r="JB45" s="89"/>
      <c r="JC45" s="82"/>
      <c r="JE45" s="90"/>
      <c r="JF45" s="87"/>
      <c r="JG45" s="87"/>
      <c r="JH45" s="87">
        <f t="shared" si="32"/>
        <v>0</v>
      </c>
      <c r="JI45" s="114"/>
      <c r="JJ45" s="89"/>
      <c r="JK45" s="82"/>
      <c r="JM45" s="90"/>
      <c r="JN45" s="87"/>
      <c r="JO45" s="87"/>
      <c r="JP45" s="87">
        <f t="shared" si="33"/>
        <v>0</v>
      </c>
      <c r="JQ45" s="114"/>
      <c r="JR45" s="91"/>
      <c r="JS45" s="82"/>
      <c r="JU45" s="90"/>
      <c r="JV45" s="87"/>
      <c r="JW45" s="87"/>
      <c r="JX45" s="87">
        <f t="shared" si="94"/>
        <v>0</v>
      </c>
      <c r="JY45" s="114"/>
      <c r="JZ45" s="89"/>
      <c r="KA45" s="82"/>
      <c r="KC45" s="90"/>
      <c r="KD45" s="87"/>
      <c r="KE45" s="87"/>
      <c r="KF45" s="87">
        <f t="shared" si="34"/>
        <v>0</v>
      </c>
      <c r="KG45" s="114"/>
      <c r="KH45" s="86"/>
      <c r="KI45" s="109"/>
      <c r="KK45" s="90"/>
      <c r="KL45" s="87"/>
      <c r="KM45" s="87"/>
      <c r="KN45" s="87">
        <f t="shared" si="35"/>
        <v>0</v>
      </c>
      <c r="KO45" s="114"/>
      <c r="KP45" s="89"/>
      <c r="KQ45" s="82"/>
      <c r="KS45" s="90"/>
      <c r="KT45" s="87"/>
      <c r="KU45" s="87"/>
      <c r="KV45" s="87">
        <f t="shared" si="36"/>
        <v>0</v>
      </c>
      <c r="KW45" s="114"/>
      <c r="KX45" s="89"/>
      <c r="KY45" s="82"/>
      <c r="LA45" s="90"/>
      <c r="LB45" s="87"/>
      <c r="LC45" s="87"/>
      <c r="LD45" s="87">
        <f t="shared" si="37"/>
        <v>0</v>
      </c>
      <c r="LE45" s="114"/>
      <c r="LF45" s="89"/>
      <c r="LG45" s="82"/>
      <c r="LI45" s="99"/>
      <c r="LJ45" s="87"/>
      <c r="LK45" s="87"/>
      <c r="LL45" s="87">
        <f t="shared" si="38"/>
        <v>0</v>
      </c>
      <c r="LM45" s="114"/>
      <c r="LN45" s="89"/>
      <c r="LO45" s="82"/>
      <c r="LQ45" s="90"/>
      <c r="LR45" s="87"/>
      <c r="LS45" s="87"/>
      <c r="LT45" s="87">
        <f t="shared" si="39"/>
        <v>0</v>
      </c>
      <c r="LU45" s="114"/>
      <c r="LV45" s="89"/>
      <c r="LW45" s="82"/>
      <c r="LY45" s="90"/>
      <c r="LZ45" s="87"/>
      <c r="MA45" s="87"/>
      <c r="MB45" s="87">
        <f t="shared" si="40"/>
        <v>0</v>
      </c>
      <c r="MC45" s="114"/>
      <c r="MD45" s="89"/>
      <c r="ME45" s="82"/>
      <c r="MG45" s="90"/>
      <c r="MH45" s="87"/>
      <c r="MI45" s="87"/>
      <c r="MJ45" s="87">
        <f t="shared" si="41"/>
        <v>0</v>
      </c>
      <c r="MK45" s="114"/>
      <c r="ML45" s="89"/>
      <c r="MM45" s="82"/>
      <c r="MO45" s="90"/>
      <c r="MP45" s="87"/>
      <c r="MQ45" s="87"/>
      <c r="MR45" s="87">
        <f t="shared" si="42"/>
        <v>0</v>
      </c>
      <c r="MS45" s="114"/>
      <c r="MT45" s="89"/>
      <c r="MU45" s="82"/>
      <c r="MW45" s="90"/>
      <c r="MX45" s="87"/>
      <c r="MY45" s="87"/>
      <c r="MZ45" s="87">
        <f t="shared" si="43"/>
        <v>0</v>
      </c>
      <c r="NA45" s="114"/>
      <c r="NB45" s="89"/>
      <c r="NC45" s="82"/>
      <c r="NE45" s="90"/>
      <c r="NF45" s="87"/>
      <c r="NG45" s="87"/>
      <c r="NH45" s="87">
        <f t="shared" si="44"/>
        <v>0</v>
      </c>
      <c r="NI45" s="114"/>
      <c r="NJ45" s="89"/>
      <c r="NK45" s="82"/>
      <c r="NM45" s="90"/>
      <c r="NN45" s="87"/>
      <c r="NO45" s="87"/>
      <c r="NP45" s="87">
        <f t="shared" si="45"/>
        <v>0</v>
      </c>
      <c r="NQ45" s="114"/>
      <c r="NR45" s="89"/>
      <c r="NS45" s="82"/>
      <c r="NU45" s="90"/>
      <c r="NV45" s="87"/>
      <c r="NW45" s="87"/>
      <c r="NX45" s="87">
        <f t="shared" si="46"/>
        <v>0</v>
      </c>
      <c r="NY45" s="114"/>
      <c r="NZ45" s="89"/>
      <c r="OA45" s="82"/>
      <c r="OC45" s="90"/>
      <c r="OD45" s="87"/>
      <c r="OE45" s="87"/>
      <c r="OF45" s="87">
        <f t="shared" si="47"/>
        <v>0</v>
      </c>
      <c r="OG45" s="114"/>
      <c r="OH45" s="89"/>
      <c r="OI45" s="82"/>
      <c r="OK45" s="90"/>
      <c r="OL45" s="87"/>
      <c r="OM45" s="87"/>
      <c r="ON45" s="87">
        <f t="shared" si="48"/>
        <v>0</v>
      </c>
      <c r="OO45" s="114"/>
      <c r="OP45" s="91"/>
      <c r="OQ45" s="82"/>
      <c r="OS45" s="90"/>
      <c r="OT45" s="87"/>
      <c r="OU45" s="87"/>
      <c r="OV45" s="87">
        <f t="shared" si="49"/>
        <v>0</v>
      </c>
      <c r="OW45" s="114"/>
      <c r="OX45" s="89"/>
      <c r="OY45" s="82"/>
      <c r="PA45" s="90"/>
      <c r="PB45" s="87"/>
      <c r="PC45" s="87"/>
      <c r="PD45" s="87">
        <f t="shared" si="50"/>
        <v>0</v>
      </c>
      <c r="PE45" s="114"/>
      <c r="PF45" s="89"/>
      <c r="PG45" s="82"/>
      <c r="PI45" s="90"/>
      <c r="PJ45" s="87"/>
      <c r="PK45" s="87"/>
      <c r="PL45" s="87">
        <f t="shared" si="51"/>
        <v>0</v>
      </c>
      <c r="PM45" s="114"/>
      <c r="PN45" s="211"/>
      <c r="PO45" s="216"/>
      <c r="PQ45" s="90"/>
      <c r="PR45" s="87"/>
      <c r="PS45" s="87"/>
      <c r="PT45" s="87">
        <f t="shared" si="52"/>
        <v>0</v>
      </c>
      <c r="PU45" s="114"/>
      <c r="PV45" s="89"/>
      <c r="PW45" s="82"/>
      <c r="PY45" s="90"/>
      <c r="PZ45" s="87"/>
      <c r="QA45" s="87"/>
      <c r="QB45" s="87">
        <f t="shared" si="53"/>
        <v>0</v>
      </c>
      <c r="QC45" s="114"/>
      <c r="QD45" s="89"/>
      <c r="QE45" s="82"/>
      <c r="QG45" s="90"/>
      <c r="QH45" s="87"/>
      <c r="QI45" s="87"/>
      <c r="QJ45" s="87">
        <f t="shared" si="54"/>
        <v>0</v>
      </c>
      <c r="QK45" s="114"/>
      <c r="QL45" s="89"/>
      <c r="QM45" s="82"/>
      <c r="QO45" s="90"/>
      <c r="QP45" s="87"/>
      <c r="QQ45" s="87"/>
      <c r="QR45" s="87">
        <f t="shared" si="55"/>
        <v>0</v>
      </c>
      <c r="QS45" s="114"/>
      <c r="QT45" s="211"/>
      <c r="QU45" s="216"/>
      <c r="QW45" s="90"/>
      <c r="QX45" s="87"/>
      <c r="QY45" s="87"/>
      <c r="QZ45" s="87">
        <f t="shared" si="56"/>
        <v>0</v>
      </c>
      <c r="RA45" s="114"/>
      <c r="RB45" s="89"/>
      <c r="RC45" s="82"/>
      <c r="RE45" s="90"/>
      <c r="RF45" s="87"/>
      <c r="RG45" s="87"/>
      <c r="RH45" s="87">
        <f t="shared" si="57"/>
        <v>0</v>
      </c>
      <c r="RI45" s="114"/>
      <c r="RJ45" s="89"/>
      <c r="RK45" s="170"/>
      <c r="RM45" s="90"/>
      <c r="RN45" s="87"/>
      <c r="RO45" s="87"/>
      <c r="RP45" s="87">
        <f t="shared" si="58"/>
        <v>0</v>
      </c>
      <c r="RQ45" s="114"/>
      <c r="RR45" s="89"/>
      <c r="RS45" s="82"/>
      <c r="RU45" s="90"/>
      <c r="RV45" s="87"/>
      <c r="RW45" s="87"/>
      <c r="RX45" s="87">
        <f t="shared" si="59"/>
        <v>0</v>
      </c>
      <c r="RY45" s="114"/>
      <c r="RZ45" s="89"/>
      <c r="SA45" s="82"/>
      <c r="SC45" s="90"/>
      <c r="SD45" s="87"/>
      <c r="SE45" s="87"/>
      <c r="SF45" s="87">
        <f t="shared" si="60"/>
        <v>0</v>
      </c>
      <c r="SG45" s="114"/>
      <c r="SH45" s="89"/>
      <c r="SI45" s="82"/>
      <c r="SK45" s="90"/>
      <c r="SL45" s="87"/>
      <c r="SM45" s="87"/>
      <c r="SN45" s="87">
        <f t="shared" si="61"/>
        <v>0</v>
      </c>
      <c r="SO45" s="114"/>
      <c r="SP45" s="89"/>
      <c r="SQ45" s="82"/>
      <c r="SS45" s="90"/>
      <c r="ST45" s="87"/>
      <c r="SU45" s="87"/>
      <c r="SV45" s="87">
        <f t="shared" si="62"/>
        <v>0</v>
      </c>
      <c r="SW45" s="114"/>
      <c r="SX45" s="89"/>
      <c r="SY45" s="82"/>
      <c r="TA45" s="90"/>
      <c r="TB45" s="87"/>
      <c r="TC45" s="87"/>
      <c r="TD45" s="87">
        <f t="shared" si="63"/>
        <v>0</v>
      </c>
      <c r="TE45" s="114"/>
      <c r="TF45" s="89"/>
      <c r="TG45" s="82"/>
      <c r="TI45" s="90"/>
      <c r="TJ45" s="87"/>
      <c r="TK45" s="87"/>
      <c r="TL45" s="87">
        <f t="shared" si="64"/>
        <v>0</v>
      </c>
      <c r="TM45" s="114"/>
      <c r="TN45" s="89"/>
      <c r="TO45" s="82"/>
      <c r="TQ45" s="90"/>
      <c r="TR45" s="87"/>
      <c r="TS45" s="87"/>
      <c r="TT45" s="87">
        <f t="shared" si="65"/>
        <v>0</v>
      </c>
      <c r="TU45" s="114"/>
      <c r="TV45" s="91"/>
      <c r="TW45" s="82"/>
      <c r="TY45" s="90"/>
      <c r="TZ45" s="87"/>
      <c r="UA45" s="87"/>
      <c r="UB45" s="87">
        <f t="shared" si="66"/>
        <v>0</v>
      </c>
      <c r="UC45" s="114"/>
      <c r="UD45" s="89"/>
      <c r="UE45" s="82"/>
      <c r="UG45" s="90"/>
      <c r="UH45" s="87"/>
      <c r="UI45" s="87"/>
      <c r="UJ45" s="87">
        <f t="shared" si="67"/>
        <v>0</v>
      </c>
      <c r="UK45" s="114"/>
      <c r="UL45" s="89"/>
      <c r="UM45" s="82"/>
      <c r="UO45" s="90"/>
      <c r="UP45" s="87"/>
      <c r="UQ45" s="87"/>
      <c r="UR45" s="87">
        <f t="shared" si="68"/>
        <v>0</v>
      </c>
      <c r="US45" s="114"/>
      <c r="UT45" s="89"/>
      <c r="UU45" s="82"/>
      <c r="UW45" s="90"/>
      <c r="UX45" s="87"/>
      <c r="UY45" s="87"/>
      <c r="UZ45" s="87">
        <f t="shared" si="69"/>
        <v>0</v>
      </c>
      <c r="VA45" s="114"/>
      <c r="VB45" s="89"/>
      <c r="VC45" s="82"/>
      <c r="VE45" s="90"/>
      <c r="VF45" s="87"/>
      <c r="VG45" s="87"/>
      <c r="VH45" s="87">
        <f t="shared" si="70"/>
        <v>0</v>
      </c>
      <c r="VI45" s="114"/>
      <c r="VJ45" s="89"/>
      <c r="VK45" s="82"/>
      <c r="VM45" s="90"/>
      <c r="VN45" s="87"/>
      <c r="VO45" s="87"/>
      <c r="VP45" s="87">
        <f t="shared" si="71"/>
        <v>0</v>
      </c>
      <c r="VQ45" s="114"/>
      <c r="VR45" s="89"/>
      <c r="VS45" s="82"/>
      <c r="VU45" s="90"/>
      <c r="VV45" s="87"/>
      <c r="VW45" s="87"/>
      <c r="VX45" s="87">
        <f t="shared" si="72"/>
        <v>0</v>
      </c>
      <c r="VY45" s="114"/>
      <c r="VZ45" s="89"/>
      <c r="WA45" s="82"/>
      <c r="WC45" s="90"/>
      <c r="WD45" s="87"/>
      <c r="WE45" s="87"/>
      <c r="WF45" s="87">
        <f t="shared" si="73"/>
        <v>0</v>
      </c>
      <c r="WG45" s="114"/>
      <c r="WH45" s="89"/>
      <c r="WI45" s="82"/>
      <c r="WK45" s="90"/>
      <c r="WL45" s="87"/>
      <c r="WM45" s="87"/>
      <c r="WN45" s="87">
        <f t="shared" si="74"/>
        <v>0</v>
      </c>
      <c r="WO45" s="114"/>
      <c r="WP45" s="89"/>
      <c r="WQ45" s="82"/>
      <c r="WS45" s="90"/>
      <c r="WT45" s="87"/>
      <c r="WU45" s="87"/>
      <c r="WV45" s="87">
        <f t="shared" si="75"/>
        <v>0</v>
      </c>
      <c r="WW45" s="114"/>
      <c r="WX45" s="89"/>
      <c r="WY45" s="82"/>
      <c r="XA45" s="90"/>
      <c r="XB45" s="87"/>
      <c r="XC45" s="87"/>
      <c r="XD45" s="87">
        <f t="shared" si="76"/>
        <v>0</v>
      </c>
      <c r="XE45" s="114"/>
      <c r="XF45" s="89"/>
      <c r="XG45" s="82"/>
      <c r="XI45" s="90"/>
      <c r="XJ45" s="87"/>
      <c r="XK45" s="87"/>
      <c r="XL45" s="87">
        <f t="shared" si="77"/>
        <v>0</v>
      </c>
      <c r="XM45" s="114"/>
      <c r="XN45" s="89"/>
      <c r="XO45" s="82"/>
      <c r="XQ45" s="90"/>
      <c r="XR45" s="87"/>
      <c r="XS45" s="87"/>
      <c r="XT45" s="87">
        <f t="shared" si="78"/>
        <v>0</v>
      </c>
      <c r="XU45" s="114"/>
      <c r="XV45" s="89"/>
      <c r="XW45" s="82"/>
      <c r="XY45" s="90"/>
      <c r="XZ45" s="87"/>
      <c r="YA45" s="87"/>
      <c r="YB45" s="87">
        <f t="shared" si="79"/>
        <v>0</v>
      </c>
      <c r="YC45" s="114"/>
      <c r="YD45" s="89"/>
      <c r="YE45" s="82"/>
      <c r="YG45" s="90"/>
      <c r="YH45" s="87"/>
      <c r="YI45" s="87"/>
      <c r="YJ45" s="87">
        <f t="shared" si="80"/>
        <v>0</v>
      </c>
      <c r="YK45" s="114"/>
      <c r="YL45" s="89"/>
      <c r="YM45" s="82"/>
      <c r="YO45" s="90"/>
      <c r="YP45" s="87"/>
      <c r="YQ45" s="87"/>
      <c r="YR45" s="87">
        <f t="shared" si="81"/>
        <v>0</v>
      </c>
      <c r="YS45" s="114"/>
      <c r="YT45" s="89"/>
      <c r="YU45" s="82"/>
      <c r="YW45" s="90"/>
      <c r="YX45" s="87"/>
      <c r="YY45" s="87"/>
      <c r="YZ45" s="87">
        <f t="shared" si="82"/>
        <v>0</v>
      </c>
      <c r="ZA45" s="114"/>
      <c r="ZB45" s="89"/>
      <c r="ZC45" s="82"/>
      <c r="ZE45" s="90"/>
      <c r="ZF45" s="87"/>
      <c r="ZG45" s="87"/>
      <c r="ZH45" s="87">
        <f t="shared" si="83"/>
        <v>0</v>
      </c>
      <c r="ZI45" s="114"/>
      <c r="ZJ45" s="89"/>
      <c r="ZK45" s="82"/>
      <c r="ZM45" s="90"/>
      <c r="ZN45" s="87"/>
      <c r="ZO45" s="87"/>
      <c r="ZP45" s="87">
        <f t="shared" si="84"/>
        <v>0</v>
      </c>
      <c r="ZQ45" s="114"/>
      <c r="ZR45" s="89"/>
      <c r="ZS45" s="82"/>
      <c r="ZU45" s="90"/>
      <c r="ZV45" s="87"/>
      <c r="ZW45" s="87"/>
      <c r="ZX45" s="87">
        <f t="shared" si="85"/>
        <v>0</v>
      </c>
      <c r="ZY45" s="114"/>
      <c r="ZZ45" s="89"/>
      <c r="AAA45" s="82"/>
      <c r="AAC45" s="90"/>
      <c r="AAD45" s="87"/>
      <c r="AAE45" s="87"/>
      <c r="AAF45" s="87">
        <f t="shared" si="86"/>
        <v>0</v>
      </c>
      <c r="AAG45" s="114"/>
      <c r="AAH45" s="89"/>
      <c r="AAI45" s="82"/>
      <c r="AAK45" s="90"/>
      <c r="AAL45" s="87"/>
      <c r="AAM45" s="87"/>
      <c r="AAN45" s="87">
        <f t="shared" si="87"/>
        <v>0</v>
      </c>
      <c r="AAO45" s="114"/>
      <c r="AAP45" s="89"/>
      <c r="AAQ45" s="82"/>
      <c r="AAS45" s="90"/>
      <c r="AAT45" s="87"/>
      <c r="AAU45" s="87"/>
      <c r="AAV45" s="87">
        <f t="shared" si="88"/>
        <v>0</v>
      </c>
      <c r="AAW45" s="114"/>
      <c r="AAX45" s="89"/>
      <c r="AAY45" s="82"/>
      <c r="ABA45" s="90"/>
      <c r="ABB45" s="87"/>
      <c r="ABC45" s="87"/>
      <c r="ABD45" s="87">
        <f t="shared" si="89"/>
        <v>0</v>
      </c>
      <c r="ABE45" s="114"/>
      <c r="ABF45" s="89"/>
      <c r="ABG45" s="82"/>
      <c r="ABI45" s="90"/>
      <c r="ABJ45" s="87"/>
      <c r="ABK45" s="87"/>
      <c r="ABL45" s="87">
        <f t="shared" si="90"/>
        <v>0</v>
      </c>
      <c r="ABM45" s="114"/>
      <c r="ABN45" s="89"/>
      <c r="ABO45" s="82"/>
      <c r="ABQ45" s="90"/>
      <c r="ABR45" s="87"/>
      <c r="ABS45" s="87"/>
      <c r="ABT45" s="87">
        <f t="shared" si="91"/>
        <v>0</v>
      </c>
      <c r="ABU45" s="114"/>
      <c r="ABV45" s="89"/>
      <c r="ABW45" s="82"/>
      <c r="ABY45" s="90"/>
      <c r="ABZ45" s="87"/>
      <c r="ACA45" s="87"/>
      <c r="ACB45" s="87">
        <f t="shared" si="92"/>
        <v>0</v>
      </c>
      <c r="ACC45" s="114"/>
      <c r="ACD45" s="89"/>
      <c r="ACE45" s="82"/>
    </row>
    <row r="46" spans="1:759" ht="12" customHeight="1" x14ac:dyDescent="0.25">
      <c r="A46" s="84"/>
      <c r="B46" s="85"/>
      <c r="C46" s="87"/>
      <c r="D46" s="87">
        <f t="shared" si="2"/>
        <v>1700</v>
      </c>
      <c r="E46" s="114"/>
      <c r="F46" s="211"/>
      <c r="G46" s="382"/>
      <c r="H46" s="72"/>
      <c r="I46" s="84"/>
      <c r="J46" s="87"/>
      <c r="K46" s="87"/>
      <c r="L46" s="87">
        <f t="shared" si="0"/>
        <v>1000</v>
      </c>
      <c r="M46" s="114"/>
      <c r="N46" s="89"/>
      <c r="O46" s="82"/>
      <c r="P46" s="72"/>
      <c r="Q46" s="90"/>
      <c r="R46" s="87"/>
      <c r="S46" s="87"/>
      <c r="T46" s="87">
        <f t="shared" si="1"/>
        <v>4000</v>
      </c>
      <c r="U46" s="114"/>
      <c r="V46" s="89"/>
      <c r="W46" s="82"/>
      <c r="X46" s="72"/>
      <c r="Y46" s="90"/>
      <c r="Z46" s="87"/>
      <c r="AA46" s="87"/>
      <c r="AB46" s="87">
        <f t="shared" si="3"/>
        <v>1000</v>
      </c>
      <c r="AC46" s="114"/>
      <c r="AD46" s="89"/>
      <c r="AE46" s="82"/>
      <c r="AF46" s="72"/>
      <c r="AG46" s="84"/>
      <c r="AH46" s="222"/>
      <c r="AI46" s="222"/>
      <c r="AJ46" s="87">
        <f t="shared" si="4"/>
        <v>2000</v>
      </c>
      <c r="AK46" s="114"/>
      <c r="AL46" s="89"/>
      <c r="AM46" s="82"/>
      <c r="AN46" s="72"/>
      <c r="AO46" s="90"/>
      <c r="AP46" s="222"/>
      <c r="AQ46" s="222"/>
      <c r="AR46" s="87">
        <f t="shared" si="5"/>
        <v>1000</v>
      </c>
      <c r="AS46" s="114"/>
      <c r="AT46" s="89"/>
      <c r="AU46" s="82"/>
      <c r="AV46" s="72"/>
      <c r="AW46" s="90"/>
      <c r="AX46" s="87"/>
      <c r="AY46" s="87"/>
      <c r="AZ46" s="87">
        <f t="shared" si="6"/>
        <v>1150</v>
      </c>
      <c r="BA46" s="114"/>
      <c r="BB46" s="211"/>
      <c r="BC46" s="82"/>
      <c r="BD46" s="72"/>
      <c r="BE46" s="90"/>
      <c r="BF46" s="87"/>
      <c r="BG46" s="87"/>
      <c r="BH46" s="87">
        <f t="shared" si="7"/>
        <v>7000</v>
      </c>
      <c r="BI46" s="114"/>
      <c r="BJ46" s="220"/>
      <c r="BK46" s="82"/>
      <c r="BL46" s="72"/>
      <c r="BM46" s="90"/>
      <c r="BN46" s="87"/>
      <c r="BO46" s="87"/>
      <c r="BP46" s="87">
        <f t="shared" si="8"/>
        <v>1000</v>
      </c>
      <c r="BQ46" s="114"/>
      <c r="BR46" s="89"/>
      <c r="BS46" s="82"/>
      <c r="BT46" s="72"/>
      <c r="BU46" s="90"/>
      <c r="BV46" s="87"/>
      <c r="BW46" s="87"/>
      <c r="BX46" s="87">
        <f t="shared" si="9"/>
        <v>0</v>
      </c>
      <c r="BY46" s="114"/>
      <c r="BZ46" s="89"/>
      <c r="CA46" s="82"/>
      <c r="CB46" s="72"/>
      <c r="CC46" s="90"/>
      <c r="CD46" s="87"/>
      <c r="CE46" s="87"/>
      <c r="CF46" s="87">
        <f t="shared" si="10"/>
        <v>0</v>
      </c>
      <c r="CG46" s="114"/>
      <c r="CH46" s="89"/>
      <c r="CI46" s="82"/>
      <c r="CJ46" s="72"/>
      <c r="CK46" s="90"/>
      <c r="CL46" s="87"/>
      <c r="CM46" s="87"/>
      <c r="CN46" s="87">
        <f t="shared" si="11"/>
        <v>0</v>
      </c>
      <c r="CO46" s="114"/>
      <c r="CP46" s="220"/>
      <c r="CQ46" s="82"/>
      <c r="CR46" s="72"/>
      <c r="CS46" s="90"/>
      <c r="CT46" s="87"/>
      <c r="CU46" s="87"/>
      <c r="CV46" s="87">
        <f t="shared" si="12"/>
        <v>0</v>
      </c>
      <c r="CW46" s="114"/>
      <c r="CX46" s="220"/>
      <c r="CY46" s="82"/>
      <c r="CZ46" s="72"/>
      <c r="DA46" s="84"/>
      <c r="DB46" s="87"/>
      <c r="DC46" s="87"/>
      <c r="DD46" s="87">
        <f t="shared" si="13"/>
        <v>0</v>
      </c>
      <c r="DE46" s="114"/>
      <c r="DF46" s="89"/>
      <c r="DG46" s="82"/>
      <c r="DH46" s="72"/>
      <c r="DI46" s="90"/>
      <c r="DJ46" s="87"/>
      <c r="DK46" s="87"/>
      <c r="DL46" s="87">
        <f t="shared" si="14"/>
        <v>0</v>
      </c>
      <c r="DM46" s="114"/>
      <c r="DN46" s="89"/>
      <c r="DO46" s="82"/>
      <c r="DP46" s="72"/>
      <c r="DQ46" s="90"/>
      <c r="DR46" s="87"/>
      <c r="DS46" s="87"/>
      <c r="DT46" s="87">
        <f t="shared" si="15"/>
        <v>0</v>
      </c>
      <c r="DU46" s="114"/>
      <c r="DV46" s="89"/>
      <c r="DW46" s="82"/>
      <c r="DX46" s="72"/>
      <c r="DY46" s="90"/>
      <c r="DZ46" s="87"/>
      <c r="EA46" s="87"/>
      <c r="EB46" s="87">
        <f t="shared" si="16"/>
        <v>0</v>
      </c>
      <c r="EC46" s="114"/>
      <c r="ED46" s="89"/>
      <c r="EE46" s="82"/>
      <c r="EF46" s="72"/>
      <c r="EG46" s="90"/>
      <c r="EH46" s="87"/>
      <c r="EI46" s="87"/>
      <c r="EJ46" s="87">
        <f t="shared" si="17"/>
        <v>0</v>
      </c>
      <c r="EK46" s="114"/>
      <c r="EL46" s="89"/>
      <c r="EM46" s="82"/>
      <c r="EO46" s="90"/>
      <c r="EP46" s="87"/>
      <c r="EQ46" s="87"/>
      <c r="ER46" s="87">
        <f t="shared" si="18"/>
        <v>0</v>
      </c>
      <c r="ES46" s="114"/>
      <c r="ET46" s="89"/>
      <c r="EU46" s="82"/>
      <c r="EW46" s="90"/>
      <c r="EX46" s="87"/>
      <c r="EY46" s="87"/>
      <c r="EZ46" s="87">
        <f t="shared" si="19"/>
        <v>0</v>
      </c>
      <c r="FA46" s="114"/>
      <c r="FB46" s="89"/>
      <c r="FC46" s="82"/>
      <c r="FE46" s="90"/>
      <c r="FF46" s="87"/>
      <c r="FG46" s="87"/>
      <c r="FH46" s="87">
        <f t="shared" si="93"/>
        <v>0</v>
      </c>
      <c r="FI46" s="114"/>
      <c r="FJ46" s="89"/>
      <c r="FK46" s="82"/>
      <c r="FM46" s="90"/>
      <c r="FN46" s="87"/>
      <c r="FO46" s="87"/>
      <c r="FP46" s="87">
        <f t="shared" si="20"/>
        <v>0</v>
      </c>
      <c r="FQ46" s="114"/>
      <c r="FR46" s="89"/>
      <c r="FS46" s="82"/>
      <c r="FT46" s="72"/>
      <c r="FU46" s="90"/>
      <c r="FV46" s="87"/>
      <c r="FW46" s="87"/>
      <c r="FX46" s="87">
        <f t="shared" si="21"/>
        <v>0</v>
      </c>
      <c r="FY46" s="165"/>
      <c r="FZ46" s="89"/>
      <c r="GA46" s="82"/>
      <c r="GC46" s="90"/>
      <c r="GD46" s="87"/>
      <c r="GE46" s="87"/>
      <c r="GF46" s="87">
        <f t="shared" si="22"/>
        <v>0</v>
      </c>
      <c r="GG46" s="114"/>
      <c r="GH46" s="89"/>
      <c r="GI46" s="82"/>
      <c r="GK46" s="90"/>
      <c r="GL46" s="87"/>
      <c r="GM46" s="87"/>
      <c r="GN46" s="87">
        <f t="shared" si="23"/>
        <v>0</v>
      </c>
      <c r="GO46" s="114"/>
      <c r="GP46" s="89"/>
      <c r="GQ46" s="82"/>
      <c r="GS46" s="90"/>
      <c r="GT46" s="87"/>
      <c r="GU46" s="87"/>
      <c r="GV46" s="87">
        <f t="shared" si="24"/>
        <v>0</v>
      </c>
      <c r="GW46" s="114"/>
      <c r="GX46" s="89"/>
      <c r="GY46" s="82"/>
      <c r="HA46" s="90"/>
      <c r="HB46" s="87"/>
      <c r="HC46" s="87"/>
      <c r="HD46" s="87">
        <f t="shared" si="25"/>
        <v>0</v>
      </c>
      <c r="HE46" s="114"/>
      <c r="HF46" s="89"/>
      <c r="HG46" s="82"/>
      <c r="HI46" s="90"/>
      <c r="HJ46" s="87"/>
      <c r="HK46" s="87"/>
      <c r="HL46" s="87">
        <f t="shared" si="26"/>
        <v>0</v>
      </c>
      <c r="HM46" s="114"/>
      <c r="HN46" s="89"/>
      <c r="HO46" s="82"/>
      <c r="HQ46" s="90"/>
      <c r="HR46" s="87"/>
      <c r="HS46" s="87"/>
      <c r="HT46" s="87">
        <f t="shared" si="27"/>
        <v>0</v>
      </c>
      <c r="HU46" s="114"/>
      <c r="HV46" s="89"/>
      <c r="HW46" s="82"/>
      <c r="HY46" s="90"/>
      <c r="HZ46" s="87"/>
      <c r="IA46" s="87"/>
      <c r="IB46" s="87">
        <f t="shared" si="28"/>
        <v>0</v>
      </c>
      <c r="IC46" s="114"/>
      <c r="ID46" s="89"/>
      <c r="IE46" s="82"/>
      <c r="IG46" s="90"/>
      <c r="IH46" s="87"/>
      <c r="II46" s="87"/>
      <c r="IJ46" s="87">
        <f t="shared" si="29"/>
        <v>0</v>
      </c>
      <c r="IK46" s="114"/>
      <c r="IL46" s="89"/>
      <c r="IM46" s="82"/>
      <c r="IO46" s="90"/>
      <c r="IP46" s="87"/>
      <c r="IQ46" s="87"/>
      <c r="IR46" s="87">
        <f t="shared" si="30"/>
        <v>0</v>
      </c>
      <c r="IS46" s="114"/>
      <c r="IT46" s="89"/>
      <c r="IU46" s="82"/>
      <c r="IW46" s="90"/>
      <c r="IX46" s="87"/>
      <c r="IY46" s="87"/>
      <c r="IZ46" s="87">
        <f t="shared" si="31"/>
        <v>0</v>
      </c>
      <c r="JA46" s="114"/>
      <c r="JB46" s="89"/>
      <c r="JC46" s="82"/>
      <c r="JE46" s="90"/>
      <c r="JF46" s="87"/>
      <c r="JG46" s="87"/>
      <c r="JH46" s="87">
        <f t="shared" si="32"/>
        <v>0</v>
      </c>
      <c r="JI46" s="114"/>
      <c r="JJ46" s="89"/>
      <c r="JK46" s="82"/>
      <c r="JM46" s="90"/>
      <c r="JN46" s="87"/>
      <c r="JO46" s="87"/>
      <c r="JP46" s="87">
        <f t="shared" si="33"/>
        <v>0</v>
      </c>
      <c r="JQ46" s="114"/>
      <c r="JR46" s="91"/>
      <c r="JS46" s="82"/>
      <c r="JU46" s="90"/>
      <c r="JV46" s="87"/>
      <c r="JW46" s="87"/>
      <c r="JX46" s="87">
        <f t="shared" si="94"/>
        <v>0</v>
      </c>
      <c r="JY46" s="114"/>
      <c r="JZ46" s="89"/>
      <c r="KA46" s="82"/>
      <c r="KC46" s="90"/>
      <c r="KD46" s="87"/>
      <c r="KE46" s="87"/>
      <c r="KF46" s="87">
        <f t="shared" si="34"/>
        <v>0</v>
      </c>
      <c r="KG46" s="114"/>
      <c r="KH46" s="86"/>
      <c r="KI46" s="109"/>
      <c r="KK46" s="90"/>
      <c r="KL46" s="87"/>
      <c r="KM46" s="87"/>
      <c r="KN46" s="87">
        <f t="shared" si="35"/>
        <v>0</v>
      </c>
      <c r="KO46" s="114"/>
      <c r="KP46" s="89"/>
      <c r="KQ46" s="82"/>
      <c r="KS46" s="90"/>
      <c r="KT46" s="87"/>
      <c r="KU46" s="87"/>
      <c r="KV46" s="87">
        <f t="shared" si="36"/>
        <v>0</v>
      </c>
      <c r="KW46" s="114"/>
      <c r="KX46" s="89"/>
      <c r="KY46" s="82"/>
      <c r="LA46" s="90"/>
      <c r="LB46" s="87"/>
      <c r="LC46" s="87"/>
      <c r="LD46" s="87">
        <f t="shared" si="37"/>
        <v>0</v>
      </c>
      <c r="LE46" s="114"/>
      <c r="LF46" s="89"/>
      <c r="LG46" s="82"/>
      <c r="LI46" s="90"/>
      <c r="LJ46" s="87"/>
      <c r="LK46" s="87"/>
      <c r="LL46" s="87">
        <f t="shared" si="38"/>
        <v>0</v>
      </c>
      <c r="LM46" s="114"/>
      <c r="LN46" s="89"/>
      <c r="LO46" s="82"/>
      <c r="LQ46" s="90"/>
      <c r="LR46" s="87"/>
      <c r="LS46" s="87"/>
      <c r="LT46" s="87">
        <f t="shared" si="39"/>
        <v>0</v>
      </c>
      <c r="LU46" s="114"/>
      <c r="LV46" s="89"/>
      <c r="LW46" s="82"/>
      <c r="LY46" s="90"/>
      <c r="LZ46" s="87"/>
      <c r="MA46" s="87"/>
      <c r="MB46" s="87">
        <f t="shared" si="40"/>
        <v>0</v>
      </c>
      <c r="MC46" s="114"/>
      <c r="MD46" s="89"/>
      <c r="ME46" s="82"/>
      <c r="MG46" s="90"/>
      <c r="MH46" s="87"/>
      <c r="MI46" s="87"/>
      <c r="MJ46" s="87">
        <f t="shared" si="41"/>
        <v>0</v>
      </c>
      <c r="MK46" s="114"/>
      <c r="ML46" s="89"/>
      <c r="MM46" s="82"/>
      <c r="MO46" s="90"/>
      <c r="MP46" s="87"/>
      <c r="MQ46" s="87"/>
      <c r="MR46" s="87">
        <f t="shared" si="42"/>
        <v>0</v>
      </c>
      <c r="MS46" s="114"/>
      <c r="MT46" s="89"/>
      <c r="MU46" s="82"/>
      <c r="MW46" s="90"/>
      <c r="MX46" s="87"/>
      <c r="MY46" s="87"/>
      <c r="MZ46" s="87">
        <f t="shared" si="43"/>
        <v>0</v>
      </c>
      <c r="NA46" s="114"/>
      <c r="NB46" s="89"/>
      <c r="NC46" s="82"/>
      <c r="NE46" s="90"/>
      <c r="NF46" s="87"/>
      <c r="NG46" s="87"/>
      <c r="NH46" s="87">
        <f t="shared" si="44"/>
        <v>0</v>
      </c>
      <c r="NI46" s="114"/>
      <c r="NJ46" s="89"/>
      <c r="NK46" s="82"/>
      <c r="NM46" s="90"/>
      <c r="NN46" s="87"/>
      <c r="NO46" s="87"/>
      <c r="NP46" s="87">
        <f t="shared" si="45"/>
        <v>0</v>
      </c>
      <c r="NQ46" s="114"/>
      <c r="NR46" s="89"/>
      <c r="NS46" s="82"/>
      <c r="NU46" s="90"/>
      <c r="NV46" s="87"/>
      <c r="NW46" s="87"/>
      <c r="NX46" s="87">
        <f t="shared" si="46"/>
        <v>0</v>
      </c>
      <c r="NY46" s="114"/>
      <c r="NZ46" s="89"/>
      <c r="OA46" s="82"/>
      <c r="OC46" s="90"/>
      <c r="OD46" s="87"/>
      <c r="OE46" s="87"/>
      <c r="OF46" s="87">
        <f t="shared" si="47"/>
        <v>0</v>
      </c>
      <c r="OG46" s="114"/>
      <c r="OH46" s="89"/>
      <c r="OI46" s="82"/>
      <c r="OK46" s="90"/>
      <c r="OL46" s="87"/>
      <c r="OM46" s="87"/>
      <c r="ON46" s="87">
        <f t="shared" si="48"/>
        <v>0</v>
      </c>
      <c r="OO46" s="114"/>
      <c r="OP46" s="89"/>
      <c r="OQ46" s="82"/>
      <c r="OS46" s="90"/>
      <c r="OT46" s="87"/>
      <c r="OU46" s="87"/>
      <c r="OV46" s="87">
        <f t="shared" si="49"/>
        <v>0</v>
      </c>
      <c r="OW46" s="114"/>
      <c r="OX46" s="89"/>
      <c r="OY46" s="82"/>
      <c r="PA46" s="90"/>
      <c r="PB46" s="87"/>
      <c r="PC46" s="87"/>
      <c r="PD46" s="87">
        <f t="shared" si="50"/>
        <v>0</v>
      </c>
      <c r="PE46" s="114"/>
      <c r="PF46" s="89"/>
      <c r="PG46" s="82"/>
      <c r="PI46" s="90"/>
      <c r="PJ46" s="87"/>
      <c r="PK46" s="87"/>
      <c r="PL46" s="87">
        <f t="shared" si="51"/>
        <v>0</v>
      </c>
      <c r="PM46" s="114"/>
      <c r="PN46" s="211"/>
      <c r="PO46" s="216"/>
      <c r="PQ46" s="90"/>
      <c r="PR46" s="87"/>
      <c r="PS46" s="87"/>
      <c r="PT46" s="87">
        <f t="shared" si="52"/>
        <v>0</v>
      </c>
      <c r="PU46" s="114"/>
      <c r="PV46" s="89"/>
      <c r="PW46" s="82"/>
      <c r="PY46" s="90"/>
      <c r="PZ46" s="87"/>
      <c r="QA46" s="87"/>
      <c r="QB46" s="87">
        <f t="shared" si="53"/>
        <v>0</v>
      </c>
      <c r="QC46" s="114"/>
      <c r="QD46" s="89"/>
      <c r="QE46" s="82"/>
      <c r="QG46" s="90"/>
      <c r="QH46" s="87"/>
      <c r="QI46" s="87"/>
      <c r="QJ46" s="87">
        <f t="shared" si="54"/>
        <v>0</v>
      </c>
      <c r="QK46" s="114"/>
      <c r="QL46" s="89"/>
      <c r="QM46" s="82"/>
      <c r="QO46" s="90"/>
      <c r="QP46" s="87"/>
      <c r="QQ46" s="87"/>
      <c r="QR46" s="87">
        <f t="shared" si="55"/>
        <v>0</v>
      </c>
      <c r="QS46" s="114"/>
      <c r="QT46" s="211"/>
      <c r="QU46" s="216"/>
      <c r="QW46" s="90"/>
      <c r="QX46" s="87"/>
      <c r="QY46" s="87"/>
      <c r="QZ46" s="87">
        <f t="shared" si="56"/>
        <v>0</v>
      </c>
      <c r="RA46" s="114"/>
      <c r="RB46" s="89"/>
      <c r="RC46" s="82"/>
      <c r="RE46" s="90"/>
      <c r="RF46" s="87"/>
      <c r="RG46" s="87"/>
      <c r="RH46" s="87">
        <f t="shared" si="57"/>
        <v>0</v>
      </c>
      <c r="RI46" s="114"/>
      <c r="RJ46" s="89"/>
      <c r="RK46" s="170"/>
      <c r="RM46" s="90"/>
      <c r="RN46" s="87"/>
      <c r="RO46" s="87"/>
      <c r="RP46" s="87">
        <f t="shared" si="58"/>
        <v>0</v>
      </c>
      <c r="RQ46" s="114"/>
      <c r="RR46" s="89"/>
      <c r="RS46" s="82"/>
      <c r="RU46" s="90"/>
      <c r="RV46" s="87"/>
      <c r="RW46" s="87"/>
      <c r="RX46" s="87">
        <f t="shared" si="59"/>
        <v>0</v>
      </c>
      <c r="RY46" s="114"/>
      <c r="RZ46" s="89"/>
      <c r="SA46" s="82"/>
      <c r="SC46" s="90"/>
      <c r="SD46" s="87"/>
      <c r="SE46" s="87"/>
      <c r="SF46" s="87">
        <f t="shared" si="60"/>
        <v>0</v>
      </c>
      <c r="SG46" s="114"/>
      <c r="SH46" s="89"/>
      <c r="SI46" s="82"/>
      <c r="SK46" s="90"/>
      <c r="SL46" s="87"/>
      <c r="SM46" s="87"/>
      <c r="SN46" s="87">
        <f t="shared" si="61"/>
        <v>0</v>
      </c>
      <c r="SO46" s="114"/>
      <c r="SP46" s="89"/>
      <c r="SQ46" s="82"/>
      <c r="SS46" s="90"/>
      <c r="ST46" s="87"/>
      <c r="SU46" s="87"/>
      <c r="SV46" s="87">
        <f t="shared" si="62"/>
        <v>0</v>
      </c>
      <c r="SW46" s="114"/>
      <c r="SX46" s="89"/>
      <c r="SY46" s="82"/>
      <c r="TA46" s="90"/>
      <c r="TB46" s="87"/>
      <c r="TC46" s="87"/>
      <c r="TD46" s="87">
        <f t="shared" si="63"/>
        <v>0</v>
      </c>
      <c r="TE46" s="114"/>
      <c r="TF46" s="89"/>
      <c r="TG46" s="82"/>
      <c r="TI46" s="90"/>
      <c r="TJ46" s="87"/>
      <c r="TK46" s="87"/>
      <c r="TL46" s="87">
        <f t="shared" si="64"/>
        <v>0</v>
      </c>
      <c r="TM46" s="114"/>
      <c r="TN46" s="89"/>
      <c r="TO46" s="82"/>
      <c r="TQ46" s="90"/>
      <c r="TR46" s="87"/>
      <c r="TS46" s="87"/>
      <c r="TT46" s="87">
        <f t="shared" si="65"/>
        <v>0</v>
      </c>
      <c r="TU46" s="114"/>
      <c r="TV46" s="91"/>
      <c r="TW46" s="82"/>
      <c r="TY46" s="90"/>
      <c r="TZ46" s="87"/>
      <c r="UA46" s="87"/>
      <c r="UB46" s="87">
        <f t="shared" si="66"/>
        <v>0</v>
      </c>
      <c r="UC46" s="114"/>
      <c r="UD46" s="89"/>
      <c r="UE46" s="82"/>
      <c r="UG46" s="90"/>
      <c r="UH46" s="87"/>
      <c r="UI46" s="87"/>
      <c r="UJ46" s="87">
        <f t="shared" si="67"/>
        <v>0</v>
      </c>
      <c r="UK46" s="114"/>
      <c r="UL46" s="89"/>
      <c r="UM46" s="82"/>
      <c r="UO46" s="90"/>
      <c r="UP46" s="87"/>
      <c r="UQ46" s="87"/>
      <c r="UR46" s="87">
        <f t="shared" si="68"/>
        <v>0</v>
      </c>
      <c r="US46" s="114"/>
      <c r="UT46" s="89"/>
      <c r="UU46" s="82"/>
      <c r="UW46" s="90"/>
      <c r="UX46" s="87"/>
      <c r="UY46" s="87"/>
      <c r="UZ46" s="87">
        <f t="shared" si="69"/>
        <v>0</v>
      </c>
      <c r="VA46" s="114"/>
      <c r="VB46" s="89"/>
      <c r="VC46" s="82"/>
      <c r="VE46" s="90"/>
      <c r="VF46" s="87"/>
      <c r="VG46" s="87"/>
      <c r="VH46" s="87">
        <f t="shared" si="70"/>
        <v>0</v>
      </c>
      <c r="VI46" s="114"/>
      <c r="VJ46" s="89"/>
      <c r="VK46" s="82"/>
      <c r="VM46" s="90"/>
      <c r="VN46" s="87"/>
      <c r="VO46" s="87"/>
      <c r="VP46" s="87">
        <f t="shared" si="71"/>
        <v>0</v>
      </c>
      <c r="VQ46" s="114"/>
      <c r="VR46" s="89"/>
      <c r="VS46" s="82"/>
      <c r="VU46" s="90"/>
      <c r="VV46" s="87"/>
      <c r="VW46" s="87"/>
      <c r="VX46" s="87">
        <f t="shared" si="72"/>
        <v>0</v>
      </c>
      <c r="VY46" s="114"/>
      <c r="VZ46" s="89"/>
      <c r="WA46" s="82"/>
      <c r="WC46" s="90"/>
      <c r="WD46" s="87"/>
      <c r="WE46" s="87"/>
      <c r="WF46" s="87">
        <f t="shared" si="73"/>
        <v>0</v>
      </c>
      <c r="WG46" s="114"/>
      <c r="WH46" s="89"/>
      <c r="WI46" s="82"/>
      <c r="WK46" s="90"/>
      <c r="WL46" s="87"/>
      <c r="WM46" s="87"/>
      <c r="WN46" s="87">
        <f t="shared" si="74"/>
        <v>0</v>
      </c>
      <c r="WO46" s="114"/>
      <c r="WP46" s="89"/>
      <c r="WQ46" s="82"/>
      <c r="WS46" s="90"/>
      <c r="WT46" s="87"/>
      <c r="WU46" s="87"/>
      <c r="WV46" s="87">
        <f t="shared" si="75"/>
        <v>0</v>
      </c>
      <c r="WW46" s="114"/>
      <c r="WX46" s="89"/>
      <c r="WY46" s="82"/>
      <c r="XA46" s="90"/>
      <c r="XB46" s="87"/>
      <c r="XC46" s="87"/>
      <c r="XD46" s="87">
        <f t="shared" si="76"/>
        <v>0</v>
      </c>
      <c r="XE46" s="114"/>
      <c r="XF46" s="89"/>
      <c r="XG46" s="82"/>
      <c r="XI46" s="90"/>
      <c r="XJ46" s="87"/>
      <c r="XK46" s="87"/>
      <c r="XL46" s="87">
        <f t="shared" si="77"/>
        <v>0</v>
      </c>
      <c r="XM46" s="114"/>
      <c r="XN46" s="89"/>
      <c r="XO46" s="82"/>
      <c r="XQ46" s="90"/>
      <c r="XR46" s="87"/>
      <c r="XS46" s="87"/>
      <c r="XT46" s="87">
        <f t="shared" si="78"/>
        <v>0</v>
      </c>
      <c r="XU46" s="114"/>
      <c r="XV46" s="89"/>
      <c r="XW46" s="82"/>
      <c r="XY46" s="90"/>
      <c r="XZ46" s="87"/>
      <c r="YA46" s="87"/>
      <c r="YB46" s="87">
        <f t="shared" si="79"/>
        <v>0</v>
      </c>
      <c r="YC46" s="114"/>
      <c r="YD46" s="89"/>
      <c r="YE46" s="82"/>
      <c r="YG46" s="90"/>
      <c r="YH46" s="87"/>
      <c r="YI46" s="87"/>
      <c r="YJ46" s="87">
        <f t="shared" si="80"/>
        <v>0</v>
      </c>
      <c r="YK46" s="114"/>
      <c r="YL46" s="89"/>
      <c r="YM46" s="82"/>
      <c r="YO46" s="90"/>
      <c r="YP46" s="87"/>
      <c r="YQ46" s="87"/>
      <c r="YR46" s="87">
        <f t="shared" si="81"/>
        <v>0</v>
      </c>
      <c r="YS46" s="114"/>
      <c r="YT46" s="89"/>
      <c r="YU46" s="82"/>
      <c r="YW46" s="90"/>
      <c r="YX46" s="87"/>
      <c r="YY46" s="87"/>
      <c r="YZ46" s="87">
        <f t="shared" si="82"/>
        <v>0</v>
      </c>
      <c r="ZA46" s="114"/>
      <c r="ZB46" s="89"/>
      <c r="ZC46" s="82"/>
      <c r="ZE46" s="90"/>
      <c r="ZF46" s="87"/>
      <c r="ZG46" s="87"/>
      <c r="ZH46" s="87">
        <f t="shared" si="83"/>
        <v>0</v>
      </c>
      <c r="ZI46" s="114"/>
      <c r="ZJ46" s="89"/>
      <c r="ZK46" s="82"/>
      <c r="ZM46" s="90"/>
      <c r="ZN46" s="87"/>
      <c r="ZO46" s="87"/>
      <c r="ZP46" s="87">
        <f t="shared" si="84"/>
        <v>0</v>
      </c>
      <c r="ZQ46" s="114"/>
      <c r="ZR46" s="89"/>
      <c r="ZS46" s="82"/>
      <c r="ZU46" s="90"/>
      <c r="ZV46" s="87"/>
      <c r="ZW46" s="87"/>
      <c r="ZX46" s="87">
        <f t="shared" si="85"/>
        <v>0</v>
      </c>
      <c r="ZY46" s="114"/>
      <c r="ZZ46" s="89"/>
      <c r="AAA46" s="82"/>
      <c r="AAC46" s="90"/>
      <c r="AAD46" s="87"/>
      <c r="AAE46" s="87"/>
      <c r="AAF46" s="87">
        <f t="shared" si="86"/>
        <v>0</v>
      </c>
      <c r="AAG46" s="114"/>
      <c r="AAH46" s="89"/>
      <c r="AAI46" s="82"/>
      <c r="AAK46" s="90"/>
      <c r="AAL46" s="87"/>
      <c r="AAM46" s="87"/>
      <c r="AAN46" s="87">
        <f t="shared" si="87"/>
        <v>0</v>
      </c>
      <c r="AAO46" s="114"/>
      <c r="AAP46" s="89"/>
      <c r="AAQ46" s="82"/>
      <c r="AAS46" s="90"/>
      <c r="AAT46" s="87"/>
      <c r="AAU46" s="87"/>
      <c r="AAV46" s="87">
        <f t="shared" si="88"/>
        <v>0</v>
      </c>
      <c r="AAW46" s="114"/>
      <c r="AAX46" s="89"/>
      <c r="AAY46" s="82"/>
      <c r="ABA46" s="90"/>
      <c r="ABB46" s="87"/>
      <c r="ABC46" s="87"/>
      <c r="ABD46" s="87">
        <f t="shared" si="89"/>
        <v>0</v>
      </c>
      <c r="ABE46" s="114"/>
      <c r="ABF46" s="89"/>
      <c r="ABG46" s="82"/>
      <c r="ABI46" s="90"/>
      <c r="ABJ46" s="87"/>
      <c r="ABK46" s="87"/>
      <c r="ABL46" s="87">
        <f t="shared" si="90"/>
        <v>0</v>
      </c>
      <c r="ABM46" s="114"/>
      <c r="ABN46" s="89"/>
      <c r="ABO46" s="82"/>
      <c r="ABQ46" s="90"/>
      <c r="ABR46" s="87"/>
      <c r="ABS46" s="87"/>
      <c r="ABT46" s="87">
        <f t="shared" si="91"/>
        <v>0</v>
      </c>
      <c r="ABU46" s="114"/>
      <c r="ABV46" s="89"/>
      <c r="ABW46" s="82"/>
      <c r="ABY46" s="90"/>
      <c r="ABZ46" s="87"/>
      <c r="ACA46" s="87"/>
      <c r="ACB46" s="87">
        <f t="shared" si="92"/>
        <v>0</v>
      </c>
      <c r="ACC46" s="114"/>
      <c r="ACD46" s="89"/>
      <c r="ACE46" s="82"/>
    </row>
    <row r="47" spans="1:759" ht="12" customHeight="1" x14ac:dyDescent="0.25">
      <c r="A47" s="84"/>
      <c r="B47" s="85"/>
      <c r="C47" s="87"/>
      <c r="D47" s="87">
        <f t="shared" si="2"/>
        <v>1700</v>
      </c>
      <c r="E47" s="114"/>
      <c r="F47" s="211"/>
      <c r="G47" s="382"/>
      <c r="H47" s="72"/>
      <c r="I47" s="84"/>
      <c r="J47" s="87"/>
      <c r="K47" s="87"/>
      <c r="L47" s="87">
        <f t="shared" si="0"/>
        <v>1000</v>
      </c>
      <c r="M47" s="114"/>
      <c r="N47" s="89"/>
      <c r="O47" s="82"/>
      <c r="P47" s="72"/>
      <c r="Q47" s="90"/>
      <c r="R47" s="87"/>
      <c r="S47" s="87"/>
      <c r="T47" s="87">
        <f t="shared" si="1"/>
        <v>4000</v>
      </c>
      <c r="U47" s="114"/>
      <c r="V47" s="89"/>
      <c r="W47" s="82"/>
      <c r="X47" s="72"/>
      <c r="Y47" s="90"/>
      <c r="Z47" s="87"/>
      <c r="AA47" s="87"/>
      <c r="AB47" s="87">
        <f t="shared" si="3"/>
        <v>1000</v>
      </c>
      <c r="AC47" s="114"/>
      <c r="AD47" s="89"/>
      <c r="AE47" s="82"/>
      <c r="AF47" s="72"/>
      <c r="AG47" s="84"/>
      <c r="AH47" s="222"/>
      <c r="AI47" s="222"/>
      <c r="AJ47" s="87">
        <f t="shared" si="4"/>
        <v>2000</v>
      </c>
      <c r="AK47" s="114"/>
      <c r="AL47" s="89"/>
      <c r="AM47" s="82"/>
      <c r="AN47" s="72"/>
      <c r="AO47" s="90"/>
      <c r="AP47" s="222"/>
      <c r="AQ47" s="222"/>
      <c r="AR47" s="87">
        <f t="shared" si="5"/>
        <v>1000</v>
      </c>
      <c r="AS47" s="114"/>
      <c r="AT47" s="89"/>
      <c r="AU47" s="82"/>
      <c r="AV47" s="72"/>
      <c r="AW47" s="90"/>
      <c r="AX47" s="87"/>
      <c r="AY47" s="87"/>
      <c r="AZ47" s="87">
        <f t="shared" si="6"/>
        <v>1150</v>
      </c>
      <c r="BA47" s="114"/>
      <c r="BB47" s="211"/>
      <c r="BC47" s="82"/>
      <c r="BD47" s="72"/>
      <c r="BE47" s="90"/>
      <c r="BF47" s="87"/>
      <c r="BG47" s="87"/>
      <c r="BH47" s="87">
        <f t="shared" si="7"/>
        <v>7000</v>
      </c>
      <c r="BI47" s="114"/>
      <c r="BJ47" s="220"/>
      <c r="BK47" s="82"/>
      <c r="BL47" s="72"/>
      <c r="BM47" s="90"/>
      <c r="BN47" s="87"/>
      <c r="BO47" s="87"/>
      <c r="BP47" s="87">
        <f t="shared" si="8"/>
        <v>1000</v>
      </c>
      <c r="BQ47" s="114"/>
      <c r="BR47" s="89"/>
      <c r="BS47" s="82"/>
      <c r="BT47" s="72"/>
      <c r="BU47" s="90"/>
      <c r="BV47" s="87"/>
      <c r="BW47" s="87"/>
      <c r="BX47" s="87">
        <f t="shared" si="9"/>
        <v>0</v>
      </c>
      <c r="BY47" s="114"/>
      <c r="BZ47" s="89"/>
      <c r="CA47" s="82"/>
      <c r="CB47" s="72"/>
      <c r="CC47" s="90"/>
      <c r="CD47" s="87"/>
      <c r="CE47" s="87"/>
      <c r="CF47" s="87">
        <f t="shared" si="10"/>
        <v>0</v>
      </c>
      <c r="CG47" s="114"/>
      <c r="CH47" s="89"/>
      <c r="CI47" s="82"/>
      <c r="CJ47" s="72"/>
      <c r="CK47" s="90"/>
      <c r="CL47" s="87"/>
      <c r="CM47" s="87"/>
      <c r="CN47" s="87">
        <f t="shared" si="11"/>
        <v>0</v>
      </c>
      <c r="CO47" s="114"/>
      <c r="CP47" s="220"/>
      <c r="CQ47" s="82"/>
      <c r="CR47" s="72"/>
      <c r="CS47" s="90"/>
      <c r="CT47" s="87"/>
      <c r="CU47" s="87"/>
      <c r="CV47" s="87">
        <f t="shared" si="12"/>
        <v>0</v>
      </c>
      <c r="CW47" s="114"/>
      <c r="CX47" s="220"/>
      <c r="CY47" s="82"/>
      <c r="CZ47" s="72"/>
      <c r="DA47" s="84"/>
      <c r="DB47" s="87"/>
      <c r="DC47" s="87"/>
      <c r="DD47" s="87">
        <f t="shared" si="13"/>
        <v>0</v>
      </c>
      <c r="DE47" s="114"/>
      <c r="DF47" s="89"/>
      <c r="DG47" s="82"/>
      <c r="DH47" s="72"/>
      <c r="DI47" s="90"/>
      <c r="DJ47" s="87"/>
      <c r="DK47" s="87"/>
      <c r="DL47" s="87">
        <f t="shared" si="14"/>
        <v>0</v>
      </c>
      <c r="DM47" s="114"/>
      <c r="DN47" s="89"/>
      <c r="DO47" s="82"/>
      <c r="DP47" s="72"/>
      <c r="DQ47" s="90"/>
      <c r="DR47" s="87"/>
      <c r="DS47" s="87"/>
      <c r="DT47" s="87">
        <f t="shared" si="15"/>
        <v>0</v>
      </c>
      <c r="DU47" s="114"/>
      <c r="DV47" s="89"/>
      <c r="DW47" s="82"/>
      <c r="DX47" s="72"/>
      <c r="DY47" s="90"/>
      <c r="DZ47" s="87"/>
      <c r="EA47" s="87"/>
      <c r="EB47" s="87">
        <f t="shared" si="16"/>
        <v>0</v>
      </c>
      <c r="EC47" s="114"/>
      <c r="ED47" s="89"/>
      <c r="EE47" s="82"/>
      <c r="EF47" s="72"/>
      <c r="EG47" s="90"/>
      <c r="EH47" s="87"/>
      <c r="EI47" s="87"/>
      <c r="EJ47" s="87">
        <f t="shared" si="17"/>
        <v>0</v>
      </c>
      <c r="EK47" s="114"/>
      <c r="EL47" s="89"/>
      <c r="EM47" s="82"/>
      <c r="EO47" s="90"/>
      <c r="EP47" s="87"/>
      <c r="EQ47" s="87"/>
      <c r="ER47" s="87">
        <f t="shared" si="18"/>
        <v>0</v>
      </c>
      <c r="ES47" s="114"/>
      <c r="ET47" s="89"/>
      <c r="EU47" s="82"/>
      <c r="EW47" s="90"/>
      <c r="EX47" s="87"/>
      <c r="EY47" s="87"/>
      <c r="EZ47" s="87">
        <f t="shared" si="19"/>
        <v>0</v>
      </c>
      <c r="FA47" s="114"/>
      <c r="FB47" s="89"/>
      <c r="FC47" s="82"/>
      <c r="FE47" s="90"/>
      <c r="FF47" s="87"/>
      <c r="FG47" s="87"/>
      <c r="FH47" s="87">
        <f t="shared" si="93"/>
        <v>0</v>
      </c>
      <c r="FI47" s="114"/>
      <c r="FJ47" s="89"/>
      <c r="FK47" s="82"/>
      <c r="FM47" s="90"/>
      <c r="FN47" s="87"/>
      <c r="FO47" s="87"/>
      <c r="FP47" s="87">
        <f t="shared" si="20"/>
        <v>0</v>
      </c>
      <c r="FQ47" s="114"/>
      <c r="FR47" s="89"/>
      <c r="FS47" s="82"/>
      <c r="FT47" s="72"/>
      <c r="FU47" s="90"/>
      <c r="FV47" s="87"/>
      <c r="FW47" s="87"/>
      <c r="FX47" s="87">
        <f t="shared" si="21"/>
        <v>0</v>
      </c>
      <c r="FY47" s="165"/>
      <c r="FZ47" s="89"/>
      <c r="GA47" s="82"/>
      <c r="GC47" s="90"/>
      <c r="GD47" s="87"/>
      <c r="GE47" s="87"/>
      <c r="GF47" s="87">
        <f t="shared" si="22"/>
        <v>0</v>
      </c>
      <c r="GG47" s="114"/>
      <c r="GH47" s="89"/>
      <c r="GI47" s="82"/>
      <c r="GK47" s="90"/>
      <c r="GL47" s="87"/>
      <c r="GM47" s="87"/>
      <c r="GN47" s="87">
        <f t="shared" si="23"/>
        <v>0</v>
      </c>
      <c r="GO47" s="114"/>
      <c r="GP47" s="89"/>
      <c r="GQ47" s="82"/>
      <c r="GS47" s="90"/>
      <c r="GT47" s="87"/>
      <c r="GU47" s="87"/>
      <c r="GV47" s="87">
        <f t="shared" si="24"/>
        <v>0</v>
      </c>
      <c r="GW47" s="114"/>
      <c r="GX47" s="89"/>
      <c r="GY47" s="82"/>
      <c r="HA47" s="90"/>
      <c r="HB47" s="87"/>
      <c r="HC47" s="87"/>
      <c r="HD47" s="87">
        <f t="shared" si="25"/>
        <v>0</v>
      </c>
      <c r="HE47" s="114"/>
      <c r="HF47" s="89"/>
      <c r="HG47" s="82"/>
      <c r="HI47" s="90"/>
      <c r="HJ47" s="87"/>
      <c r="HK47" s="87"/>
      <c r="HL47" s="87">
        <f t="shared" si="26"/>
        <v>0</v>
      </c>
      <c r="HM47" s="114"/>
      <c r="HN47" s="89"/>
      <c r="HO47" s="82"/>
      <c r="HQ47" s="90"/>
      <c r="HR47" s="87"/>
      <c r="HS47" s="87"/>
      <c r="HT47" s="87">
        <f t="shared" si="27"/>
        <v>0</v>
      </c>
      <c r="HU47" s="114"/>
      <c r="HV47" s="89"/>
      <c r="HW47" s="82"/>
      <c r="HY47" s="90"/>
      <c r="HZ47" s="87"/>
      <c r="IA47" s="87"/>
      <c r="IB47" s="87">
        <f t="shared" si="28"/>
        <v>0</v>
      </c>
      <c r="IC47" s="114"/>
      <c r="ID47" s="89"/>
      <c r="IE47" s="82"/>
      <c r="IG47" s="90"/>
      <c r="IH47" s="87"/>
      <c r="II47" s="87"/>
      <c r="IJ47" s="87">
        <f t="shared" si="29"/>
        <v>0</v>
      </c>
      <c r="IK47" s="114"/>
      <c r="IL47" s="89"/>
      <c r="IM47" s="82"/>
      <c r="IO47" s="90"/>
      <c r="IP47" s="87"/>
      <c r="IQ47" s="87"/>
      <c r="IR47" s="87">
        <f t="shared" si="30"/>
        <v>0</v>
      </c>
      <c r="IS47" s="114"/>
      <c r="IT47" s="89"/>
      <c r="IU47" s="82"/>
      <c r="IW47" s="90"/>
      <c r="IX47" s="87"/>
      <c r="IY47" s="87"/>
      <c r="IZ47" s="87">
        <f t="shared" si="31"/>
        <v>0</v>
      </c>
      <c r="JA47" s="114"/>
      <c r="JB47" s="89"/>
      <c r="JC47" s="82"/>
      <c r="JE47" s="90"/>
      <c r="JF47" s="87"/>
      <c r="JG47" s="87"/>
      <c r="JH47" s="87">
        <f t="shared" si="32"/>
        <v>0</v>
      </c>
      <c r="JI47" s="114"/>
      <c r="JJ47" s="89"/>
      <c r="JK47" s="82"/>
      <c r="JM47" s="90"/>
      <c r="JN47" s="87"/>
      <c r="JO47" s="87"/>
      <c r="JP47" s="87">
        <f t="shared" si="33"/>
        <v>0</v>
      </c>
      <c r="JQ47" s="114"/>
      <c r="JR47" s="91"/>
      <c r="JS47" s="82"/>
      <c r="JU47" s="90"/>
      <c r="JV47" s="87"/>
      <c r="JW47" s="87"/>
      <c r="JX47" s="87">
        <f t="shared" si="94"/>
        <v>0</v>
      </c>
      <c r="JY47" s="114"/>
      <c r="JZ47" s="89"/>
      <c r="KA47" s="82"/>
      <c r="KC47" s="90"/>
      <c r="KD47" s="87"/>
      <c r="KE47" s="87"/>
      <c r="KF47" s="87">
        <f t="shared" si="34"/>
        <v>0</v>
      </c>
      <c r="KG47" s="114"/>
      <c r="KH47" s="86"/>
      <c r="KI47" s="109"/>
      <c r="KK47" s="90"/>
      <c r="KL47" s="87"/>
      <c r="KM47" s="87"/>
      <c r="KN47" s="87">
        <f t="shared" si="35"/>
        <v>0</v>
      </c>
      <c r="KO47" s="114"/>
      <c r="KP47" s="89"/>
      <c r="KQ47" s="82"/>
      <c r="KS47" s="90"/>
      <c r="KT47" s="87"/>
      <c r="KU47" s="87"/>
      <c r="KV47" s="87">
        <f t="shared" si="36"/>
        <v>0</v>
      </c>
      <c r="KW47" s="114"/>
      <c r="KX47" s="89"/>
      <c r="KY47" s="82"/>
      <c r="LA47" s="90"/>
      <c r="LB47" s="87"/>
      <c r="LC47" s="87"/>
      <c r="LD47" s="87">
        <f t="shared" si="37"/>
        <v>0</v>
      </c>
      <c r="LE47" s="114"/>
      <c r="LF47" s="89"/>
      <c r="LG47" s="82"/>
      <c r="LI47" s="90"/>
      <c r="LJ47" s="87"/>
      <c r="LK47" s="87"/>
      <c r="LL47" s="87">
        <f t="shared" si="38"/>
        <v>0</v>
      </c>
      <c r="LM47" s="114"/>
      <c r="LN47" s="89"/>
      <c r="LO47" s="82"/>
      <c r="LQ47" s="90"/>
      <c r="LR47" s="87"/>
      <c r="LS47" s="87"/>
      <c r="LT47" s="87">
        <f t="shared" si="39"/>
        <v>0</v>
      </c>
      <c r="LU47" s="114"/>
      <c r="LV47" s="89"/>
      <c r="LW47" s="82"/>
      <c r="LY47" s="90"/>
      <c r="LZ47" s="87"/>
      <c r="MA47" s="87"/>
      <c r="MB47" s="87">
        <f t="shared" si="40"/>
        <v>0</v>
      </c>
      <c r="MC47" s="114"/>
      <c r="MD47" s="89"/>
      <c r="ME47" s="82"/>
      <c r="MG47" s="90"/>
      <c r="MH47" s="87"/>
      <c r="MI47" s="87"/>
      <c r="MJ47" s="87">
        <f t="shared" si="41"/>
        <v>0</v>
      </c>
      <c r="MK47" s="114"/>
      <c r="ML47" s="89"/>
      <c r="MM47" s="82"/>
      <c r="MO47" s="90"/>
      <c r="MP47" s="87"/>
      <c r="MQ47" s="87"/>
      <c r="MR47" s="87">
        <f t="shared" si="42"/>
        <v>0</v>
      </c>
      <c r="MS47" s="114"/>
      <c r="MT47" s="89"/>
      <c r="MU47" s="82"/>
      <c r="MW47" s="90"/>
      <c r="MX47" s="87"/>
      <c r="MY47" s="87"/>
      <c r="MZ47" s="87">
        <f t="shared" si="43"/>
        <v>0</v>
      </c>
      <c r="NA47" s="114"/>
      <c r="NB47" s="89"/>
      <c r="NC47" s="82"/>
      <c r="NE47" s="90"/>
      <c r="NF47" s="87"/>
      <c r="NG47" s="87"/>
      <c r="NH47" s="87">
        <f t="shared" si="44"/>
        <v>0</v>
      </c>
      <c r="NI47" s="114"/>
      <c r="NJ47" s="89"/>
      <c r="NK47" s="82"/>
      <c r="NM47" s="90"/>
      <c r="NN47" s="87"/>
      <c r="NO47" s="87"/>
      <c r="NP47" s="87">
        <f t="shared" si="45"/>
        <v>0</v>
      </c>
      <c r="NQ47" s="114"/>
      <c r="NR47" s="89"/>
      <c r="NS47" s="82"/>
      <c r="NU47" s="90"/>
      <c r="NV47" s="87"/>
      <c r="NW47" s="87"/>
      <c r="NX47" s="87">
        <f t="shared" si="46"/>
        <v>0</v>
      </c>
      <c r="NY47" s="114"/>
      <c r="NZ47" s="89"/>
      <c r="OA47" s="82"/>
      <c r="OC47" s="90"/>
      <c r="OD47" s="87"/>
      <c r="OE47" s="87"/>
      <c r="OF47" s="87">
        <f t="shared" si="47"/>
        <v>0</v>
      </c>
      <c r="OG47" s="114"/>
      <c r="OH47" s="89"/>
      <c r="OI47" s="82"/>
      <c r="OK47" s="90"/>
      <c r="OL47" s="87"/>
      <c r="OM47" s="87"/>
      <c r="ON47" s="87">
        <f t="shared" si="48"/>
        <v>0</v>
      </c>
      <c r="OO47" s="114"/>
      <c r="OP47" s="89"/>
      <c r="OQ47" s="82"/>
      <c r="OS47" s="90"/>
      <c r="OT47" s="87"/>
      <c r="OU47" s="87"/>
      <c r="OV47" s="87">
        <f t="shared" si="49"/>
        <v>0</v>
      </c>
      <c r="OW47" s="114"/>
      <c r="OX47" s="89"/>
      <c r="OY47" s="82"/>
      <c r="PA47" s="90"/>
      <c r="PB47" s="87"/>
      <c r="PC47" s="87"/>
      <c r="PD47" s="87">
        <f t="shared" si="50"/>
        <v>0</v>
      </c>
      <c r="PE47" s="114"/>
      <c r="PF47" s="89"/>
      <c r="PG47" s="82"/>
      <c r="PI47" s="90"/>
      <c r="PJ47" s="87"/>
      <c r="PK47" s="87"/>
      <c r="PL47" s="87">
        <f t="shared" si="51"/>
        <v>0</v>
      </c>
      <c r="PM47" s="114"/>
      <c r="PN47" s="211"/>
      <c r="PO47" s="216"/>
      <c r="PQ47" s="90"/>
      <c r="PR47" s="87"/>
      <c r="PS47" s="87"/>
      <c r="PT47" s="87">
        <f t="shared" si="52"/>
        <v>0</v>
      </c>
      <c r="PU47" s="114"/>
      <c r="PV47" s="89"/>
      <c r="PW47" s="82"/>
      <c r="PY47" s="90"/>
      <c r="PZ47" s="87"/>
      <c r="QA47" s="87"/>
      <c r="QB47" s="87">
        <f t="shared" si="53"/>
        <v>0</v>
      </c>
      <c r="QC47" s="114"/>
      <c r="QD47" s="89"/>
      <c r="QE47" s="82"/>
      <c r="QG47" s="90"/>
      <c r="QH47" s="87"/>
      <c r="QI47" s="87"/>
      <c r="QJ47" s="87">
        <f t="shared" si="54"/>
        <v>0</v>
      </c>
      <c r="QK47" s="114"/>
      <c r="QL47" s="89"/>
      <c r="QM47" s="82"/>
      <c r="QO47" s="90"/>
      <c r="QP47" s="87"/>
      <c r="QQ47" s="87"/>
      <c r="QR47" s="87">
        <f t="shared" si="55"/>
        <v>0</v>
      </c>
      <c r="QS47" s="114"/>
      <c r="QT47" s="211"/>
      <c r="QU47" s="216"/>
      <c r="QW47" s="90"/>
      <c r="QX47" s="87"/>
      <c r="QY47" s="87"/>
      <c r="QZ47" s="87">
        <f t="shared" si="56"/>
        <v>0</v>
      </c>
      <c r="RA47" s="114"/>
      <c r="RB47" s="89"/>
      <c r="RC47" s="82"/>
      <c r="RE47" s="90"/>
      <c r="RF47" s="87"/>
      <c r="RG47" s="87"/>
      <c r="RH47" s="87">
        <f t="shared" si="57"/>
        <v>0</v>
      </c>
      <c r="RI47" s="114"/>
      <c r="RJ47" s="89"/>
      <c r="RK47" s="170"/>
      <c r="RM47" s="90"/>
      <c r="RN47" s="87"/>
      <c r="RO47" s="87"/>
      <c r="RP47" s="87">
        <f t="shared" si="58"/>
        <v>0</v>
      </c>
      <c r="RQ47" s="114"/>
      <c r="RR47" s="89"/>
      <c r="RS47" s="82"/>
      <c r="RU47" s="90"/>
      <c r="RV47" s="87"/>
      <c r="RW47" s="87"/>
      <c r="RX47" s="87">
        <f t="shared" si="59"/>
        <v>0</v>
      </c>
      <c r="RY47" s="114"/>
      <c r="RZ47" s="89"/>
      <c r="SA47" s="82"/>
      <c r="SC47" s="90"/>
      <c r="SD47" s="87"/>
      <c r="SE47" s="87"/>
      <c r="SF47" s="87">
        <f t="shared" si="60"/>
        <v>0</v>
      </c>
      <c r="SG47" s="114"/>
      <c r="SH47" s="89"/>
      <c r="SI47" s="82"/>
      <c r="SK47" s="90"/>
      <c r="SL47" s="87"/>
      <c r="SM47" s="87"/>
      <c r="SN47" s="87">
        <f t="shared" si="61"/>
        <v>0</v>
      </c>
      <c r="SO47" s="114"/>
      <c r="SP47" s="89"/>
      <c r="SQ47" s="82"/>
      <c r="SS47" s="90"/>
      <c r="ST47" s="87"/>
      <c r="SU47" s="87"/>
      <c r="SV47" s="87">
        <f t="shared" si="62"/>
        <v>0</v>
      </c>
      <c r="SW47" s="114"/>
      <c r="SX47" s="89"/>
      <c r="SY47" s="82"/>
      <c r="TA47" s="90"/>
      <c r="TB47" s="87"/>
      <c r="TC47" s="87"/>
      <c r="TD47" s="87">
        <f t="shared" si="63"/>
        <v>0</v>
      </c>
      <c r="TE47" s="114"/>
      <c r="TF47" s="89"/>
      <c r="TG47" s="82"/>
      <c r="TI47" s="90"/>
      <c r="TJ47" s="87"/>
      <c r="TK47" s="87"/>
      <c r="TL47" s="87">
        <f t="shared" si="64"/>
        <v>0</v>
      </c>
      <c r="TM47" s="114"/>
      <c r="TN47" s="89"/>
      <c r="TO47" s="82"/>
      <c r="TQ47" s="90"/>
      <c r="TR47" s="87"/>
      <c r="TS47" s="87"/>
      <c r="TT47" s="87">
        <f t="shared" si="65"/>
        <v>0</v>
      </c>
      <c r="TU47" s="114"/>
      <c r="TV47" s="91"/>
      <c r="TW47" s="82"/>
      <c r="TY47" s="90"/>
      <c r="TZ47" s="87"/>
      <c r="UA47" s="87"/>
      <c r="UB47" s="87">
        <f t="shared" si="66"/>
        <v>0</v>
      </c>
      <c r="UC47" s="114"/>
      <c r="UD47" s="89"/>
      <c r="UE47" s="82"/>
      <c r="UG47" s="90"/>
      <c r="UH47" s="87"/>
      <c r="UI47" s="87"/>
      <c r="UJ47" s="87">
        <f t="shared" si="67"/>
        <v>0</v>
      </c>
      <c r="UK47" s="114"/>
      <c r="UL47" s="89"/>
      <c r="UM47" s="82"/>
      <c r="UO47" s="90"/>
      <c r="UP47" s="87"/>
      <c r="UQ47" s="87"/>
      <c r="UR47" s="87">
        <f t="shared" si="68"/>
        <v>0</v>
      </c>
      <c r="US47" s="114"/>
      <c r="UT47" s="89"/>
      <c r="UU47" s="82"/>
      <c r="UW47" s="90"/>
      <c r="UX47" s="87"/>
      <c r="UY47" s="87"/>
      <c r="UZ47" s="87">
        <f t="shared" si="69"/>
        <v>0</v>
      </c>
      <c r="VA47" s="114"/>
      <c r="VB47" s="89"/>
      <c r="VC47" s="82"/>
      <c r="VE47" s="90"/>
      <c r="VF47" s="87"/>
      <c r="VG47" s="87"/>
      <c r="VH47" s="87">
        <f t="shared" si="70"/>
        <v>0</v>
      </c>
      <c r="VI47" s="114"/>
      <c r="VJ47" s="89"/>
      <c r="VK47" s="82"/>
      <c r="VM47" s="90"/>
      <c r="VN47" s="87"/>
      <c r="VO47" s="87"/>
      <c r="VP47" s="87">
        <f t="shared" si="71"/>
        <v>0</v>
      </c>
      <c r="VQ47" s="114"/>
      <c r="VR47" s="89"/>
      <c r="VS47" s="82"/>
      <c r="VU47" s="90"/>
      <c r="VV47" s="87"/>
      <c r="VW47" s="87"/>
      <c r="VX47" s="87">
        <f t="shared" si="72"/>
        <v>0</v>
      </c>
      <c r="VY47" s="114"/>
      <c r="VZ47" s="89"/>
      <c r="WA47" s="82"/>
      <c r="WC47" s="90"/>
      <c r="WD47" s="87"/>
      <c r="WE47" s="87"/>
      <c r="WF47" s="87">
        <f t="shared" si="73"/>
        <v>0</v>
      </c>
      <c r="WG47" s="114"/>
      <c r="WH47" s="89"/>
      <c r="WI47" s="82"/>
      <c r="WK47" s="90"/>
      <c r="WL47" s="87"/>
      <c r="WM47" s="87"/>
      <c r="WN47" s="87">
        <f t="shared" si="74"/>
        <v>0</v>
      </c>
      <c r="WO47" s="114"/>
      <c r="WP47" s="89"/>
      <c r="WQ47" s="82"/>
      <c r="WS47" s="90"/>
      <c r="WT47" s="87"/>
      <c r="WU47" s="87"/>
      <c r="WV47" s="87">
        <f t="shared" si="75"/>
        <v>0</v>
      </c>
      <c r="WW47" s="114"/>
      <c r="WX47" s="89"/>
      <c r="WY47" s="82"/>
      <c r="XA47" s="90"/>
      <c r="XB47" s="87"/>
      <c r="XC47" s="87"/>
      <c r="XD47" s="87">
        <f t="shared" si="76"/>
        <v>0</v>
      </c>
      <c r="XE47" s="114"/>
      <c r="XF47" s="89"/>
      <c r="XG47" s="82"/>
      <c r="XI47" s="90"/>
      <c r="XJ47" s="87"/>
      <c r="XK47" s="87"/>
      <c r="XL47" s="87">
        <f t="shared" si="77"/>
        <v>0</v>
      </c>
      <c r="XM47" s="114"/>
      <c r="XN47" s="89"/>
      <c r="XO47" s="82"/>
      <c r="XQ47" s="90"/>
      <c r="XR47" s="87"/>
      <c r="XS47" s="87"/>
      <c r="XT47" s="87">
        <f t="shared" si="78"/>
        <v>0</v>
      </c>
      <c r="XU47" s="114"/>
      <c r="XV47" s="89"/>
      <c r="XW47" s="82"/>
      <c r="XY47" s="90"/>
      <c r="XZ47" s="87"/>
      <c r="YA47" s="87"/>
      <c r="YB47" s="87">
        <f t="shared" si="79"/>
        <v>0</v>
      </c>
      <c r="YC47" s="114"/>
      <c r="YD47" s="89"/>
      <c r="YE47" s="82"/>
      <c r="YG47" s="90"/>
      <c r="YH47" s="87"/>
      <c r="YI47" s="87"/>
      <c r="YJ47" s="87">
        <f t="shared" si="80"/>
        <v>0</v>
      </c>
      <c r="YK47" s="114"/>
      <c r="YL47" s="89"/>
      <c r="YM47" s="82"/>
      <c r="YO47" s="90"/>
      <c r="YP47" s="87"/>
      <c r="YQ47" s="87"/>
      <c r="YR47" s="87">
        <f t="shared" si="81"/>
        <v>0</v>
      </c>
      <c r="YS47" s="114"/>
      <c r="YT47" s="89"/>
      <c r="YU47" s="82"/>
      <c r="YW47" s="90"/>
      <c r="YX47" s="87"/>
      <c r="YY47" s="87"/>
      <c r="YZ47" s="87">
        <f t="shared" si="82"/>
        <v>0</v>
      </c>
      <c r="ZA47" s="114"/>
      <c r="ZB47" s="89"/>
      <c r="ZC47" s="82"/>
      <c r="ZE47" s="90"/>
      <c r="ZF47" s="87"/>
      <c r="ZG47" s="87"/>
      <c r="ZH47" s="87">
        <f t="shared" si="83"/>
        <v>0</v>
      </c>
      <c r="ZI47" s="114"/>
      <c r="ZJ47" s="89"/>
      <c r="ZK47" s="82"/>
      <c r="ZM47" s="90"/>
      <c r="ZN47" s="87"/>
      <c r="ZO47" s="87"/>
      <c r="ZP47" s="87">
        <f t="shared" si="84"/>
        <v>0</v>
      </c>
      <c r="ZQ47" s="114"/>
      <c r="ZR47" s="89"/>
      <c r="ZS47" s="82"/>
      <c r="ZU47" s="90"/>
      <c r="ZV47" s="87"/>
      <c r="ZW47" s="87"/>
      <c r="ZX47" s="87">
        <f t="shared" si="85"/>
        <v>0</v>
      </c>
      <c r="ZY47" s="114"/>
      <c r="ZZ47" s="89"/>
      <c r="AAA47" s="82"/>
      <c r="AAC47" s="90"/>
      <c r="AAD47" s="87"/>
      <c r="AAE47" s="87"/>
      <c r="AAF47" s="87">
        <f t="shared" si="86"/>
        <v>0</v>
      </c>
      <c r="AAG47" s="114"/>
      <c r="AAH47" s="89"/>
      <c r="AAI47" s="82"/>
      <c r="AAK47" s="90"/>
      <c r="AAL47" s="87"/>
      <c r="AAM47" s="87"/>
      <c r="AAN47" s="87">
        <f t="shared" si="87"/>
        <v>0</v>
      </c>
      <c r="AAO47" s="114"/>
      <c r="AAP47" s="89"/>
      <c r="AAQ47" s="82"/>
      <c r="AAS47" s="90"/>
      <c r="AAT47" s="87"/>
      <c r="AAU47" s="87"/>
      <c r="AAV47" s="87">
        <f t="shared" si="88"/>
        <v>0</v>
      </c>
      <c r="AAW47" s="114"/>
      <c r="AAX47" s="89"/>
      <c r="AAY47" s="82"/>
      <c r="ABA47" s="90"/>
      <c r="ABB47" s="87"/>
      <c r="ABC47" s="87"/>
      <c r="ABD47" s="87">
        <f t="shared" si="89"/>
        <v>0</v>
      </c>
      <c r="ABE47" s="114"/>
      <c r="ABF47" s="89"/>
      <c r="ABG47" s="82"/>
      <c r="ABI47" s="90"/>
      <c r="ABJ47" s="87"/>
      <c r="ABK47" s="87"/>
      <c r="ABL47" s="87">
        <f t="shared" si="90"/>
        <v>0</v>
      </c>
      <c r="ABM47" s="114"/>
      <c r="ABN47" s="89"/>
      <c r="ABO47" s="82"/>
      <c r="ABQ47" s="90"/>
      <c r="ABR47" s="87"/>
      <c r="ABS47" s="87"/>
      <c r="ABT47" s="87">
        <f t="shared" si="91"/>
        <v>0</v>
      </c>
      <c r="ABU47" s="114"/>
      <c r="ABV47" s="89"/>
      <c r="ABW47" s="82"/>
      <c r="ABY47" s="90"/>
      <c r="ABZ47" s="87"/>
      <c r="ACA47" s="87"/>
      <c r="ACB47" s="87">
        <f t="shared" si="92"/>
        <v>0</v>
      </c>
      <c r="ACC47" s="114"/>
      <c r="ACD47" s="89"/>
      <c r="ACE47" s="82"/>
    </row>
    <row r="48" spans="1:759" ht="12" customHeight="1" x14ac:dyDescent="0.25">
      <c r="A48" s="84"/>
      <c r="B48" s="85"/>
      <c r="C48" s="87"/>
      <c r="D48" s="87">
        <f t="shared" si="2"/>
        <v>1700</v>
      </c>
      <c r="E48" s="114"/>
      <c r="F48" s="211"/>
      <c r="G48" s="382"/>
      <c r="H48" s="72"/>
      <c r="I48" s="84"/>
      <c r="J48" s="87"/>
      <c r="K48" s="87"/>
      <c r="L48" s="87">
        <f t="shared" si="0"/>
        <v>1000</v>
      </c>
      <c r="M48" s="114"/>
      <c r="N48" s="89"/>
      <c r="O48" s="82"/>
      <c r="P48" s="72"/>
      <c r="Q48" s="90"/>
      <c r="R48" s="87"/>
      <c r="S48" s="87"/>
      <c r="T48" s="87">
        <f t="shared" si="1"/>
        <v>4000</v>
      </c>
      <c r="U48" s="114"/>
      <c r="V48" s="89"/>
      <c r="W48" s="82"/>
      <c r="X48" s="72"/>
      <c r="Y48" s="90"/>
      <c r="Z48" s="87"/>
      <c r="AA48" s="87"/>
      <c r="AB48" s="87">
        <f t="shared" si="3"/>
        <v>1000</v>
      </c>
      <c r="AC48" s="114"/>
      <c r="AD48" s="89"/>
      <c r="AE48" s="82"/>
      <c r="AF48" s="72"/>
      <c r="AG48" s="84"/>
      <c r="AH48" s="222"/>
      <c r="AI48" s="222"/>
      <c r="AJ48" s="87">
        <f t="shared" si="4"/>
        <v>2000</v>
      </c>
      <c r="AK48" s="114"/>
      <c r="AL48" s="89"/>
      <c r="AM48" s="82"/>
      <c r="AN48" s="72"/>
      <c r="AO48" s="90"/>
      <c r="AP48" s="87"/>
      <c r="AQ48" s="87"/>
      <c r="AR48" s="87">
        <f t="shared" si="5"/>
        <v>1000</v>
      </c>
      <c r="AS48" s="114"/>
      <c r="AT48" s="89"/>
      <c r="AU48" s="82"/>
      <c r="AV48" s="72"/>
      <c r="AW48" s="90"/>
      <c r="AX48" s="87"/>
      <c r="AY48" s="87"/>
      <c r="AZ48" s="87">
        <f t="shared" si="6"/>
        <v>1150</v>
      </c>
      <c r="BA48" s="114"/>
      <c r="BB48" s="211"/>
      <c r="BC48" s="82"/>
      <c r="BD48" s="72"/>
      <c r="BE48" s="90"/>
      <c r="BF48" s="87"/>
      <c r="BG48" s="87"/>
      <c r="BH48" s="87">
        <f t="shared" si="7"/>
        <v>7000</v>
      </c>
      <c r="BI48" s="114"/>
      <c r="BJ48" s="220"/>
      <c r="BK48" s="82"/>
      <c r="BL48" s="72"/>
      <c r="BM48" s="90"/>
      <c r="BN48" s="87"/>
      <c r="BO48" s="87"/>
      <c r="BP48" s="87">
        <f t="shared" si="8"/>
        <v>1000</v>
      </c>
      <c r="BQ48" s="114"/>
      <c r="BR48" s="89"/>
      <c r="BS48" s="82"/>
      <c r="BT48" s="72"/>
      <c r="BU48" s="90"/>
      <c r="BV48" s="87"/>
      <c r="BW48" s="87"/>
      <c r="BX48" s="87">
        <f t="shared" si="9"/>
        <v>0</v>
      </c>
      <c r="BY48" s="114"/>
      <c r="BZ48" s="89"/>
      <c r="CA48" s="82"/>
      <c r="CB48" s="72"/>
      <c r="CC48" s="90"/>
      <c r="CD48" s="87"/>
      <c r="CE48" s="87"/>
      <c r="CF48" s="87">
        <f t="shared" si="10"/>
        <v>0</v>
      </c>
      <c r="CG48" s="114"/>
      <c r="CH48" s="89"/>
      <c r="CI48" s="82"/>
      <c r="CJ48" s="72"/>
      <c r="CK48" s="90"/>
      <c r="CL48" s="87"/>
      <c r="CM48" s="87"/>
      <c r="CN48" s="87">
        <f t="shared" si="11"/>
        <v>0</v>
      </c>
      <c r="CO48" s="114"/>
      <c r="CP48" s="220"/>
      <c r="CQ48" s="82"/>
      <c r="CR48" s="72"/>
      <c r="CS48" s="90"/>
      <c r="CT48" s="87"/>
      <c r="CU48" s="87"/>
      <c r="CV48" s="87">
        <f t="shared" si="12"/>
        <v>0</v>
      </c>
      <c r="CW48" s="114"/>
      <c r="CX48" s="220"/>
      <c r="CY48" s="82"/>
      <c r="CZ48" s="72"/>
      <c r="DA48" s="90"/>
      <c r="DB48" s="87"/>
      <c r="DC48" s="87"/>
      <c r="DD48" s="87">
        <f t="shared" si="13"/>
        <v>0</v>
      </c>
      <c r="DE48" s="114"/>
      <c r="DF48" s="89"/>
      <c r="DG48" s="82"/>
      <c r="DH48" s="72"/>
      <c r="DI48" s="90"/>
      <c r="DJ48" s="87"/>
      <c r="DK48" s="87"/>
      <c r="DL48" s="87">
        <f t="shared" si="14"/>
        <v>0</v>
      </c>
      <c r="DM48" s="114"/>
      <c r="DN48" s="89"/>
      <c r="DO48" s="82"/>
      <c r="DP48" s="72"/>
      <c r="DQ48" s="90"/>
      <c r="DR48" s="87"/>
      <c r="DS48" s="87"/>
      <c r="DT48" s="87">
        <f t="shared" si="15"/>
        <v>0</v>
      </c>
      <c r="DU48" s="114"/>
      <c r="DV48" s="89"/>
      <c r="DW48" s="82"/>
      <c r="DX48" s="72"/>
      <c r="DY48" s="90"/>
      <c r="DZ48" s="87"/>
      <c r="EA48" s="87"/>
      <c r="EB48" s="87">
        <f t="shared" si="16"/>
        <v>0</v>
      </c>
      <c r="EC48" s="114"/>
      <c r="ED48" s="89"/>
      <c r="EE48" s="82"/>
      <c r="EF48" s="72"/>
      <c r="EG48" s="90"/>
      <c r="EH48" s="87"/>
      <c r="EI48" s="87"/>
      <c r="EJ48" s="87">
        <f t="shared" si="17"/>
        <v>0</v>
      </c>
      <c r="EK48" s="114"/>
      <c r="EL48" s="89"/>
      <c r="EM48" s="82"/>
      <c r="EO48" s="90"/>
      <c r="EP48" s="87"/>
      <c r="EQ48" s="87"/>
      <c r="ER48" s="87">
        <f t="shared" si="18"/>
        <v>0</v>
      </c>
      <c r="ES48" s="114"/>
      <c r="ET48" s="89"/>
      <c r="EU48" s="82"/>
      <c r="EW48" s="90"/>
      <c r="EX48" s="87"/>
      <c r="EY48" s="87"/>
      <c r="EZ48" s="87">
        <f t="shared" si="19"/>
        <v>0</v>
      </c>
      <c r="FA48" s="114"/>
      <c r="FB48" s="89"/>
      <c r="FC48" s="82"/>
      <c r="FE48" s="90"/>
      <c r="FF48" s="87"/>
      <c r="FG48" s="87"/>
      <c r="FH48" s="87">
        <f t="shared" si="93"/>
        <v>0</v>
      </c>
      <c r="FI48" s="114"/>
      <c r="FJ48" s="89"/>
      <c r="FK48" s="82"/>
      <c r="FM48" s="90"/>
      <c r="FN48" s="87"/>
      <c r="FO48" s="87"/>
      <c r="FP48" s="87">
        <f t="shared" si="20"/>
        <v>0</v>
      </c>
      <c r="FQ48" s="114"/>
      <c r="FR48" s="89"/>
      <c r="FS48" s="82"/>
      <c r="FT48" s="72"/>
      <c r="FU48" s="90"/>
      <c r="FV48" s="87"/>
      <c r="FW48" s="87"/>
      <c r="FX48" s="87">
        <f t="shared" si="21"/>
        <v>0</v>
      </c>
      <c r="FY48" s="165"/>
      <c r="FZ48" s="89"/>
      <c r="GA48" s="82"/>
      <c r="GC48" s="90"/>
      <c r="GD48" s="87"/>
      <c r="GE48" s="87"/>
      <c r="GF48" s="87">
        <f t="shared" si="22"/>
        <v>0</v>
      </c>
      <c r="GG48" s="114"/>
      <c r="GH48" s="89"/>
      <c r="GI48" s="82"/>
      <c r="GK48" s="90"/>
      <c r="GL48" s="87"/>
      <c r="GM48" s="87"/>
      <c r="GN48" s="87">
        <f t="shared" si="23"/>
        <v>0</v>
      </c>
      <c r="GO48" s="114"/>
      <c r="GP48" s="89"/>
      <c r="GQ48" s="82"/>
      <c r="GS48" s="90"/>
      <c r="GT48" s="87"/>
      <c r="GU48" s="87"/>
      <c r="GV48" s="87">
        <f t="shared" si="24"/>
        <v>0</v>
      </c>
      <c r="GW48" s="114"/>
      <c r="GX48" s="89"/>
      <c r="GY48" s="82"/>
      <c r="HA48" s="90"/>
      <c r="HB48" s="87"/>
      <c r="HC48" s="87"/>
      <c r="HD48" s="87">
        <f t="shared" si="25"/>
        <v>0</v>
      </c>
      <c r="HE48" s="114"/>
      <c r="HF48" s="89"/>
      <c r="HG48" s="82"/>
      <c r="HI48" s="90"/>
      <c r="HJ48" s="87"/>
      <c r="HK48" s="87"/>
      <c r="HL48" s="87">
        <f t="shared" si="26"/>
        <v>0</v>
      </c>
      <c r="HM48" s="114"/>
      <c r="HN48" s="89"/>
      <c r="HO48" s="82"/>
      <c r="HQ48" s="90"/>
      <c r="HR48" s="87"/>
      <c r="HS48" s="87"/>
      <c r="HT48" s="87">
        <f t="shared" si="27"/>
        <v>0</v>
      </c>
      <c r="HU48" s="114"/>
      <c r="HV48" s="89"/>
      <c r="HW48" s="82"/>
      <c r="HY48" s="90"/>
      <c r="HZ48" s="87"/>
      <c r="IA48" s="87"/>
      <c r="IB48" s="87">
        <f t="shared" si="28"/>
        <v>0</v>
      </c>
      <c r="IC48" s="114"/>
      <c r="ID48" s="89"/>
      <c r="IE48" s="82"/>
      <c r="IG48" s="90"/>
      <c r="IH48" s="87"/>
      <c r="II48" s="87"/>
      <c r="IJ48" s="87">
        <f t="shared" si="29"/>
        <v>0</v>
      </c>
      <c r="IK48" s="114"/>
      <c r="IL48" s="89"/>
      <c r="IM48" s="82"/>
      <c r="IO48" s="90"/>
      <c r="IP48" s="87"/>
      <c r="IQ48" s="87"/>
      <c r="IR48" s="87">
        <f t="shared" si="30"/>
        <v>0</v>
      </c>
      <c r="IS48" s="114"/>
      <c r="IT48" s="89"/>
      <c r="IU48" s="82"/>
      <c r="IW48" s="90"/>
      <c r="IX48" s="87"/>
      <c r="IY48" s="87"/>
      <c r="IZ48" s="87">
        <f t="shared" si="31"/>
        <v>0</v>
      </c>
      <c r="JA48" s="114"/>
      <c r="JB48" s="89"/>
      <c r="JC48" s="82"/>
      <c r="JE48" s="90"/>
      <c r="JF48" s="87"/>
      <c r="JG48" s="87"/>
      <c r="JH48" s="87">
        <f t="shared" si="32"/>
        <v>0</v>
      </c>
      <c r="JI48" s="114"/>
      <c r="JJ48" s="89"/>
      <c r="JK48" s="82"/>
      <c r="JM48" s="90"/>
      <c r="JN48" s="87"/>
      <c r="JO48" s="87"/>
      <c r="JP48" s="87">
        <f t="shared" si="33"/>
        <v>0</v>
      </c>
      <c r="JQ48" s="114"/>
      <c r="JR48" s="91"/>
      <c r="JS48" s="82"/>
      <c r="JU48" s="90"/>
      <c r="JV48" s="87"/>
      <c r="JW48" s="87"/>
      <c r="JX48" s="87">
        <f t="shared" si="94"/>
        <v>0</v>
      </c>
      <c r="JY48" s="114"/>
      <c r="JZ48" s="89"/>
      <c r="KA48" s="82"/>
      <c r="KC48" s="90"/>
      <c r="KD48" s="87"/>
      <c r="KE48" s="87"/>
      <c r="KF48" s="87">
        <f t="shared" si="34"/>
        <v>0</v>
      </c>
      <c r="KG48" s="114"/>
      <c r="KH48" s="86"/>
      <c r="KI48" s="109"/>
      <c r="KK48" s="90"/>
      <c r="KL48" s="87"/>
      <c r="KM48" s="87"/>
      <c r="KN48" s="87">
        <f t="shared" si="35"/>
        <v>0</v>
      </c>
      <c r="KO48" s="114"/>
      <c r="KP48" s="89"/>
      <c r="KQ48" s="82"/>
      <c r="KS48" s="90"/>
      <c r="KT48" s="87"/>
      <c r="KU48" s="87"/>
      <c r="KV48" s="87">
        <f t="shared" si="36"/>
        <v>0</v>
      </c>
      <c r="KW48" s="114"/>
      <c r="KX48" s="89"/>
      <c r="KY48" s="82"/>
      <c r="LA48" s="90"/>
      <c r="LB48" s="87"/>
      <c r="LC48" s="87"/>
      <c r="LD48" s="87">
        <f t="shared" si="37"/>
        <v>0</v>
      </c>
      <c r="LE48" s="114"/>
      <c r="LF48" s="89"/>
      <c r="LG48" s="82"/>
      <c r="LI48" s="90"/>
      <c r="LJ48" s="87"/>
      <c r="LK48" s="87"/>
      <c r="LL48" s="87">
        <f t="shared" si="38"/>
        <v>0</v>
      </c>
      <c r="LM48" s="114"/>
      <c r="LN48" s="89"/>
      <c r="LO48" s="82"/>
      <c r="LQ48" s="90"/>
      <c r="LR48" s="87"/>
      <c r="LS48" s="87"/>
      <c r="LT48" s="87">
        <f t="shared" si="39"/>
        <v>0</v>
      </c>
      <c r="LU48" s="114"/>
      <c r="LV48" s="89"/>
      <c r="LW48" s="82"/>
      <c r="LY48" s="90"/>
      <c r="LZ48" s="87"/>
      <c r="MA48" s="87"/>
      <c r="MB48" s="87">
        <f t="shared" si="40"/>
        <v>0</v>
      </c>
      <c r="MC48" s="114"/>
      <c r="MD48" s="89"/>
      <c r="ME48" s="82"/>
      <c r="MG48" s="90"/>
      <c r="MH48" s="87"/>
      <c r="MI48" s="87"/>
      <c r="MJ48" s="87">
        <f t="shared" si="41"/>
        <v>0</v>
      </c>
      <c r="MK48" s="114"/>
      <c r="ML48" s="89"/>
      <c r="MM48" s="82"/>
      <c r="MO48" s="90"/>
      <c r="MP48" s="87"/>
      <c r="MQ48" s="87"/>
      <c r="MR48" s="87">
        <f t="shared" si="42"/>
        <v>0</v>
      </c>
      <c r="MS48" s="114"/>
      <c r="MT48" s="89"/>
      <c r="MU48" s="82"/>
      <c r="MW48" s="90"/>
      <c r="MX48" s="87"/>
      <c r="MY48" s="87"/>
      <c r="MZ48" s="87">
        <f t="shared" si="43"/>
        <v>0</v>
      </c>
      <c r="NA48" s="114"/>
      <c r="NB48" s="89"/>
      <c r="NC48" s="82"/>
      <c r="NE48" s="90"/>
      <c r="NF48" s="87"/>
      <c r="NG48" s="87"/>
      <c r="NH48" s="87">
        <f t="shared" si="44"/>
        <v>0</v>
      </c>
      <c r="NI48" s="114"/>
      <c r="NJ48" s="89"/>
      <c r="NK48" s="82"/>
      <c r="NM48" s="90"/>
      <c r="NN48" s="87"/>
      <c r="NO48" s="87"/>
      <c r="NP48" s="87">
        <f t="shared" si="45"/>
        <v>0</v>
      </c>
      <c r="NQ48" s="114"/>
      <c r="NR48" s="89"/>
      <c r="NS48" s="82"/>
      <c r="NU48" s="90"/>
      <c r="NV48" s="87"/>
      <c r="NW48" s="87"/>
      <c r="NX48" s="87">
        <f t="shared" si="46"/>
        <v>0</v>
      </c>
      <c r="NY48" s="114"/>
      <c r="NZ48" s="89"/>
      <c r="OA48" s="82"/>
      <c r="OC48" s="90"/>
      <c r="OD48" s="87"/>
      <c r="OE48" s="87"/>
      <c r="OF48" s="87">
        <f t="shared" si="47"/>
        <v>0</v>
      </c>
      <c r="OG48" s="114"/>
      <c r="OH48" s="89"/>
      <c r="OI48" s="82"/>
      <c r="OK48" s="90"/>
      <c r="OL48" s="87"/>
      <c r="OM48" s="87"/>
      <c r="ON48" s="87">
        <f t="shared" si="48"/>
        <v>0</v>
      </c>
      <c r="OO48" s="114"/>
      <c r="OP48" s="89"/>
      <c r="OQ48" s="82"/>
      <c r="OS48" s="90"/>
      <c r="OT48" s="87"/>
      <c r="OU48" s="87"/>
      <c r="OV48" s="87">
        <f t="shared" si="49"/>
        <v>0</v>
      </c>
      <c r="OW48" s="114"/>
      <c r="OX48" s="89"/>
      <c r="OY48" s="82"/>
      <c r="PA48" s="90"/>
      <c r="PB48" s="87"/>
      <c r="PC48" s="87"/>
      <c r="PD48" s="87">
        <f t="shared" si="50"/>
        <v>0</v>
      </c>
      <c r="PE48" s="114"/>
      <c r="PF48" s="89"/>
      <c r="PG48" s="82"/>
      <c r="PI48" s="90"/>
      <c r="PJ48" s="87"/>
      <c r="PK48" s="87"/>
      <c r="PL48" s="87">
        <f t="shared" si="51"/>
        <v>0</v>
      </c>
      <c r="PM48" s="114"/>
      <c r="PN48" s="211"/>
      <c r="PO48" s="216"/>
      <c r="PQ48" s="90"/>
      <c r="PR48" s="87"/>
      <c r="PS48" s="87"/>
      <c r="PT48" s="87">
        <f t="shared" si="52"/>
        <v>0</v>
      </c>
      <c r="PU48" s="114"/>
      <c r="PV48" s="89"/>
      <c r="PW48" s="82"/>
      <c r="PY48" s="90"/>
      <c r="PZ48" s="87"/>
      <c r="QA48" s="87"/>
      <c r="QB48" s="87">
        <f t="shared" si="53"/>
        <v>0</v>
      </c>
      <c r="QC48" s="114"/>
      <c r="QD48" s="89"/>
      <c r="QE48" s="82"/>
      <c r="QG48" s="90"/>
      <c r="QH48" s="87"/>
      <c r="QI48" s="87"/>
      <c r="QJ48" s="87">
        <f t="shared" si="54"/>
        <v>0</v>
      </c>
      <c r="QK48" s="114"/>
      <c r="QL48" s="89"/>
      <c r="QM48" s="82"/>
      <c r="QO48" s="90"/>
      <c r="QP48" s="87"/>
      <c r="QQ48" s="87"/>
      <c r="QR48" s="87">
        <f t="shared" si="55"/>
        <v>0</v>
      </c>
      <c r="QS48" s="114"/>
      <c r="QT48" s="211"/>
      <c r="QU48" s="216"/>
      <c r="QW48" s="90"/>
      <c r="QX48" s="87"/>
      <c r="QY48" s="87"/>
      <c r="QZ48" s="87">
        <f t="shared" si="56"/>
        <v>0</v>
      </c>
      <c r="RA48" s="114"/>
      <c r="RB48" s="89"/>
      <c r="RC48" s="82"/>
      <c r="RE48" s="90"/>
      <c r="RF48" s="87"/>
      <c r="RG48" s="87"/>
      <c r="RH48" s="87">
        <f t="shared" si="57"/>
        <v>0</v>
      </c>
      <c r="RI48" s="114"/>
      <c r="RJ48" s="89"/>
      <c r="RK48" s="170"/>
      <c r="RM48" s="90"/>
      <c r="RN48" s="87"/>
      <c r="RO48" s="87"/>
      <c r="RP48" s="87">
        <f t="shared" si="58"/>
        <v>0</v>
      </c>
      <c r="RQ48" s="114"/>
      <c r="RR48" s="89"/>
      <c r="RS48" s="82"/>
      <c r="RU48" s="90"/>
      <c r="RV48" s="87"/>
      <c r="RW48" s="87"/>
      <c r="RX48" s="87">
        <f t="shared" si="59"/>
        <v>0</v>
      </c>
      <c r="RY48" s="114"/>
      <c r="RZ48" s="89"/>
      <c r="SA48" s="82"/>
      <c r="SC48" s="90"/>
      <c r="SD48" s="87"/>
      <c r="SE48" s="87"/>
      <c r="SF48" s="87">
        <f t="shared" si="60"/>
        <v>0</v>
      </c>
      <c r="SG48" s="114"/>
      <c r="SH48" s="89"/>
      <c r="SI48" s="82"/>
      <c r="SK48" s="90"/>
      <c r="SL48" s="87"/>
      <c r="SM48" s="87"/>
      <c r="SN48" s="87">
        <f t="shared" si="61"/>
        <v>0</v>
      </c>
      <c r="SO48" s="114"/>
      <c r="SP48" s="89"/>
      <c r="SQ48" s="82"/>
      <c r="SS48" s="90"/>
      <c r="ST48" s="87"/>
      <c r="SU48" s="87"/>
      <c r="SV48" s="87">
        <f t="shared" si="62"/>
        <v>0</v>
      </c>
      <c r="SW48" s="114"/>
      <c r="SX48" s="89"/>
      <c r="SY48" s="82"/>
      <c r="TA48" s="90"/>
      <c r="TB48" s="87"/>
      <c r="TC48" s="87"/>
      <c r="TD48" s="87">
        <f t="shared" si="63"/>
        <v>0</v>
      </c>
      <c r="TE48" s="114"/>
      <c r="TF48" s="89"/>
      <c r="TG48" s="82"/>
      <c r="TI48" s="90"/>
      <c r="TJ48" s="87"/>
      <c r="TK48" s="87"/>
      <c r="TL48" s="87">
        <f t="shared" si="64"/>
        <v>0</v>
      </c>
      <c r="TM48" s="114"/>
      <c r="TN48" s="89"/>
      <c r="TO48" s="82"/>
      <c r="TQ48" s="90"/>
      <c r="TR48" s="87"/>
      <c r="TS48" s="87"/>
      <c r="TT48" s="87">
        <f t="shared" si="65"/>
        <v>0</v>
      </c>
      <c r="TU48" s="114"/>
      <c r="TV48" s="91"/>
      <c r="TW48" s="82"/>
      <c r="TY48" s="90"/>
      <c r="TZ48" s="87"/>
      <c r="UA48" s="87"/>
      <c r="UB48" s="87">
        <f t="shared" si="66"/>
        <v>0</v>
      </c>
      <c r="UC48" s="114"/>
      <c r="UD48" s="89"/>
      <c r="UE48" s="82"/>
      <c r="UG48" s="90"/>
      <c r="UH48" s="87"/>
      <c r="UI48" s="87"/>
      <c r="UJ48" s="87">
        <f t="shared" si="67"/>
        <v>0</v>
      </c>
      <c r="UK48" s="114"/>
      <c r="UL48" s="89"/>
      <c r="UM48" s="82"/>
      <c r="UO48" s="90"/>
      <c r="UP48" s="87"/>
      <c r="UQ48" s="87"/>
      <c r="UR48" s="87">
        <f t="shared" si="68"/>
        <v>0</v>
      </c>
      <c r="US48" s="114"/>
      <c r="UT48" s="89"/>
      <c r="UU48" s="82"/>
      <c r="UW48" s="90"/>
      <c r="UX48" s="87"/>
      <c r="UY48" s="87"/>
      <c r="UZ48" s="87">
        <f t="shared" si="69"/>
        <v>0</v>
      </c>
      <c r="VA48" s="114"/>
      <c r="VB48" s="89"/>
      <c r="VC48" s="82"/>
      <c r="VE48" s="90"/>
      <c r="VF48" s="87"/>
      <c r="VG48" s="87"/>
      <c r="VH48" s="87">
        <f t="shared" si="70"/>
        <v>0</v>
      </c>
      <c r="VI48" s="114"/>
      <c r="VJ48" s="89"/>
      <c r="VK48" s="82"/>
      <c r="VM48" s="90"/>
      <c r="VN48" s="87"/>
      <c r="VO48" s="87"/>
      <c r="VP48" s="87">
        <f t="shared" si="71"/>
        <v>0</v>
      </c>
      <c r="VQ48" s="114"/>
      <c r="VR48" s="89"/>
      <c r="VS48" s="82"/>
      <c r="VU48" s="90"/>
      <c r="VV48" s="87"/>
      <c r="VW48" s="87"/>
      <c r="VX48" s="87">
        <f t="shared" si="72"/>
        <v>0</v>
      </c>
      <c r="VY48" s="114"/>
      <c r="VZ48" s="89"/>
      <c r="WA48" s="82"/>
      <c r="WC48" s="90"/>
      <c r="WD48" s="87"/>
      <c r="WE48" s="87"/>
      <c r="WF48" s="87">
        <f t="shared" si="73"/>
        <v>0</v>
      </c>
      <c r="WG48" s="114"/>
      <c r="WH48" s="89"/>
      <c r="WI48" s="82"/>
      <c r="WK48" s="90"/>
      <c r="WL48" s="87"/>
      <c r="WM48" s="87"/>
      <c r="WN48" s="87">
        <f t="shared" si="74"/>
        <v>0</v>
      </c>
      <c r="WO48" s="114"/>
      <c r="WP48" s="89"/>
      <c r="WQ48" s="82"/>
      <c r="WS48" s="90"/>
      <c r="WT48" s="87"/>
      <c r="WU48" s="87"/>
      <c r="WV48" s="87">
        <f t="shared" si="75"/>
        <v>0</v>
      </c>
      <c r="WW48" s="114"/>
      <c r="WX48" s="89"/>
      <c r="WY48" s="82"/>
      <c r="XA48" s="90"/>
      <c r="XB48" s="87"/>
      <c r="XC48" s="87"/>
      <c r="XD48" s="87">
        <f t="shared" si="76"/>
        <v>0</v>
      </c>
      <c r="XE48" s="114"/>
      <c r="XF48" s="89"/>
      <c r="XG48" s="82"/>
      <c r="XI48" s="90"/>
      <c r="XJ48" s="87"/>
      <c r="XK48" s="87"/>
      <c r="XL48" s="87">
        <f t="shared" si="77"/>
        <v>0</v>
      </c>
      <c r="XM48" s="114"/>
      <c r="XN48" s="89"/>
      <c r="XO48" s="82"/>
      <c r="XQ48" s="90"/>
      <c r="XR48" s="87"/>
      <c r="XS48" s="87"/>
      <c r="XT48" s="87">
        <f t="shared" si="78"/>
        <v>0</v>
      </c>
      <c r="XU48" s="114"/>
      <c r="XV48" s="89"/>
      <c r="XW48" s="82"/>
      <c r="XY48" s="90"/>
      <c r="XZ48" s="87"/>
      <c r="YA48" s="87"/>
      <c r="YB48" s="87">
        <f t="shared" si="79"/>
        <v>0</v>
      </c>
      <c r="YC48" s="114"/>
      <c r="YD48" s="89"/>
      <c r="YE48" s="82"/>
      <c r="YG48" s="90"/>
      <c r="YH48" s="87"/>
      <c r="YI48" s="87"/>
      <c r="YJ48" s="87">
        <f t="shared" si="80"/>
        <v>0</v>
      </c>
      <c r="YK48" s="114"/>
      <c r="YL48" s="89"/>
      <c r="YM48" s="82"/>
      <c r="YO48" s="90"/>
      <c r="YP48" s="87"/>
      <c r="YQ48" s="87"/>
      <c r="YR48" s="87">
        <f t="shared" si="81"/>
        <v>0</v>
      </c>
      <c r="YS48" s="114"/>
      <c r="YT48" s="89"/>
      <c r="YU48" s="82"/>
      <c r="YW48" s="90"/>
      <c r="YX48" s="87"/>
      <c r="YY48" s="87"/>
      <c r="YZ48" s="87">
        <f t="shared" si="82"/>
        <v>0</v>
      </c>
      <c r="ZA48" s="114"/>
      <c r="ZB48" s="89"/>
      <c r="ZC48" s="82"/>
      <c r="ZE48" s="90"/>
      <c r="ZF48" s="87"/>
      <c r="ZG48" s="87"/>
      <c r="ZH48" s="87">
        <f t="shared" si="83"/>
        <v>0</v>
      </c>
      <c r="ZI48" s="114"/>
      <c r="ZJ48" s="89"/>
      <c r="ZK48" s="82"/>
      <c r="ZM48" s="90"/>
      <c r="ZN48" s="87"/>
      <c r="ZO48" s="87"/>
      <c r="ZP48" s="87">
        <f t="shared" si="84"/>
        <v>0</v>
      </c>
      <c r="ZQ48" s="114"/>
      <c r="ZR48" s="89"/>
      <c r="ZS48" s="82"/>
      <c r="ZU48" s="90"/>
      <c r="ZV48" s="87"/>
      <c r="ZW48" s="87"/>
      <c r="ZX48" s="87">
        <f t="shared" si="85"/>
        <v>0</v>
      </c>
      <c r="ZY48" s="114"/>
      <c r="ZZ48" s="89"/>
      <c r="AAA48" s="82"/>
      <c r="AAC48" s="90"/>
      <c r="AAD48" s="87"/>
      <c r="AAE48" s="87"/>
      <c r="AAF48" s="87">
        <f t="shared" si="86"/>
        <v>0</v>
      </c>
      <c r="AAG48" s="114"/>
      <c r="AAH48" s="89"/>
      <c r="AAI48" s="82"/>
      <c r="AAK48" s="90"/>
      <c r="AAL48" s="87"/>
      <c r="AAM48" s="87"/>
      <c r="AAN48" s="87">
        <f t="shared" si="87"/>
        <v>0</v>
      </c>
      <c r="AAO48" s="114"/>
      <c r="AAP48" s="89"/>
      <c r="AAQ48" s="82"/>
      <c r="AAS48" s="90"/>
      <c r="AAT48" s="87"/>
      <c r="AAU48" s="87"/>
      <c r="AAV48" s="87">
        <f t="shared" si="88"/>
        <v>0</v>
      </c>
      <c r="AAW48" s="114"/>
      <c r="AAX48" s="89"/>
      <c r="AAY48" s="82"/>
      <c r="ABA48" s="90"/>
      <c r="ABB48" s="87"/>
      <c r="ABC48" s="87"/>
      <c r="ABD48" s="87">
        <f t="shared" si="89"/>
        <v>0</v>
      </c>
      <c r="ABE48" s="114"/>
      <c r="ABF48" s="89"/>
      <c r="ABG48" s="82"/>
      <c r="ABI48" s="90"/>
      <c r="ABJ48" s="87"/>
      <c r="ABK48" s="87"/>
      <c r="ABL48" s="87">
        <f t="shared" si="90"/>
        <v>0</v>
      </c>
      <c r="ABM48" s="114"/>
      <c r="ABN48" s="89"/>
      <c r="ABO48" s="82"/>
      <c r="ABQ48" s="90"/>
      <c r="ABR48" s="87"/>
      <c r="ABS48" s="87"/>
      <c r="ABT48" s="87">
        <f t="shared" si="91"/>
        <v>0</v>
      </c>
      <c r="ABU48" s="114"/>
      <c r="ABV48" s="89"/>
      <c r="ABW48" s="82"/>
      <c r="ABY48" s="90"/>
      <c r="ABZ48" s="87"/>
      <c r="ACA48" s="87"/>
      <c r="ACB48" s="87">
        <f t="shared" si="92"/>
        <v>0</v>
      </c>
      <c r="ACC48" s="114"/>
      <c r="ACD48" s="89"/>
      <c r="ACE48" s="82"/>
    </row>
    <row r="49" spans="1:759" ht="12" customHeight="1" x14ac:dyDescent="0.25">
      <c r="A49" s="84"/>
      <c r="B49" s="85"/>
      <c r="C49" s="87"/>
      <c r="D49" s="87">
        <f t="shared" si="2"/>
        <v>1700</v>
      </c>
      <c r="E49" s="114"/>
      <c r="F49" s="211"/>
      <c r="G49" s="382"/>
      <c r="H49" s="72"/>
      <c r="I49" s="90"/>
      <c r="J49" s="87"/>
      <c r="K49" s="87"/>
      <c r="L49" s="87">
        <f t="shared" si="0"/>
        <v>1000</v>
      </c>
      <c r="M49" s="114"/>
      <c r="N49" s="89"/>
      <c r="O49" s="82"/>
      <c r="P49" s="72"/>
      <c r="Q49" s="90"/>
      <c r="R49" s="87"/>
      <c r="S49" s="87"/>
      <c r="T49" s="87">
        <f t="shared" si="1"/>
        <v>4000</v>
      </c>
      <c r="U49" s="114"/>
      <c r="V49" s="89"/>
      <c r="W49" s="82"/>
      <c r="X49" s="72"/>
      <c r="Y49" s="90"/>
      <c r="Z49" s="87"/>
      <c r="AA49" s="87"/>
      <c r="AB49" s="87">
        <f t="shared" si="3"/>
        <v>1000</v>
      </c>
      <c r="AC49" s="114"/>
      <c r="AD49" s="89"/>
      <c r="AE49" s="82"/>
      <c r="AF49" s="72"/>
      <c r="AG49" s="84"/>
      <c r="AH49" s="222"/>
      <c r="AI49" s="222"/>
      <c r="AJ49" s="87">
        <f t="shared" si="4"/>
        <v>2000</v>
      </c>
      <c r="AK49" s="114"/>
      <c r="AL49" s="89"/>
      <c r="AM49" s="82"/>
      <c r="AN49" s="72"/>
      <c r="AO49" s="90"/>
      <c r="AP49" s="87"/>
      <c r="AQ49" s="87"/>
      <c r="AR49" s="87">
        <f t="shared" si="5"/>
        <v>1000</v>
      </c>
      <c r="AS49" s="114"/>
      <c r="AT49" s="89"/>
      <c r="AU49" s="82"/>
      <c r="AV49" s="72"/>
      <c r="AW49" s="90"/>
      <c r="AX49" s="87"/>
      <c r="AY49" s="87"/>
      <c r="AZ49" s="87">
        <f t="shared" si="6"/>
        <v>1150</v>
      </c>
      <c r="BA49" s="114"/>
      <c r="BB49" s="211"/>
      <c r="BC49" s="82"/>
      <c r="BD49" s="72"/>
      <c r="BE49" s="90"/>
      <c r="BF49" s="87"/>
      <c r="BG49" s="87"/>
      <c r="BH49" s="87">
        <f t="shared" si="7"/>
        <v>7000</v>
      </c>
      <c r="BI49" s="114"/>
      <c r="BJ49" s="220"/>
      <c r="BK49" s="82"/>
      <c r="BL49" s="72"/>
      <c r="BM49" s="90"/>
      <c r="BN49" s="87"/>
      <c r="BO49" s="87"/>
      <c r="BP49" s="87">
        <f t="shared" si="8"/>
        <v>1000</v>
      </c>
      <c r="BQ49" s="114"/>
      <c r="BR49" s="89"/>
      <c r="BS49" s="82"/>
      <c r="BT49" s="72"/>
      <c r="BU49" s="90"/>
      <c r="BV49" s="87"/>
      <c r="BW49" s="87"/>
      <c r="BX49" s="87">
        <f t="shared" si="9"/>
        <v>0</v>
      </c>
      <c r="BY49" s="114"/>
      <c r="BZ49" s="89"/>
      <c r="CA49" s="82"/>
      <c r="CB49" s="72"/>
      <c r="CC49" s="90"/>
      <c r="CD49" s="87"/>
      <c r="CE49" s="87"/>
      <c r="CF49" s="87">
        <f t="shared" si="10"/>
        <v>0</v>
      </c>
      <c r="CG49" s="114"/>
      <c r="CH49" s="89"/>
      <c r="CI49" s="82"/>
      <c r="CJ49" s="72"/>
      <c r="CK49" s="90"/>
      <c r="CL49" s="87"/>
      <c r="CM49" s="87"/>
      <c r="CN49" s="87">
        <f t="shared" si="11"/>
        <v>0</v>
      </c>
      <c r="CO49" s="114"/>
      <c r="CP49" s="89"/>
      <c r="CQ49" s="82"/>
      <c r="CR49" s="72"/>
      <c r="CS49" s="90"/>
      <c r="CT49" s="87"/>
      <c r="CU49" s="87"/>
      <c r="CV49" s="87">
        <f t="shared" si="12"/>
        <v>0</v>
      </c>
      <c r="CW49" s="114"/>
      <c r="CX49" s="220"/>
      <c r="CY49" s="82"/>
      <c r="CZ49" s="72"/>
      <c r="DA49" s="90"/>
      <c r="DB49" s="87"/>
      <c r="DC49" s="87"/>
      <c r="DD49" s="87">
        <f t="shared" si="13"/>
        <v>0</v>
      </c>
      <c r="DE49" s="114"/>
      <c r="DF49" s="89"/>
      <c r="DG49" s="82"/>
      <c r="DH49" s="72"/>
      <c r="DI49" s="90"/>
      <c r="DJ49" s="87"/>
      <c r="DK49" s="87"/>
      <c r="DL49" s="87">
        <f t="shared" si="14"/>
        <v>0</v>
      </c>
      <c r="DM49" s="114"/>
      <c r="DN49" s="89"/>
      <c r="DO49" s="82"/>
      <c r="DP49" s="72"/>
      <c r="DQ49" s="90"/>
      <c r="DR49" s="87"/>
      <c r="DS49" s="87"/>
      <c r="DT49" s="87">
        <f t="shared" si="15"/>
        <v>0</v>
      </c>
      <c r="DU49" s="114"/>
      <c r="DV49" s="89"/>
      <c r="DW49" s="82"/>
      <c r="DX49" s="72"/>
      <c r="DY49" s="90"/>
      <c r="DZ49" s="87"/>
      <c r="EA49" s="87"/>
      <c r="EB49" s="87">
        <f t="shared" si="16"/>
        <v>0</v>
      </c>
      <c r="EC49" s="114"/>
      <c r="ED49" s="89"/>
      <c r="EE49" s="82"/>
      <c r="EF49" s="72"/>
      <c r="EG49" s="90"/>
      <c r="EH49" s="87"/>
      <c r="EI49" s="87"/>
      <c r="EJ49" s="87">
        <f t="shared" si="17"/>
        <v>0</v>
      </c>
      <c r="EK49" s="114"/>
      <c r="EL49" s="89"/>
      <c r="EM49" s="82"/>
      <c r="EO49" s="90"/>
      <c r="EP49" s="87"/>
      <c r="EQ49" s="87"/>
      <c r="ER49" s="87">
        <f t="shared" si="18"/>
        <v>0</v>
      </c>
      <c r="ES49" s="114"/>
      <c r="ET49" s="89"/>
      <c r="EU49" s="82"/>
      <c r="EW49" s="90"/>
      <c r="EX49" s="87"/>
      <c r="EY49" s="87"/>
      <c r="EZ49" s="87">
        <f t="shared" si="19"/>
        <v>0</v>
      </c>
      <c r="FA49" s="114"/>
      <c r="FB49" s="89"/>
      <c r="FC49" s="82"/>
      <c r="FE49" s="90"/>
      <c r="FF49" s="87"/>
      <c r="FG49" s="87"/>
      <c r="FH49" s="87">
        <f t="shared" si="93"/>
        <v>0</v>
      </c>
      <c r="FI49" s="114"/>
      <c r="FJ49" s="89"/>
      <c r="FK49" s="82"/>
      <c r="FM49" s="90"/>
      <c r="FN49" s="87"/>
      <c r="FO49" s="87"/>
      <c r="FP49" s="87">
        <f t="shared" si="20"/>
        <v>0</v>
      </c>
      <c r="FQ49" s="114"/>
      <c r="FR49" s="89"/>
      <c r="FS49" s="82"/>
      <c r="FT49" s="72"/>
      <c r="FU49" s="90"/>
      <c r="FV49" s="87"/>
      <c r="FW49" s="87"/>
      <c r="FX49" s="87">
        <f t="shared" si="21"/>
        <v>0</v>
      </c>
      <c r="FY49" s="165"/>
      <c r="FZ49" s="89"/>
      <c r="GA49" s="82"/>
      <c r="GC49" s="90"/>
      <c r="GD49" s="87"/>
      <c r="GE49" s="87"/>
      <c r="GF49" s="87">
        <f t="shared" si="22"/>
        <v>0</v>
      </c>
      <c r="GG49" s="114"/>
      <c r="GH49" s="89"/>
      <c r="GI49" s="82"/>
      <c r="GK49" s="90"/>
      <c r="GL49" s="87"/>
      <c r="GM49" s="87"/>
      <c r="GN49" s="87">
        <f t="shared" si="23"/>
        <v>0</v>
      </c>
      <c r="GO49" s="114"/>
      <c r="GP49" s="89"/>
      <c r="GQ49" s="82"/>
      <c r="GS49" s="90"/>
      <c r="GT49" s="87"/>
      <c r="GU49" s="87"/>
      <c r="GV49" s="87">
        <f t="shared" si="24"/>
        <v>0</v>
      </c>
      <c r="GW49" s="114"/>
      <c r="GX49" s="89"/>
      <c r="GY49" s="82"/>
      <c r="HA49" s="90"/>
      <c r="HB49" s="87"/>
      <c r="HC49" s="87"/>
      <c r="HD49" s="87">
        <f t="shared" si="25"/>
        <v>0</v>
      </c>
      <c r="HE49" s="114"/>
      <c r="HF49" s="89"/>
      <c r="HG49" s="82"/>
      <c r="HI49" s="90"/>
      <c r="HJ49" s="87"/>
      <c r="HK49" s="87"/>
      <c r="HL49" s="87">
        <f t="shared" si="26"/>
        <v>0</v>
      </c>
      <c r="HM49" s="114"/>
      <c r="HN49" s="89"/>
      <c r="HO49" s="82"/>
      <c r="HQ49" s="90"/>
      <c r="HR49" s="87"/>
      <c r="HS49" s="87"/>
      <c r="HT49" s="87">
        <f t="shared" si="27"/>
        <v>0</v>
      </c>
      <c r="HU49" s="114"/>
      <c r="HV49" s="89"/>
      <c r="HW49" s="82"/>
      <c r="HY49" s="90"/>
      <c r="HZ49" s="87"/>
      <c r="IA49" s="87"/>
      <c r="IB49" s="87">
        <f t="shared" si="28"/>
        <v>0</v>
      </c>
      <c r="IC49" s="114"/>
      <c r="ID49" s="89"/>
      <c r="IE49" s="82"/>
      <c r="IG49" s="90"/>
      <c r="IH49" s="87"/>
      <c r="II49" s="87"/>
      <c r="IJ49" s="87">
        <f t="shared" si="29"/>
        <v>0</v>
      </c>
      <c r="IK49" s="114"/>
      <c r="IL49" s="89"/>
      <c r="IM49" s="82"/>
      <c r="IO49" s="90"/>
      <c r="IP49" s="87"/>
      <c r="IQ49" s="87"/>
      <c r="IR49" s="87">
        <f t="shared" si="30"/>
        <v>0</v>
      </c>
      <c r="IS49" s="114"/>
      <c r="IT49" s="89"/>
      <c r="IU49" s="82"/>
      <c r="IW49" s="90"/>
      <c r="IX49" s="87"/>
      <c r="IY49" s="87"/>
      <c r="IZ49" s="87">
        <f t="shared" si="31"/>
        <v>0</v>
      </c>
      <c r="JA49" s="114"/>
      <c r="JB49" s="89"/>
      <c r="JC49" s="82"/>
      <c r="JE49" s="90"/>
      <c r="JF49" s="87"/>
      <c r="JG49" s="87"/>
      <c r="JH49" s="87">
        <f t="shared" si="32"/>
        <v>0</v>
      </c>
      <c r="JI49" s="114"/>
      <c r="JJ49" s="89"/>
      <c r="JK49" s="82"/>
      <c r="JM49" s="90"/>
      <c r="JN49" s="87"/>
      <c r="JO49" s="87"/>
      <c r="JP49" s="87">
        <f t="shared" si="33"/>
        <v>0</v>
      </c>
      <c r="JQ49" s="114"/>
      <c r="JR49" s="91"/>
      <c r="JS49" s="82"/>
      <c r="JU49" s="90"/>
      <c r="JV49" s="87"/>
      <c r="JW49" s="87"/>
      <c r="JX49" s="87">
        <f t="shared" si="94"/>
        <v>0</v>
      </c>
      <c r="JY49" s="114"/>
      <c r="JZ49" s="89"/>
      <c r="KA49" s="82"/>
      <c r="KC49" s="90"/>
      <c r="KD49" s="87"/>
      <c r="KE49" s="87"/>
      <c r="KF49" s="87">
        <f t="shared" si="34"/>
        <v>0</v>
      </c>
      <c r="KG49" s="114"/>
      <c r="KH49" s="86"/>
      <c r="KI49" s="109"/>
      <c r="KK49" s="90"/>
      <c r="KL49" s="87"/>
      <c r="KM49" s="87"/>
      <c r="KN49" s="87">
        <f t="shared" si="35"/>
        <v>0</v>
      </c>
      <c r="KO49" s="114"/>
      <c r="KP49" s="89"/>
      <c r="KQ49" s="82"/>
      <c r="KS49" s="90"/>
      <c r="KT49" s="87"/>
      <c r="KU49" s="87"/>
      <c r="KV49" s="87">
        <f t="shared" si="36"/>
        <v>0</v>
      </c>
      <c r="KW49" s="114"/>
      <c r="KX49" s="89"/>
      <c r="KY49" s="82"/>
      <c r="LA49" s="90"/>
      <c r="LB49" s="87"/>
      <c r="LC49" s="87"/>
      <c r="LD49" s="87">
        <f t="shared" si="37"/>
        <v>0</v>
      </c>
      <c r="LE49" s="114"/>
      <c r="LF49" s="89"/>
      <c r="LG49" s="82"/>
      <c r="LI49" s="90"/>
      <c r="LJ49" s="87"/>
      <c r="LK49" s="87"/>
      <c r="LL49" s="87">
        <f t="shared" si="38"/>
        <v>0</v>
      </c>
      <c r="LM49" s="114"/>
      <c r="LN49" s="89"/>
      <c r="LO49" s="82"/>
      <c r="LQ49" s="90"/>
      <c r="LR49" s="87"/>
      <c r="LS49" s="87"/>
      <c r="LT49" s="87">
        <f t="shared" si="39"/>
        <v>0</v>
      </c>
      <c r="LU49" s="114"/>
      <c r="LV49" s="89"/>
      <c r="LW49" s="82"/>
      <c r="LY49" s="90"/>
      <c r="LZ49" s="87"/>
      <c r="MA49" s="87"/>
      <c r="MB49" s="87">
        <f t="shared" si="40"/>
        <v>0</v>
      </c>
      <c r="MC49" s="114"/>
      <c r="MD49" s="89"/>
      <c r="ME49" s="82"/>
      <c r="MG49" s="90"/>
      <c r="MH49" s="87"/>
      <c r="MI49" s="87"/>
      <c r="MJ49" s="87">
        <f t="shared" si="41"/>
        <v>0</v>
      </c>
      <c r="MK49" s="114"/>
      <c r="ML49" s="89"/>
      <c r="MM49" s="82"/>
      <c r="MO49" s="90"/>
      <c r="MP49" s="87"/>
      <c r="MQ49" s="87"/>
      <c r="MR49" s="87">
        <f t="shared" si="42"/>
        <v>0</v>
      </c>
      <c r="MS49" s="114"/>
      <c r="MT49" s="89"/>
      <c r="MU49" s="82"/>
      <c r="MW49" s="90"/>
      <c r="MX49" s="87"/>
      <c r="MY49" s="87"/>
      <c r="MZ49" s="87">
        <f t="shared" si="43"/>
        <v>0</v>
      </c>
      <c r="NA49" s="114"/>
      <c r="NB49" s="89"/>
      <c r="NC49" s="82"/>
      <c r="NE49" s="90"/>
      <c r="NF49" s="87"/>
      <c r="NG49" s="87"/>
      <c r="NH49" s="87">
        <f t="shared" si="44"/>
        <v>0</v>
      </c>
      <c r="NI49" s="114"/>
      <c r="NJ49" s="89"/>
      <c r="NK49" s="82"/>
      <c r="NM49" s="90"/>
      <c r="NN49" s="87"/>
      <c r="NO49" s="87"/>
      <c r="NP49" s="87">
        <f t="shared" si="45"/>
        <v>0</v>
      </c>
      <c r="NQ49" s="114"/>
      <c r="NR49" s="89"/>
      <c r="NS49" s="82"/>
      <c r="NU49" s="90"/>
      <c r="NV49" s="87"/>
      <c r="NW49" s="87"/>
      <c r="NX49" s="87">
        <f t="shared" si="46"/>
        <v>0</v>
      </c>
      <c r="NY49" s="114"/>
      <c r="NZ49" s="89"/>
      <c r="OA49" s="82"/>
      <c r="OC49" s="90"/>
      <c r="OD49" s="87"/>
      <c r="OE49" s="87"/>
      <c r="OF49" s="87">
        <f t="shared" si="47"/>
        <v>0</v>
      </c>
      <c r="OG49" s="114"/>
      <c r="OH49" s="89"/>
      <c r="OI49" s="82"/>
      <c r="OK49" s="90"/>
      <c r="OL49" s="87"/>
      <c r="OM49" s="87"/>
      <c r="ON49" s="87">
        <f t="shared" si="48"/>
        <v>0</v>
      </c>
      <c r="OO49" s="114"/>
      <c r="OP49" s="89"/>
      <c r="OQ49" s="82"/>
      <c r="OS49" s="90"/>
      <c r="OT49" s="87"/>
      <c r="OU49" s="87"/>
      <c r="OV49" s="87">
        <f t="shared" si="49"/>
        <v>0</v>
      </c>
      <c r="OW49" s="114"/>
      <c r="OX49" s="89"/>
      <c r="OY49" s="82"/>
      <c r="PA49" s="90"/>
      <c r="PB49" s="87"/>
      <c r="PC49" s="87"/>
      <c r="PD49" s="87">
        <f t="shared" si="50"/>
        <v>0</v>
      </c>
      <c r="PE49" s="114"/>
      <c r="PF49" s="89"/>
      <c r="PG49" s="82"/>
      <c r="PI49" s="90"/>
      <c r="PJ49" s="87"/>
      <c r="PK49" s="87"/>
      <c r="PL49" s="87">
        <f t="shared" si="51"/>
        <v>0</v>
      </c>
      <c r="PM49" s="114"/>
      <c r="PN49" s="211"/>
      <c r="PO49" s="216"/>
      <c r="PQ49" s="90"/>
      <c r="PR49" s="87"/>
      <c r="PS49" s="87"/>
      <c r="PT49" s="87">
        <f t="shared" si="52"/>
        <v>0</v>
      </c>
      <c r="PU49" s="114"/>
      <c r="PV49" s="89"/>
      <c r="PW49" s="82"/>
      <c r="PY49" s="90"/>
      <c r="PZ49" s="87"/>
      <c r="QA49" s="87"/>
      <c r="QB49" s="87">
        <f t="shared" si="53"/>
        <v>0</v>
      </c>
      <c r="QC49" s="114"/>
      <c r="QD49" s="89"/>
      <c r="QE49" s="82"/>
      <c r="QG49" s="90"/>
      <c r="QH49" s="87"/>
      <c r="QI49" s="87"/>
      <c r="QJ49" s="87">
        <f t="shared" si="54"/>
        <v>0</v>
      </c>
      <c r="QK49" s="114"/>
      <c r="QL49" s="89"/>
      <c r="QM49" s="82"/>
      <c r="QO49" s="90"/>
      <c r="QP49" s="87"/>
      <c r="QQ49" s="87"/>
      <c r="QR49" s="87">
        <f t="shared" si="55"/>
        <v>0</v>
      </c>
      <c r="QS49" s="114"/>
      <c r="QT49" s="211"/>
      <c r="QU49" s="216"/>
      <c r="QW49" s="90"/>
      <c r="QX49" s="87"/>
      <c r="QY49" s="87"/>
      <c r="QZ49" s="87">
        <f t="shared" si="56"/>
        <v>0</v>
      </c>
      <c r="RA49" s="114"/>
      <c r="RB49" s="89"/>
      <c r="RC49" s="82"/>
      <c r="RE49" s="90"/>
      <c r="RF49" s="87"/>
      <c r="RG49" s="87"/>
      <c r="RH49" s="87">
        <f t="shared" si="57"/>
        <v>0</v>
      </c>
      <c r="RI49" s="114"/>
      <c r="RJ49" s="89"/>
      <c r="RK49" s="170"/>
      <c r="RM49" s="90"/>
      <c r="RN49" s="87"/>
      <c r="RO49" s="87"/>
      <c r="RP49" s="87">
        <f t="shared" si="58"/>
        <v>0</v>
      </c>
      <c r="RQ49" s="114"/>
      <c r="RR49" s="89"/>
      <c r="RS49" s="82"/>
      <c r="RU49" s="90"/>
      <c r="RV49" s="87"/>
      <c r="RW49" s="87"/>
      <c r="RX49" s="87">
        <f t="shared" si="59"/>
        <v>0</v>
      </c>
      <c r="RY49" s="114"/>
      <c r="RZ49" s="89"/>
      <c r="SA49" s="82"/>
      <c r="SC49" s="90"/>
      <c r="SD49" s="87"/>
      <c r="SE49" s="87"/>
      <c r="SF49" s="87">
        <f t="shared" si="60"/>
        <v>0</v>
      </c>
      <c r="SG49" s="114"/>
      <c r="SH49" s="89"/>
      <c r="SI49" s="82"/>
      <c r="SK49" s="90"/>
      <c r="SL49" s="87"/>
      <c r="SM49" s="87"/>
      <c r="SN49" s="87">
        <f t="shared" si="61"/>
        <v>0</v>
      </c>
      <c r="SO49" s="114"/>
      <c r="SP49" s="89"/>
      <c r="SQ49" s="82"/>
      <c r="SS49" s="90"/>
      <c r="ST49" s="87"/>
      <c r="SU49" s="87"/>
      <c r="SV49" s="87">
        <f t="shared" si="62"/>
        <v>0</v>
      </c>
      <c r="SW49" s="114"/>
      <c r="SX49" s="89"/>
      <c r="SY49" s="82"/>
      <c r="TA49" s="90"/>
      <c r="TB49" s="87"/>
      <c r="TC49" s="87"/>
      <c r="TD49" s="87">
        <f t="shared" si="63"/>
        <v>0</v>
      </c>
      <c r="TE49" s="114"/>
      <c r="TF49" s="89"/>
      <c r="TG49" s="82"/>
      <c r="TI49" s="90"/>
      <c r="TJ49" s="87"/>
      <c r="TK49" s="87"/>
      <c r="TL49" s="87">
        <f t="shared" si="64"/>
        <v>0</v>
      </c>
      <c r="TM49" s="114"/>
      <c r="TN49" s="89"/>
      <c r="TO49" s="82"/>
      <c r="TQ49" s="90"/>
      <c r="TR49" s="87"/>
      <c r="TS49" s="87"/>
      <c r="TT49" s="87">
        <f t="shared" si="65"/>
        <v>0</v>
      </c>
      <c r="TU49" s="114"/>
      <c r="TV49" s="91"/>
      <c r="TW49" s="82"/>
      <c r="TY49" s="90"/>
      <c r="TZ49" s="87"/>
      <c r="UA49" s="87"/>
      <c r="UB49" s="87">
        <f t="shared" si="66"/>
        <v>0</v>
      </c>
      <c r="UC49" s="114"/>
      <c r="UD49" s="89"/>
      <c r="UE49" s="82"/>
      <c r="UG49" s="90"/>
      <c r="UH49" s="87"/>
      <c r="UI49" s="87"/>
      <c r="UJ49" s="87">
        <f t="shared" si="67"/>
        <v>0</v>
      </c>
      <c r="UK49" s="114"/>
      <c r="UL49" s="89"/>
      <c r="UM49" s="82"/>
      <c r="UO49" s="90"/>
      <c r="UP49" s="87"/>
      <c r="UQ49" s="87"/>
      <c r="UR49" s="87">
        <f t="shared" si="68"/>
        <v>0</v>
      </c>
      <c r="US49" s="114"/>
      <c r="UT49" s="89"/>
      <c r="UU49" s="82"/>
      <c r="UW49" s="90"/>
      <c r="UX49" s="87"/>
      <c r="UY49" s="87"/>
      <c r="UZ49" s="87">
        <f t="shared" si="69"/>
        <v>0</v>
      </c>
      <c r="VA49" s="114"/>
      <c r="VB49" s="89"/>
      <c r="VC49" s="82"/>
      <c r="VE49" s="90"/>
      <c r="VF49" s="87"/>
      <c r="VG49" s="87"/>
      <c r="VH49" s="87">
        <f t="shared" si="70"/>
        <v>0</v>
      </c>
      <c r="VI49" s="114"/>
      <c r="VJ49" s="89"/>
      <c r="VK49" s="82"/>
      <c r="VM49" s="90"/>
      <c r="VN49" s="87"/>
      <c r="VO49" s="87"/>
      <c r="VP49" s="87">
        <f t="shared" si="71"/>
        <v>0</v>
      </c>
      <c r="VQ49" s="114"/>
      <c r="VR49" s="89"/>
      <c r="VS49" s="82"/>
      <c r="VU49" s="90"/>
      <c r="VV49" s="87"/>
      <c r="VW49" s="87"/>
      <c r="VX49" s="87">
        <f t="shared" si="72"/>
        <v>0</v>
      </c>
      <c r="VY49" s="114"/>
      <c r="VZ49" s="89"/>
      <c r="WA49" s="82"/>
      <c r="WC49" s="90"/>
      <c r="WD49" s="87"/>
      <c r="WE49" s="87"/>
      <c r="WF49" s="87">
        <f t="shared" si="73"/>
        <v>0</v>
      </c>
      <c r="WG49" s="114"/>
      <c r="WH49" s="89"/>
      <c r="WI49" s="82"/>
      <c r="WK49" s="90"/>
      <c r="WL49" s="87"/>
      <c r="WM49" s="87"/>
      <c r="WN49" s="87">
        <f t="shared" si="74"/>
        <v>0</v>
      </c>
      <c r="WO49" s="114"/>
      <c r="WP49" s="89"/>
      <c r="WQ49" s="82"/>
      <c r="WS49" s="90"/>
      <c r="WT49" s="87"/>
      <c r="WU49" s="87"/>
      <c r="WV49" s="87">
        <f t="shared" si="75"/>
        <v>0</v>
      </c>
      <c r="WW49" s="114"/>
      <c r="WX49" s="89"/>
      <c r="WY49" s="82"/>
      <c r="XA49" s="90"/>
      <c r="XB49" s="87"/>
      <c r="XC49" s="87"/>
      <c r="XD49" s="87">
        <f t="shared" si="76"/>
        <v>0</v>
      </c>
      <c r="XE49" s="114"/>
      <c r="XF49" s="89"/>
      <c r="XG49" s="82"/>
      <c r="XI49" s="90"/>
      <c r="XJ49" s="87"/>
      <c r="XK49" s="87"/>
      <c r="XL49" s="87">
        <f t="shared" si="77"/>
        <v>0</v>
      </c>
      <c r="XM49" s="114"/>
      <c r="XN49" s="89"/>
      <c r="XO49" s="82"/>
      <c r="XQ49" s="90"/>
      <c r="XR49" s="87"/>
      <c r="XS49" s="87"/>
      <c r="XT49" s="87">
        <f t="shared" si="78"/>
        <v>0</v>
      </c>
      <c r="XU49" s="114"/>
      <c r="XV49" s="89"/>
      <c r="XW49" s="82"/>
      <c r="XY49" s="90"/>
      <c r="XZ49" s="87"/>
      <c r="YA49" s="87"/>
      <c r="YB49" s="87">
        <f t="shared" si="79"/>
        <v>0</v>
      </c>
      <c r="YC49" s="114"/>
      <c r="YD49" s="89"/>
      <c r="YE49" s="82"/>
      <c r="YG49" s="90"/>
      <c r="YH49" s="87"/>
      <c r="YI49" s="87"/>
      <c r="YJ49" s="87">
        <f t="shared" si="80"/>
        <v>0</v>
      </c>
      <c r="YK49" s="114"/>
      <c r="YL49" s="89"/>
      <c r="YM49" s="82"/>
      <c r="YO49" s="90"/>
      <c r="YP49" s="87"/>
      <c r="YQ49" s="87"/>
      <c r="YR49" s="87">
        <f t="shared" si="81"/>
        <v>0</v>
      </c>
      <c r="YS49" s="114"/>
      <c r="YT49" s="89"/>
      <c r="YU49" s="82"/>
      <c r="YW49" s="90"/>
      <c r="YX49" s="87"/>
      <c r="YY49" s="87"/>
      <c r="YZ49" s="87">
        <f t="shared" si="82"/>
        <v>0</v>
      </c>
      <c r="ZA49" s="114"/>
      <c r="ZB49" s="89"/>
      <c r="ZC49" s="82"/>
      <c r="ZE49" s="90"/>
      <c r="ZF49" s="87"/>
      <c r="ZG49" s="87"/>
      <c r="ZH49" s="87">
        <f t="shared" si="83"/>
        <v>0</v>
      </c>
      <c r="ZI49" s="114"/>
      <c r="ZJ49" s="89"/>
      <c r="ZK49" s="82"/>
      <c r="ZM49" s="90"/>
      <c r="ZN49" s="87"/>
      <c r="ZO49" s="87"/>
      <c r="ZP49" s="87">
        <f t="shared" si="84"/>
        <v>0</v>
      </c>
      <c r="ZQ49" s="114"/>
      <c r="ZR49" s="89"/>
      <c r="ZS49" s="82"/>
      <c r="ZU49" s="90"/>
      <c r="ZV49" s="87"/>
      <c r="ZW49" s="87"/>
      <c r="ZX49" s="87">
        <f t="shared" si="85"/>
        <v>0</v>
      </c>
      <c r="ZY49" s="114"/>
      <c r="ZZ49" s="89"/>
      <c r="AAA49" s="82"/>
      <c r="AAC49" s="90"/>
      <c r="AAD49" s="87"/>
      <c r="AAE49" s="87"/>
      <c r="AAF49" s="87">
        <f t="shared" si="86"/>
        <v>0</v>
      </c>
      <c r="AAG49" s="114"/>
      <c r="AAH49" s="89"/>
      <c r="AAI49" s="82"/>
      <c r="AAK49" s="90"/>
      <c r="AAL49" s="87"/>
      <c r="AAM49" s="87"/>
      <c r="AAN49" s="87">
        <f t="shared" si="87"/>
        <v>0</v>
      </c>
      <c r="AAO49" s="114"/>
      <c r="AAP49" s="89"/>
      <c r="AAQ49" s="82"/>
      <c r="AAS49" s="90"/>
      <c r="AAT49" s="87"/>
      <c r="AAU49" s="87"/>
      <c r="AAV49" s="87">
        <f t="shared" si="88"/>
        <v>0</v>
      </c>
      <c r="AAW49" s="114"/>
      <c r="AAX49" s="89"/>
      <c r="AAY49" s="82"/>
      <c r="ABA49" s="90"/>
      <c r="ABB49" s="87"/>
      <c r="ABC49" s="87"/>
      <c r="ABD49" s="87">
        <f t="shared" si="89"/>
        <v>0</v>
      </c>
      <c r="ABE49" s="114"/>
      <c r="ABF49" s="89"/>
      <c r="ABG49" s="82"/>
      <c r="ABI49" s="90"/>
      <c r="ABJ49" s="87"/>
      <c r="ABK49" s="87"/>
      <c r="ABL49" s="87">
        <f t="shared" si="90"/>
        <v>0</v>
      </c>
      <c r="ABM49" s="114"/>
      <c r="ABN49" s="89"/>
      <c r="ABO49" s="82"/>
      <c r="ABQ49" s="90"/>
      <c r="ABR49" s="87"/>
      <c r="ABS49" s="87"/>
      <c r="ABT49" s="87">
        <f t="shared" si="91"/>
        <v>0</v>
      </c>
      <c r="ABU49" s="114"/>
      <c r="ABV49" s="89"/>
      <c r="ABW49" s="82"/>
      <c r="ABY49" s="90"/>
      <c r="ABZ49" s="87"/>
      <c r="ACA49" s="87"/>
      <c r="ACB49" s="87">
        <f t="shared" si="92"/>
        <v>0</v>
      </c>
      <c r="ACC49" s="114"/>
      <c r="ACD49" s="89"/>
      <c r="ACE49" s="82"/>
    </row>
    <row r="50" spans="1:759" ht="12" customHeight="1" x14ac:dyDescent="0.25">
      <c r="A50" s="103"/>
      <c r="B50" s="85"/>
      <c r="C50" s="87"/>
      <c r="D50" s="87">
        <f t="shared" si="2"/>
        <v>1700</v>
      </c>
      <c r="E50" s="114"/>
      <c r="F50" s="211"/>
      <c r="G50" s="382"/>
      <c r="H50" s="72"/>
      <c r="I50" s="90"/>
      <c r="J50" s="87"/>
      <c r="K50" s="87"/>
      <c r="L50" s="87">
        <f t="shared" si="0"/>
        <v>1000</v>
      </c>
      <c r="M50" s="114"/>
      <c r="N50" s="89"/>
      <c r="O50" s="82"/>
      <c r="P50" s="72"/>
      <c r="Q50" s="90"/>
      <c r="R50" s="87"/>
      <c r="S50" s="87"/>
      <c r="T50" s="87">
        <f t="shared" si="1"/>
        <v>4000</v>
      </c>
      <c r="U50" s="114"/>
      <c r="V50" s="89"/>
      <c r="W50" s="82"/>
      <c r="X50" s="72"/>
      <c r="Y50" s="90"/>
      <c r="Z50" s="87"/>
      <c r="AA50" s="87"/>
      <c r="AB50" s="87">
        <f t="shared" si="3"/>
        <v>1000</v>
      </c>
      <c r="AC50" s="114"/>
      <c r="AD50" s="89"/>
      <c r="AE50" s="82"/>
      <c r="AF50" s="72"/>
      <c r="AG50" s="84"/>
      <c r="AH50" s="222"/>
      <c r="AI50" s="222"/>
      <c r="AJ50" s="87">
        <f t="shared" si="4"/>
        <v>2000</v>
      </c>
      <c r="AK50" s="114"/>
      <c r="AL50" s="89"/>
      <c r="AM50" s="82"/>
      <c r="AN50" s="72"/>
      <c r="AO50" s="90"/>
      <c r="AP50" s="87"/>
      <c r="AQ50" s="87"/>
      <c r="AR50" s="87">
        <f t="shared" si="5"/>
        <v>1000</v>
      </c>
      <c r="AS50" s="114"/>
      <c r="AT50" s="89"/>
      <c r="AU50" s="82"/>
      <c r="AV50" s="72"/>
      <c r="AW50" s="90"/>
      <c r="AX50" s="87"/>
      <c r="AY50" s="87"/>
      <c r="AZ50" s="87">
        <f t="shared" si="6"/>
        <v>1150</v>
      </c>
      <c r="BA50" s="114"/>
      <c r="BB50" s="211"/>
      <c r="BC50" s="82"/>
      <c r="BD50" s="72"/>
      <c r="BE50" s="90"/>
      <c r="BF50" s="87"/>
      <c r="BG50" s="87"/>
      <c r="BH50" s="87">
        <f t="shared" si="7"/>
        <v>7000</v>
      </c>
      <c r="BI50" s="114"/>
      <c r="BJ50" s="220"/>
      <c r="BK50" s="82"/>
      <c r="BL50" s="72"/>
      <c r="BM50" s="90"/>
      <c r="BN50" s="87"/>
      <c r="BO50" s="87"/>
      <c r="BP50" s="87">
        <f t="shared" si="8"/>
        <v>1000</v>
      </c>
      <c r="BQ50" s="114"/>
      <c r="BR50" s="89"/>
      <c r="BS50" s="82"/>
      <c r="BT50" s="72"/>
      <c r="BU50" s="90"/>
      <c r="BV50" s="87"/>
      <c r="BW50" s="87"/>
      <c r="BX50" s="87">
        <f t="shared" si="9"/>
        <v>0</v>
      </c>
      <c r="BY50" s="114"/>
      <c r="BZ50" s="89"/>
      <c r="CA50" s="82"/>
      <c r="CB50" s="72"/>
      <c r="CC50" s="90"/>
      <c r="CD50" s="87"/>
      <c r="CE50" s="87"/>
      <c r="CF50" s="87">
        <f t="shared" si="10"/>
        <v>0</v>
      </c>
      <c r="CG50" s="114"/>
      <c r="CH50" s="89"/>
      <c r="CI50" s="82"/>
      <c r="CJ50" s="72"/>
      <c r="CK50" s="90"/>
      <c r="CL50" s="87"/>
      <c r="CM50" s="87"/>
      <c r="CN50" s="87">
        <f t="shared" si="11"/>
        <v>0</v>
      </c>
      <c r="CO50" s="114"/>
      <c r="CP50" s="89"/>
      <c r="CQ50" s="82"/>
      <c r="CR50" s="72"/>
      <c r="CS50" s="90"/>
      <c r="CT50" s="87"/>
      <c r="CU50" s="87"/>
      <c r="CV50" s="87">
        <f t="shared" si="12"/>
        <v>0</v>
      </c>
      <c r="CW50" s="114"/>
      <c r="CX50" s="220"/>
      <c r="CY50" s="82"/>
      <c r="CZ50" s="72"/>
      <c r="DA50" s="90"/>
      <c r="DB50" s="87"/>
      <c r="DC50" s="87"/>
      <c r="DD50" s="87">
        <f t="shared" si="13"/>
        <v>0</v>
      </c>
      <c r="DE50" s="114"/>
      <c r="DF50" s="89"/>
      <c r="DG50" s="82"/>
      <c r="DH50" s="72"/>
      <c r="DI50" s="90"/>
      <c r="DJ50" s="87"/>
      <c r="DK50" s="87"/>
      <c r="DL50" s="87">
        <f t="shared" si="14"/>
        <v>0</v>
      </c>
      <c r="DM50" s="114"/>
      <c r="DN50" s="89"/>
      <c r="DO50" s="82"/>
      <c r="DP50" s="72"/>
      <c r="DQ50" s="90"/>
      <c r="DR50" s="87"/>
      <c r="DS50" s="87"/>
      <c r="DT50" s="87">
        <f t="shared" si="15"/>
        <v>0</v>
      </c>
      <c r="DU50" s="114"/>
      <c r="DV50" s="89"/>
      <c r="DW50" s="82"/>
      <c r="DX50" s="72"/>
      <c r="DY50" s="90"/>
      <c r="DZ50" s="87"/>
      <c r="EA50" s="87"/>
      <c r="EB50" s="87">
        <f t="shared" si="16"/>
        <v>0</v>
      </c>
      <c r="EC50" s="114"/>
      <c r="ED50" s="89"/>
      <c r="EE50" s="82"/>
      <c r="EF50" s="72"/>
      <c r="EG50" s="90"/>
      <c r="EH50" s="87"/>
      <c r="EI50" s="87"/>
      <c r="EJ50" s="87">
        <f t="shared" si="17"/>
        <v>0</v>
      </c>
      <c r="EK50" s="114"/>
      <c r="EL50" s="89"/>
      <c r="EM50" s="82"/>
      <c r="EO50" s="90"/>
      <c r="EP50" s="87"/>
      <c r="EQ50" s="87"/>
      <c r="ER50" s="87">
        <f t="shared" si="18"/>
        <v>0</v>
      </c>
      <c r="ES50" s="114"/>
      <c r="ET50" s="89"/>
      <c r="EU50" s="82"/>
      <c r="EW50" s="90"/>
      <c r="EX50" s="87"/>
      <c r="EY50" s="87"/>
      <c r="EZ50" s="87">
        <f t="shared" si="19"/>
        <v>0</v>
      </c>
      <c r="FA50" s="114"/>
      <c r="FB50" s="89"/>
      <c r="FC50" s="82"/>
      <c r="FE50" s="90"/>
      <c r="FF50" s="87"/>
      <c r="FG50" s="87"/>
      <c r="FH50" s="87">
        <f t="shared" si="93"/>
        <v>0</v>
      </c>
      <c r="FI50" s="114"/>
      <c r="FJ50" s="89"/>
      <c r="FK50" s="82"/>
      <c r="FM50" s="90"/>
      <c r="FN50" s="87"/>
      <c r="FO50" s="87"/>
      <c r="FP50" s="87">
        <f t="shared" si="20"/>
        <v>0</v>
      </c>
      <c r="FQ50" s="114"/>
      <c r="FR50" s="89"/>
      <c r="FS50" s="82"/>
      <c r="FT50" s="72"/>
      <c r="FU50" s="90"/>
      <c r="FV50" s="87"/>
      <c r="FW50" s="87"/>
      <c r="FX50" s="87">
        <f t="shared" si="21"/>
        <v>0</v>
      </c>
      <c r="FY50" s="165"/>
      <c r="FZ50" s="89"/>
      <c r="GA50" s="82"/>
      <c r="GC50" s="90"/>
      <c r="GD50" s="87"/>
      <c r="GE50" s="87"/>
      <c r="GF50" s="87">
        <f t="shared" si="22"/>
        <v>0</v>
      </c>
      <c r="GG50" s="114"/>
      <c r="GH50" s="89"/>
      <c r="GI50" s="82"/>
      <c r="GK50" s="90"/>
      <c r="GL50" s="87"/>
      <c r="GM50" s="87"/>
      <c r="GN50" s="87">
        <f t="shared" si="23"/>
        <v>0</v>
      </c>
      <c r="GO50" s="114"/>
      <c r="GP50" s="89"/>
      <c r="GQ50" s="82"/>
      <c r="GS50" s="90"/>
      <c r="GT50" s="87"/>
      <c r="GU50" s="87"/>
      <c r="GV50" s="87">
        <f t="shared" si="24"/>
        <v>0</v>
      </c>
      <c r="GW50" s="114"/>
      <c r="GX50" s="89"/>
      <c r="GY50" s="82"/>
      <c r="HA50" s="90"/>
      <c r="HB50" s="87"/>
      <c r="HC50" s="87"/>
      <c r="HD50" s="87">
        <f t="shared" si="25"/>
        <v>0</v>
      </c>
      <c r="HE50" s="114"/>
      <c r="HF50" s="89"/>
      <c r="HG50" s="82"/>
      <c r="HI50" s="90"/>
      <c r="HJ50" s="87"/>
      <c r="HK50" s="87"/>
      <c r="HL50" s="87">
        <f t="shared" si="26"/>
        <v>0</v>
      </c>
      <c r="HM50" s="114"/>
      <c r="HN50" s="89"/>
      <c r="HO50" s="82"/>
      <c r="HQ50" s="90"/>
      <c r="HR50" s="87"/>
      <c r="HS50" s="87"/>
      <c r="HT50" s="87">
        <f t="shared" si="27"/>
        <v>0</v>
      </c>
      <c r="HU50" s="114"/>
      <c r="HV50" s="89"/>
      <c r="HW50" s="82"/>
      <c r="HY50" s="90"/>
      <c r="HZ50" s="87"/>
      <c r="IA50" s="87"/>
      <c r="IB50" s="87">
        <f t="shared" si="28"/>
        <v>0</v>
      </c>
      <c r="IC50" s="114"/>
      <c r="ID50" s="89"/>
      <c r="IE50" s="82"/>
      <c r="IG50" s="90"/>
      <c r="IH50" s="87"/>
      <c r="II50" s="87"/>
      <c r="IJ50" s="87">
        <f t="shared" si="29"/>
        <v>0</v>
      </c>
      <c r="IK50" s="114"/>
      <c r="IL50" s="89"/>
      <c r="IM50" s="82"/>
      <c r="IO50" s="90"/>
      <c r="IP50" s="87"/>
      <c r="IQ50" s="87"/>
      <c r="IR50" s="87">
        <f t="shared" si="30"/>
        <v>0</v>
      </c>
      <c r="IS50" s="114"/>
      <c r="IT50" s="89"/>
      <c r="IU50" s="82"/>
      <c r="IW50" s="90"/>
      <c r="IX50" s="87"/>
      <c r="IY50" s="87"/>
      <c r="IZ50" s="87">
        <f t="shared" si="31"/>
        <v>0</v>
      </c>
      <c r="JA50" s="114"/>
      <c r="JB50" s="89"/>
      <c r="JC50" s="82"/>
      <c r="JE50" s="90"/>
      <c r="JF50" s="87"/>
      <c r="JG50" s="87"/>
      <c r="JH50" s="87">
        <f t="shared" si="32"/>
        <v>0</v>
      </c>
      <c r="JI50" s="114"/>
      <c r="JJ50" s="89"/>
      <c r="JK50" s="82"/>
      <c r="JM50" s="90"/>
      <c r="JN50" s="87"/>
      <c r="JO50" s="87"/>
      <c r="JP50" s="87">
        <f t="shared" si="33"/>
        <v>0</v>
      </c>
      <c r="JQ50" s="114"/>
      <c r="JR50" s="91"/>
      <c r="JS50" s="82"/>
      <c r="JU50" s="90"/>
      <c r="JV50" s="87"/>
      <c r="JW50" s="87"/>
      <c r="JX50" s="87">
        <f t="shared" si="94"/>
        <v>0</v>
      </c>
      <c r="JY50" s="114"/>
      <c r="JZ50" s="89"/>
      <c r="KA50" s="82"/>
      <c r="KC50" s="90"/>
      <c r="KD50" s="87"/>
      <c r="KE50" s="87"/>
      <c r="KF50" s="87">
        <f t="shared" si="34"/>
        <v>0</v>
      </c>
      <c r="KG50" s="114"/>
      <c r="KH50" s="86"/>
      <c r="KI50" s="109"/>
      <c r="KK50" s="90"/>
      <c r="KL50" s="87"/>
      <c r="KM50" s="87"/>
      <c r="KN50" s="87">
        <f t="shared" si="35"/>
        <v>0</v>
      </c>
      <c r="KO50" s="114"/>
      <c r="KP50" s="89"/>
      <c r="KQ50" s="82"/>
      <c r="KS50" s="90"/>
      <c r="KT50" s="87"/>
      <c r="KU50" s="87"/>
      <c r="KV50" s="87">
        <f t="shared" si="36"/>
        <v>0</v>
      </c>
      <c r="KW50" s="114"/>
      <c r="KX50" s="89"/>
      <c r="KY50" s="82"/>
      <c r="LA50" s="90"/>
      <c r="LB50" s="87"/>
      <c r="LC50" s="87"/>
      <c r="LD50" s="87">
        <f t="shared" si="37"/>
        <v>0</v>
      </c>
      <c r="LE50" s="114"/>
      <c r="LF50" s="89"/>
      <c r="LG50" s="82"/>
      <c r="LI50" s="90"/>
      <c r="LJ50" s="87"/>
      <c r="LK50" s="87"/>
      <c r="LL50" s="87">
        <f t="shared" si="38"/>
        <v>0</v>
      </c>
      <c r="LM50" s="114"/>
      <c r="LN50" s="89"/>
      <c r="LO50" s="82"/>
      <c r="LQ50" s="90"/>
      <c r="LR50" s="87"/>
      <c r="LS50" s="87"/>
      <c r="LT50" s="87">
        <f t="shared" si="39"/>
        <v>0</v>
      </c>
      <c r="LU50" s="114"/>
      <c r="LV50" s="89"/>
      <c r="LW50" s="82"/>
      <c r="LY50" s="90"/>
      <c r="LZ50" s="87"/>
      <c r="MA50" s="87"/>
      <c r="MB50" s="87">
        <f t="shared" si="40"/>
        <v>0</v>
      </c>
      <c r="MC50" s="114"/>
      <c r="MD50" s="89"/>
      <c r="ME50" s="82"/>
      <c r="MG50" s="90"/>
      <c r="MH50" s="87"/>
      <c r="MI50" s="87"/>
      <c r="MJ50" s="87">
        <f t="shared" si="41"/>
        <v>0</v>
      </c>
      <c r="MK50" s="114"/>
      <c r="ML50" s="89"/>
      <c r="MM50" s="82"/>
      <c r="MO50" s="90"/>
      <c r="MP50" s="87"/>
      <c r="MQ50" s="87"/>
      <c r="MR50" s="87">
        <f t="shared" si="42"/>
        <v>0</v>
      </c>
      <c r="MS50" s="114"/>
      <c r="MT50" s="89"/>
      <c r="MU50" s="82"/>
      <c r="MW50" s="90"/>
      <c r="MX50" s="87"/>
      <c r="MY50" s="87"/>
      <c r="MZ50" s="87">
        <f t="shared" si="43"/>
        <v>0</v>
      </c>
      <c r="NA50" s="114"/>
      <c r="NB50" s="89"/>
      <c r="NC50" s="82"/>
      <c r="NE50" s="90"/>
      <c r="NF50" s="87"/>
      <c r="NG50" s="87"/>
      <c r="NH50" s="87">
        <f t="shared" si="44"/>
        <v>0</v>
      </c>
      <c r="NI50" s="114"/>
      <c r="NJ50" s="89"/>
      <c r="NK50" s="82"/>
      <c r="NM50" s="90"/>
      <c r="NN50" s="87"/>
      <c r="NO50" s="87"/>
      <c r="NP50" s="87">
        <f t="shared" si="45"/>
        <v>0</v>
      </c>
      <c r="NQ50" s="114"/>
      <c r="NR50" s="89"/>
      <c r="NS50" s="82"/>
      <c r="NU50" s="90"/>
      <c r="NV50" s="87"/>
      <c r="NW50" s="87"/>
      <c r="NX50" s="87">
        <f t="shared" si="46"/>
        <v>0</v>
      </c>
      <c r="NY50" s="114"/>
      <c r="NZ50" s="89"/>
      <c r="OA50" s="82"/>
      <c r="OC50" s="90"/>
      <c r="OD50" s="87"/>
      <c r="OE50" s="87"/>
      <c r="OF50" s="87">
        <f t="shared" si="47"/>
        <v>0</v>
      </c>
      <c r="OG50" s="114"/>
      <c r="OH50" s="89"/>
      <c r="OI50" s="82"/>
      <c r="OK50" s="90"/>
      <c r="OL50" s="87"/>
      <c r="OM50" s="87"/>
      <c r="ON50" s="87">
        <f t="shared" si="48"/>
        <v>0</v>
      </c>
      <c r="OO50" s="114"/>
      <c r="OP50" s="89"/>
      <c r="OQ50" s="82"/>
      <c r="OS50" s="90"/>
      <c r="OT50" s="87"/>
      <c r="OU50" s="87"/>
      <c r="OV50" s="87">
        <f t="shared" si="49"/>
        <v>0</v>
      </c>
      <c r="OW50" s="114"/>
      <c r="OX50" s="89"/>
      <c r="OY50" s="82"/>
      <c r="PA50" s="90"/>
      <c r="PB50" s="87"/>
      <c r="PC50" s="87"/>
      <c r="PD50" s="87">
        <f t="shared" si="50"/>
        <v>0</v>
      </c>
      <c r="PE50" s="114"/>
      <c r="PF50" s="89"/>
      <c r="PG50" s="82"/>
      <c r="PI50" s="90"/>
      <c r="PJ50" s="87"/>
      <c r="PK50" s="87"/>
      <c r="PL50" s="87">
        <f t="shared" si="51"/>
        <v>0</v>
      </c>
      <c r="PM50" s="114"/>
      <c r="PN50" s="211"/>
      <c r="PO50" s="216"/>
      <c r="PQ50" s="90"/>
      <c r="PR50" s="87"/>
      <c r="PS50" s="87"/>
      <c r="PT50" s="87">
        <f t="shared" si="52"/>
        <v>0</v>
      </c>
      <c r="PU50" s="114"/>
      <c r="PV50" s="89"/>
      <c r="PW50" s="82"/>
      <c r="PY50" s="90"/>
      <c r="PZ50" s="87"/>
      <c r="QA50" s="87"/>
      <c r="QB50" s="87">
        <f t="shared" si="53"/>
        <v>0</v>
      </c>
      <c r="QC50" s="114"/>
      <c r="QD50" s="89"/>
      <c r="QE50" s="82"/>
      <c r="QG50" s="90"/>
      <c r="QH50" s="87"/>
      <c r="QI50" s="87"/>
      <c r="QJ50" s="87">
        <f t="shared" si="54"/>
        <v>0</v>
      </c>
      <c r="QK50" s="114"/>
      <c r="QL50" s="89"/>
      <c r="QM50" s="82"/>
      <c r="QO50" s="90"/>
      <c r="QP50" s="87"/>
      <c r="QQ50" s="87"/>
      <c r="QR50" s="87">
        <f t="shared" si="55"/>
        <v>0</v>
      </c>
      <c r="QS50" s="114"/>
      <c r="QT50" s="211"/>
      <c r="QU50" s="216"/>
      <c r="QW50" s="90"/>
      <c r="QX50" s="87"/>
      <c r="QY50" s="87"/>
      <c r="QZ50" s="87">
        <f t="shared" si="56"/>
        <v>0</v>
      </c>
      <c r="RA50" s="114"/>
      <c r="RB50" s="89"/>
      <c r="RC50" s="82"/>
      <c r="RE50" s="90"/>
      <c r="RF50" s="87"/>
      <c r="RG50" s="87"/>
      <c r="RH50" s="87">
        <f t="shared" si="57"/>
        <v>0</v>
      </c>
      <c r="RI50" s="114"/>
      <c r="RJ50" s="89"/>
      <c r="RK50" s="170"/>
      <c r="RM50" s="90"/>
      <c r="RN50" s="87"/>
      <c r="RO50" s="87"/>
      <c r="RP50" s="87">
        <f t="shared" si="58"/>
        <v>0</v>
      </c>
      <c r="RQ50" s="114"/>
      <c r="RR50" s="89"/>
      <c r="RS50" s="82"/>
      <c r="RU50" s="90"/>
      <c r="RV50" s="87"/>
      <c r="RW50" s="87"/>
      <c r="RX50" s="87">
        <f t="shared" si="59"/>
        <v>0</v>
      </c>
      <c r="RY50" s="114"/>
      <c r="RZ50" s="89"/>
      <c r="SA50" s="82"/>
      <c r="SC50" s="90"/>
      <c r="SD50" s="87"/>
      <c r="SE50" s="87"/>
      <c r="SF50" s="87">
        <f t="shared" si="60"/>
        <v>0</v>
      </c>
      <c r="SG50" s="114"/>
      <c r="SH50" s="89"/>
      <c r="SI50" s="82"/>
      <c r="SK50" s="90"/>
      <c r="SL50" s="87"/>
      <c r="SM50" s="87"/>
      <c r="SN50" s="87">
        <f t="shared" si="61"/>
        <v>0</v>
      </c>
      <c r="SO50" s="114"/>
      <c r="SP50" s="89"/>
      <c r="SQ50" s="82"/>
      <c r="SS50" s="90"/>
      <c r="ST50" s="87"/>
      <c r="SU50" s="87"/>
      <c r="SV50" s="87">
        <f t="shared" si="62"/>
        <v>0</v>
      </c>
      <c r="SW50" s="114"/>
      <c r="SX50" s="89"/>
      <c r="SY50" s="82"/>
      <c r="TA50" s="90"/>
      <c r="TB50" s="87"/>
      <c r="TC50" s="87"/>
      <c r="TD50" s="87">
        <f t="shared" si="63"/>
        <v>0</v>
      </c>
      <c r="TE50" s="114"/>
      <c r="TF50" s="89"/>
      <c r="TG50" s="82"/>
      <c r="TI50" s="90"/>
      <c r="TJ50" s="87"/>
      <c r="TK50" s="87"/>
      <c r="TL50" s="87">
        <f t="shared" si="64"/>
        <v>0</v>
      </c>
      <c r="TM50" s="114"/>
      <c r="TN50" s="89"/>
      <c r="TO50" s="82"/>
      <c r="TQ50" s="90"/>
      <c r="TR50" s="87"/>
      <c r="TS50" s="87"/>
      <c r="TT50" s="87">
        <f t="shared" si="65"/>
        <v>0</v>
      </c>
      <c r="TU50" s="114"/>
      <c r="TV50" s="91"/>
      <c r="TW50" s="82"/>
      <c r="TY50" s="90"/>
      <c r="TZ50" s="87"/>
      <c r="UA50" s="87"/>
      <c r="UB50" s="87">
        <f t="shared" si="66"/>
        <v>0</v>
      </c>
      <c r="UC50" s="114"/>
      <c r="UD50" s="89"/>
      <c r="UE50" s="82"/>
      <c r="UG50" s="90"/>
      <c r="UH50" s="87"/>
      <c r="UI50" s="87"/>
      <c r="UJ50" s="87">
        <f t="shared" si="67"/>
        <v>0</v>
      </c>
      <c r="UK50" s="114"/>
      <c r="UL50" s="89"/>
      <c r="UM50" s="82"/>
      <c r="UO50" s="90"/>
      <c r="UP50" s="87"/>
      <c r="UQ50" s="87"/>
      <c r="UR50" s="87">
        <f t="shared" si="68"/>
        <v>0</v>
      </c>
      <c r="US50" s="114"/>
      <c r="UT50" s="89"/>
      <c r="UU50" s="82"/>
      <c r="UW50" s="90"/>
      <c r="UX50" s="87"/>
      <c r="UY50" s="87"/>
      <c r="UZ50" s="87">
        <f t="shared" si="69"/>
        <v>0</v>
      </c>
      <c r="VA50" s="114"/>
      <c r="VB50" s="89"/>
      <c r="VC50" s="82"/>
      <c r="VE50" s="90"/>
      <c r="VF50" s="87"/>
      <c r="VG50" s="87"/>
      <c r="VH50" s="87">
        <f t="shared" si="70"/>
        <v>0</v>
      </c>
      <c r="VI50" s="114"/>
      <c r="VJ50" s="89"/>
      <c r="VK50" s="82"/>
      <c r="VM50" s="90"/>
      <c r="VN50" s="87"/>
      <c r="VO50" s="87"/>
      <c r="VP50" s="87">
        <f t="shared" si="71"/>
        <v>0</v>
      </c>
      <c r="VQ50" s="114"/>
      <c r="VR50" s="89"/>
      <c r="VS50" s="82"/>
      <c r="VU50" s="90"/>
      <c r="VV50" s="87"/>
      <c r="VW50" s="87"/>
      <c r="VX50" s="87">
        <f t="shared" si="72"/>
        <v>0</v>
      </c>
      <c r="VY50" s="114"/>
      <c r="VZ50" s="89"/>
      <c r="WA50" s="82"/>
      <c r="WC50" s="90"/>
      <c r="WD50" s="87"/>
      <c r="WE50" s="87"/>
      <c r="WF50" s="87">
        <f t="shared" si="73"/>
        <v>0</v>
      </c>
      <c r="WG50" s="114"/>
      <c r="WH50" s="89"/>
      <c r="WI50" s="82"/>
      <c r="WK50" s="90"/>
      <c r="WL50" s="87"/>
      <c r="WM50" s="87"/>
      <c r="WN50" s="87">
        <f t="shared" si="74"/>
        <v>0</v>
      </c>
      <c r="WO50" s="114"/>
      <c r="WP50" s="89"/>
      <c r="WQ50" s="82"/>
      <c r="WS50" s="90"/>
      <c r="WT50" s="87"/>
      <c r="WU50" s="87"/>
      <c r="WV50" s="87">
        <f t="shared" si="75"/>
        <v>0</v>
      </c>
      <c r="WW50" s="114"/>
      <c r="WX50" s="89"/>
      <c r="WY50" s="82"/>
      <c r="XA50" s="90"/>
      <c r="XB50" s="87"/>
      <c r="XC50" s="87"/>
      <c r="XD50" s="87">
        <f t="shared" si="76"/>
        <v>0</v>
      </c>
      <c r="XE50" s="114"/>
      <c r="XF50" s="89"/>
      <c r="XG50" s="82"/>
      <c r="XI50" s="90"/>
      <c r="XJ50" s="87"/>
      <c r="XK50" s="87"/>
      <c r="XL50" s="87">
        <f t="shared" si="77"/>
        <v>0</v>
      </c>
      <c r="XM50" s="114"/>
      <c r="XN50" s="89"/>
      <c r="XO50" s="82"/>
      <c r="XQ50" s="90"/>
      <c r="XR50" s="87"/>
      <c r="XS50" s="87"/>
      <c r="XT50" s="87">
        <f t="shared" si="78"/>
        <v>0</v>
      </c>
      <c r="XU50" s="114"/>
      <c r="XV50" s="89"/>
      <c r="XW50" s="82"/>
      <c r="XY50" s="90"/>
      <c r="XZ50" s="87"/>
      <c r="YA50" s="87"/>
      <c r="YB50" s="87">
        <f t="shared" si="79"/>
        <v>0</v>
      </c>
      <c r="YC50" s="114"/>
      <c r="YD50" s="89"/>
      <c r="YE50" s="82"/>
      <c r="YG50" s="90"/>
      <c r="YH50" s="87"/>
      <c r="YI50" s="87"/>
      <c r="YJ50" s="87">
        <f t="shared" si="80"/>
        <v>0</v>
      </c>
      <c r="YK50" s="114"/>
      <c r="YL50" s="89"/>
      <c r="YM50" s="82"/>
      <c r="YO50" s="90"/>
      <c r="YP50" s="87"/>
      <c r="YQ50" s="87"/>
      <c r="YR50" s="87">
        <f t="shared" si="81"/>
        <v>0</v>
      </c>
      <c r="YS50" s="114"/>
      <c r="YT50" s="89"/>
      <c r="YU50" s="82"/>
      <c r="YW50" s="90"/>
      <c r="YX50" s="87"/>
      <c r="YY50" s="87"/>
      <c r="YZ50" s="87">
        <f t="shared" si="82"/>
        <v>0</v>
      </c>
      <c r="ZA50" s="114"/>
      <c r="ZB50" s="89"/>
      <c r="ZC50" s="82"/>
      <c r="ZE50" s="90"/>
      <c r="ZF50" s="87"/>
      <c r="ZG50" s="87"/>
      <c r="ZH50" s="87">
        <f t="shared" si="83"/>
        <v>0</v>
      </c>
      <c r="ZI50" s="114"/>
      <c r="ZJ50" s="89"/>
      <c r="ZK50" s="82"/>
      <c r="ZM50" s="90"/>
      <c r="ZN50" s="87"/>
      <c r="ZO50" s="87"/>
      <c r="ZP50" s="87">
        <f t="shared" si="84"/>
        <v>0</v>
      </c>
      <c r="ZQ50" s="114"/>
      <c r="ZR50" s="89"/>
      <c r="ZS50" s="82"/>
      <c r="ZU50" s="90"/>
      <c r="ZV50" s="87"/>
      <c r="ZW50" s="87"/>
      <c r="ZX50" s="87">
        <f t="shared" si="85"/>
        <v>0</v>
      </c>
      <c r="ZY50" s="114"/>
      <c r="ZZ50" s="89"/>
      <c r="AAA50" s="82"/>
      <c r="AAC50" s="90"/>
      <c r="AAD50" s="87"/>
      <c r="AAE50" s="87"/>
      <c r="AAF50" s="87">
        <f t="shared" si="86"/>
        <v>0</v>
      </c>
      <c r="AAG50" s="114"/>
      <c r="AAH50" s="89"/>
      <c r="AAI50" s="82"/>
      <c r="AAK50" s="90"/>
      <c r="AAL50" s="87"/>
      <c r="AAM50" s="87"/>
      <c r="AAN50" s="87">
        <f t="shared" si="87"/>
        <v>0</v>
      </c>
      <c r="AAO50" s="114"/>
      <c r="AAP50" s="89"/>
      <c r="AAQ50" s="82"/>
      <c r="AAS50" s="90"/>
      <c r="AAT50" s="87"/>
      <c r="AAU50" s="87"/>
      <c r="AAV50" s="87">
        <f t="shared" si="88"/>
        <v>0</v>
      </c>
      <c r="AAW50" s="114"/>
      <c r="AAX50" s="89"/>
      <c r="AAY50" s="82"/>
      <c r="ABA50" s="90"/>
      <c r="ABB50" s="87"/>
      <c r="ABC50" s="87"/>
      <c r="ABD50" s="87">
        <f t="shared" si="89"/>
        <v>0</v>
      </c>
      <c r="ABE50" s="114"/>
      <c r="ABF50" s="89"/>
      <c r="ABG50" s="82"/>
      <c r="ABI50" s="90"/>
      <c r="ABJ50" s="87"/>
      <c r="ABK50" s="87"/>
      <c r="ABL50" s="87">
        <f t="shared" si="90"/>
        <v>0</v>
      </c>
      <c r="ABM50" s="114"/>
      <c r="ABN50" s="89"/>
      <c r="ABO50" s="82"/>
      <c r="ABQ50" s="90"/>
      <c r="ABR50" s="87"/>
      <c r="ABS50" s="87"/>
      <c r="ABT50" s="87">
        <f t="shared" si="91"/>
        <v>0</v>
      </c>
      <c r="ABU50" s="114"/>
      <c r="ABV50" s="89"/>
      <c r="ABW50" s="82"/>
      <c r="ABY50" s="90"/>
      <c r="ABZ50" s="87"/>
      <c r="ACA50" s="87"/>
      <c r="ACB50" s="87">
        <f t="shared" si="92"/>
        <v>0</v>
      </c>
      <c r="ACC50" s="114"/>
      <c r="ACD50" s="89"/>
      <c r="ACE50" s="82"/>
    </row>
    <row r="51" spans="1:759" ht="12" customHeight="1" x14ac:dyDescent="0.25">
      <c r="A51" s="84"/>
      <c r="B51" s="85"/>
      <c r="C51" s="87"/>
      <c r="D51" s="87">
        <f t="shared" si="2"/>
        <v>1700</v>
      </c>
      <c r="E51" s="114"/>
      <c r="F51" s="211"/>
      <c r="G51" s="382"/>
      <c r="H51" s="72"/>
      <c r="I51" s="90"/>
      <c r="J51" s="87"/>
      <c r="K51" s="87"/>
      <c r="L51" s="87">
        <f t="shared" si="0"/>
        <v>1000</v>
      </c>
      <c r="M51" s="114"/>
      <c r="N51" s="89"/>
      <c r="O51" s="82"/>
      <c r="P51" s="72"/>
      <c r="Q51" s="90"/>
      <c r="R51" s="87"/>
      <c r="S51" s="87"/>
      <c r="T51" s="87">
        <f t="shared" si="1"/>
        <v>4000</v>
      </c>
      <c r="U51" s="114"/>
      <c r="V51" s="89"/>
      <c r="W51" s="82"/>
      <c r="X51" s="72"/>
      <c r="Y51" s="90"/>
      <c r="Z51" s="87"/>
      <c r="AA51" s="87"/>
      <c r="AB51" s="87">
        <f t="shared" si="3"/>
        <v>1000</v>
      </c>
      <c r="AC51" s="114"/>
      <c r="AD51" s="89"/>
      <c r="AE51" s="82"/>
      <c r="AF51" s="72"/>
      <c r="AG51" s="90"/>
      <c r="AH51" s="222"/>
      <c r="AI51" s="222"/>
      <c r="AJ51" s="87">
        <f t="shared" si="4"/>
        <v>2000</v>
      </c>
      <c r="AK51" s="114"/>
      <c r="AL51" s="89"/>
      <c r="AM51" s="82"/>
      <c r="AN51" s="72"/>
      <c r="AO51" s="90"/>
      <c r="AP51" s="87"/>
      <c r="AQ51" s="87"/>
      <c r="AR51" s="87">
        <f t="shared" si="5"/>
        <v>1000</v>
      </c>
      <c r="AS51" s="114"/>
      <c r="AT51" s="89"/>
      <c r="AU51" s="82"/>
      <c r="AV51" s="72"/>
      <c r="AW51" s="90"/>
      <c r="AX51" s="87"/>
      <c r="AY51" s="87"/>
      <c r="AZ51" s="87">
        <f t="shared" si="6"/>
        <v>1150</v>
      </c>
      <c r="BA51" s="114"/>
      <c r="BB51" s="211"/>
      <c r="BC51" s="82"/>
      <c r="BD51" s="72"/>
      <c r="BE51" s="90"/>
      <c r="BF51" s="87"/>
      <c r="BG51" s="87"/>
      <c r="BH51" s="87">
        <f t="shared" si="7"/>
        <v>7000</v>
      </c>
      <c r="BI51" s="114"/>
      <c r="BJ51" s="220"/>
      <c r="BK51" s="82"/>
      <c r="BL51" s="72"/>
      <c r="BM51" s="90"/>
      <c r="BN51" s="87"/>
      <c r="BO51" s="87"/>
      <c r="BP51" s="87">
        <f t="shared" si="8"/>
        <v>1000</v>
      </c>
      <c r="BQ51" s="114"/>
      <c r="BR51" s="89"/>
      <c r="BS51" s="82"/>
      <c r="BT51" s="72"/>
      <c r="BU51" s="90"/>
      <c r="BV51" s="87"/>
      <c r="BW51" s="87"/>
      <c r="BX51" s="87">
        <f t="shared" si="9"/>
        <v>0</v>
      </c>
      <c r="BY51" s="114"/>
      <c r="BZ51" s="89"/>
      <c r="CA51" s="82"/>
      <c r="CB51" s="72"/>
      <c r="CC51" s="90"/>
      <c r="CD51" s="87"/>
      <c r="CE51" s="87"/>
      <c r="CF51" s="87">
        <f t="shared" si="10"/>
        <v>0</v>
      </c>
      <c r="CG51" s="114"/>
      <c r="CH51" s="89"/>
      <c r="CI51" s="82"/>
      <c r="CJ51" s="72"/>
      <c r="CK51" s="90"/>
      <c r="CL51" s="87"/>
      <c r="CM51" s="87"/>
      <c r="CN51" s="87">
        <f t="shared" si="11"/>
        <v>0</v>
      </c>
      <c r="CO51" s="114"/>
      <c r="CP51" s="89"/>
      <c r="CQ51" s="82"/>
      <c r="CR51" s="72"/>
      <c r="CS51" s="90"/>
      <c r="CT51" s="87"/>
      <c r="CU51" s="87"/>
      <c r="CV51" s="87">
        <f t="shared" si="12"/>
        <v>0</v>
      </c>
      <c r="CW51" s="114"/>
      <c r="CX51" s="220"/>
      <c r="CY51" s="82"/>
      <c r="CZ51" s="72"/>
      <c r="DA51" s="90"/>
      <c r="DB51" s="87"/>
      <c r="DC51" s="87"/>
      <c r="DD51" s="87">
        <f t="shared" si="13"/>
        <v>0</v>
      </c>
      <c r="DE51" s="114"/>
      <c r="DF51" s="89"/>
      <c r="DG51" s="82"/>
      <c r="DH51" s="72"/>
      <c r="DI51" s="90"/>
      <c r="DJ51" s="87"/>
      <c r="DK51" s="87"/>
      <c r="DL51" s="87">
        <f t="shared" si="14"/>
        <v>0</v>
      </c>
      <c r="DM51" s="114"/>
      <c r="DN51" s="89"/>
      <c r="DO51" s="82"/>
      <c r="DP51" s="72"/>
      <c r="DQ51" s="90"/>
      <c r="DR51" s="87"/>
      <c r="DS51" s="87"/>
      <c r="DT51" s="87">
        <f t="shared" si="15"/>
        <v>0</v>
      </c>
      <c r="DU51" s="114"/>
      <c r="DV51" s="89"/>
      <c r="DW51" s="82"/>
      <c r="DX51" s="72"/>
      <c r="DY51" s="90"/>
      <c r="DZ51" s="87"/>
      <c r="EA51" s="87"/>
      <c r="EB51" s="87">
        <f t="shared" si="16"/>
        <v>0</v>
      </c>
      <c r="EC51" s="114"/>
      <c r="ED51" s="89"/>
      <c r="EE51" s="82"/>
      <c r="EF51" s="72"/>
      <c r="EG51" s="90"/>
      <c r="EH51" s="87"/>
      <c r="EI51" s="87"/>
      <c r="EJ51" s="87">
        <f t="shared" si="17"/>
        <v>0</v>
      </c>
      <c r="EK51" s="114"/>
      <c r="EL51" s="89"/>
      <c r="EM51" s="82"/>
      <c r="EO51" s="90"/>
      <c r="EP51" s="87"/>
      <c r="EQ51" s="87"/>
      <c r="ER51" s="87">
        <f t="shared" si="18"/>
        <v>0</v>
      </c>
      <c r="ES51" s="114"/>
      <c r="ET51" s="89"/>
      <c r="EU51" s="82"/>
      <c r="EW51" s="90"/>
      <c r="EX51" s="87"/>
      <c r="EY51" s="87"/>
      <c r="EZ51" s="87">
        <f t="shared" si="19"/>
        <v>0</v>
      </c>
      <c r="FA51" s="114"/>
      <c r="FB51" s="89"/>
      <c r="FC51" s="82"/>
      <c r="FE51" s="90"/>
      <c r="FF51" s="87"/>
      <c r="FG51" s="87"/>
      <c r="FH51" s="87">
        <f t="shared" si="93"/>
        <v>0</v>
      </c>
      <c r="FI51" s="114"/>
      <c r="FJ51" s="89"/>
      <c r="FK51" s="82"/>
      <c r="FM51" s="90"/>
      <c r="FN51" s="87"/>
      <c r="FO51" s="87"/>
      <c r="FP51" s="87">
        <f t="shared" si="20"/>
        <v>0</v>
      </c>
      <c r="FQ51" s="114"/>
      <c r="FR51" s="89"/>
      <c r="FS51" s="82"/>
      <c r="FU51" s="90"/>
      <c r="FV51" s="87"/>
      <c r="FW51" s="87"/>
      <c r="FX51" s="87">
        <f t="shared" si="21"/>
        <v>0</v>
      </c>
      <c r="FY51" s="165"/>
      <c r="FZ51" s="89"/>
      <c r="GA51" s="82"/>
      <c r="GC51" s="90"/>
      <c r="GD51" s="87"/>
      <c r="GE51" s="87"/>
      <c r="GF51" s="87">
        <f t="shared" si="22"/>
        <v>0</v>
      </c>
      <c r="GG51" s="114"/>
      <c r="GH51" s="89"/>
      <c r="GI51" s="82"/>
      <c r="GK51" s="90"/>
      <c r="GL51" s="87"/>
      <c r="GM51" s="87"/>
      <c r="GN51" s="87">
        <f t="shared" si="23"/>
        <v>0</v>
      </c>
      <c r="GO51" s="114"/>
      <c r="GP51" s="89"/>
      <c r="GQ51" s="82"/>
      <c r="GS51" s="90"/>
      <c r="GT51" s="87"/>
      <c r="GU51" s="87"/>
      <c r="GV51" s="87">
        <f t="shared" si="24"/>
        <v>0</v>
      </c>
      <c r="GW51" s="114"/>
      <c r="GX51" s="89"/>
      <c r="GY51" s="82"/>
      <c r="HA51" s="90"/>
      <c r="HB51" s="87"/>
      <c r="HC51" s="87"/>
      <c r="HD51" s="87">
        <f t="shared" si="25"/>
        <v>0</v>
      </c>
      <c r="HE51" s="114"/>
      <c r="HF51" s="89"/>
      <c r="HG51" s="82"/>
      <c r="HI51" s="90"/>
      <c r="HJ51" s="87"/>
      <c r="HK51" s="87"/>
      <c r="HL51" s="87">
        <f t="shared" si="26"/>
        <v>0</v>
      </c>
      <c r="HM51" s="114"/>
      <c r="HN51" s="89"/>
      <c r="HO51" s="82"/>
      <c r="HQ51" s="90"/>
      <c r="HR51" s="87"/>
      <c r="HS51" s="87"/>
      <c r="HT51" s="87">
        <f t="shared" si="27"/>
        <v>0</v>
      </c>
      <c r="HU51" s="114"/>
      <c r="HV51" s="89"/>
      <c r="HW51" s="82"/>
      <c r="HY51" s="90"/>
      <c r="HZ51" s="87"/>
      <c r="IA51" s="87"/>
      <c r="IB51" s="87">
        <f t="shared" si="28"/>
        <v>0</v>
      </c>
      <c r="IC51" s="114"/>
      <c r="ID51" s="89"/>
      <c r="IE51" s="82"/>
      <c r="IG51" s="90"/>
      <c r="IH51" s="87"/>
      <c r="II51" s="87"/>
      <c r="IJ51" s="87">
        <f t="shared" si="29"/>
        <v>0</v>
      </c>
      <c r="IK51" s="114"/>
      <c r="IL51" s="89"/>
      <c r="IM51" s="82"/>
      <c r="IO51" s="90"/>
      <c r="IP51" s="87"/>
      <c r="IQ51" s="87"/>
      <c r="IR51" s="87">
        <f t="shared" si="30"/>
        <v>0</v>
      </c>
      <c r="IS51" s="114"/>
      <c r="IT51" s="89"/>
      <c r="IU51" s="82"/>
      <c r="IW51" s="90"/>
      <c r="IX51" s="87"/>
      <c r="IY51" s="87"/>
      <c r="IZ51" s="87">
        <f t="shared" si="31"/>
        <v>0</v>
      </c>
      <c r="JA51" s="114"/>
      <c r="JB51" s="89"/>
      <c r="JC51" s="82"/>
      <c r="JE51" s="90"/>
      <c r="JF51" s="87"/>
      <c r="JG51" s="87"/>
      <c r="JH51" s="87">
        <f t="shared" si="32"/>
        <v>0</v>
      </c>
      <c r="JI51" s="114"/>
      <c r="JJ51" s="89"/>
      <c r="JK51" s="82"/>
      <c r="JM51" s="90"/>
      <c r="JN51" s="87"/>
      <c r="JO51" s="87"/>
      <c r="JP51" s="87">
        <f t="shared" si="33"/>
        <v>0</v>
      </c>
      <c r="JQ51" s="114"/>
      <c r="JR51" s="91"/>
      <c r="JS51" s="82"/>
      <c r="JU51" s="90"/>
      <c r="JV51" s="87"/>
      <c r="JW51" s="87"/>
      <c r="JX51" s="87">
        <f t="shared" si="94"/>
        <v>0</v>
      </c>
      <c r="JY51" s="114"/>
      <c r="JZ51" s="89"/>
      <c r="KA51" s="82"/>
      <c r="KC51" s="90"/>
      <c r="KD51" s="87"/>
      <c r="KE51" s="87"/>
      <c r="KF51" s="87">
        <f t="shared" si="34"/>
        <v>0</v>
      </c>
      <c r="KG51" s="114"/>
      <c r="KH51" s="86"/>
      <c r="KI51" s="109"/>
      <c r="KK51" s="90"/>
      <c r="KL51" s="87"/>
      <c r="KM51" s="87"/>
      <c r="KN51" s="87">
        <f t="shared" si="35"/>
        <v>0</v>
      </c>
      <c r="KO51" s="114"/>
      <c r="KP51" s="89"/>
      <c r="KQ51" s="82"/>
      <c r="KS51" s="90"/>
      <c r="KT51" s="87"/>
      <c r="KU51" s="87"/>
      <c r="KV51" s="87">
        <f t="shared" si="36"/>
        <v>0</v>
      </c>
      <c r="KW51" s="114"/>
      <c r="KX51" s="89"/>
      <c r="KY51" s="82"/>
      <c r="LA51" s="90"/>
      <c r="LB51" s="87"/>
      <c r="LC51" s="87"/>
      <c r="LD51" s="87">
        <f t="shared" si="37"/>
        <v>0</v>
      </c>
      <c r="LE51" s="114"/>
      <c r="LF51" s="89"/>
      <c r="LG51" s="82"/>
      <c r="LI51" s="90"/>
      <c r="LJ51" s="87"/>
      <c r="LK51" s="87"/>
      <c r="LL51" s="87">
        <f t="shared" si="38"/>
        <v>0</v>
      </c>
      <c r="LM51" s="114"/>
      <c r="LN51" s="89"/>
      <c r="LO51" s="82"/>
      <c r="LQ51" s="90"/>
      <c r="LR51" s="87"/>
      <c r="LS51" s="87"/>
      <c r="LT51" s="87">
        <f t="shared" si="39"/>
        <v>0</v>
      </c>
      <c r="LU51" s="114"/>
      <c r="LV51" s="89"/>
      <c r="LW51" s="82"/>
      <c r="LY51" s="90"/>
      <c r="LZ51" s="87"/>
      <c r="MA51" s="87"/>
      <c r="MB51" s="87">
        <f t="shared" si="40"/>
        <v>0</v>
      </c>
      <c r="MC51" s="114"/>
      <c r="MD51" s="89"/>
      <c r="ME51" s="82"/>
      <c r="MG51" s="90"/>
      <c r="MH51" s="87"/>
      <c r="MI51" s="87"/>
      <c r="MJ51" s="87">
        <f t="shared" si="41"/>
        <v>0</v>
      </c>
      <c r="MK51" s="114"/>
      <c r="ML51" s="89"/>
      <c r="MM51" s="82"/>
      <c r="MO51" s="90"/>
      <c r="MP51" s="87"/>
      <c r="MQ51" s="87"/>
      <c r="MR51" s="87">
        <f t="shared" si="42"/>
        <v>0</v>
      </c>
      <c r="MS51" s="114"/>
      <c r="MT51" s="89"/>
      <c r="MU51" s="82"/>
      <c r="MW51" s="90"/>
      <c r="MX51" s="87"/>
      <c r="MY51" s="87"/>
      <c r="MZ51" s="87">
        <f t="shared" si="43"/>
        <v>0</v>
      </c>
      <c r="NA51" s="114"/>
      <c r="NB51" s="89"/>
      <c r="NC51" s="82"/>
      <c r="NE51" s="90"/>
      <c r="NF51" s="87"/>
      <c r="NG51" s="87"/>
      <c r="NH51" s="87">
        <f t="shared" si="44"/>
        <v>0</v>
      </c>
      <c r="NI51" s="114"/>
      <c r="NJ51" s="89"/>
      <c r="NK51" s="82"/>
      <c r="NM51" s="90"/>
      <c r="NN51" s="87"/>
      <c r="NO51" s="87"/>
      <c r="NP51" s="87">
        <f t="shared" si="45"/>
        <v>0</v>
      </c>
      <c r="NQ51" s="114"/>
      <c r="NR51" s="89"/>
      <c r="NS51" s="82"/>
      <c r="NU51" s="90"/>
      <c r="NV51" s="87"/>
      <c r="NW51" s="87"/>
      <c r="NX51" s="87">
        <f t="shared" si="46"/>
        <v>0</v>
      </c>
      <c r="NY51" s="114"/>
      <c r="NZ51" s="89"/>
      <c r="OA51" s="82"/>
      <c r="OC51" s="90"/>
      <c r="OD51" s="87"/>
      <c r="OE51" s="87"/>
      <c r="OF51" s="87">
        <f t="shared" si="47"/>
        <v>0</v>
      </c>
      <c r="OG51" s="114"/>
      <c r="OH51" s="89"/>
      <c r="OI51" s="82"/>
      <c r="OK51" s="90"/>
      <c r="OL51" s="87"/>
      <c r="OM51" s="87"/>
      <c r="ON51" s="87">
        <f t="shared" si="48"/>
        <v>0</v>
      </c>
      <c r="OO51" s="114"/>
      <c r="OP51" s="89"/>
      <c r="OQ51" s="82"/>
      <c r="OS51" s="90"/>
      <c r="OT51" s="87"/>
      <c r="OU51" s="87"/>
      <c r="OV51" s="87">
        <f t="shared" si="49"/>
        <v>0</v>
      </c>
      <c r="OW51" s="114"/>
      <c r="OX51" s="89"/>
      <c r="OY51" s="82"/>
      <c r="PA51" s="90"/>
      <c r="PB51" s="87"/>
      <c r="PC51" s="87"/>
      <c r="PD51" s="87">
        <f t="shared" si="50"/>
        <v>0</v>
      </c>
      <c r="PE51" s="114"/>
      <c r="PF51" s="89"/>
      <c r="PG51" s="82"/>
      <c r="PI51" s="90"/>
      <c r="PJ51" s="87"/>
      <c r="PK51" s="87"/>
      <c r="PL51" s="87">
        <f t="shared" si="51"/>
        <v>0</v>
      </c>
      <c r="PM51" s="114"/>
      <c r="PN51" s="211"/>
      <c r="PO51" s="216"/>
      <c r="PQ51" s="90"/>
      <c r="PR51" s="87"/>
      <c r="PS51" s="87"/>
      <c r="PT51" s="87">
        <f t="shared" si="52"/>
        <v>0</v>
      </c>
      <c r="PU51" s="114"/>
      <c r="PV51" s="89"/>
      <c r="PW51" s="82"/>
      <c r="PY51" s="90"/>
      <c r="PZ51" s="87"/>
      <c r="QA51" s="87"/>
      <c r="QB51" s="87">
        <f t="shared" si="53"/>
        <v>0</v>
      </c>
      <c r="QC51" s="114"/>
      <c r="QD51" s="89"/>
      <c r="QE51" s="82"/>
      <c r="QG51" s="90"/>
      <c r="QH51" s="87"/>
      <c r="QI51" s="87"/>
      <c r="QJ51" s="87">
        <f t="shared" si="54"/>
        <v>0</v>
      </c>
      <c r="QK51" s="114"/>
      <c r="QL51" s="89"/>
      <c r="QM51" s="82"/>
      <c r="QO51" s="90"/>
      <c r="QP51" s="87"/>
      <c r="QQ51" s="87"/>
      <c r="QR51" s="87">
        <f t="shared" si="55"/>
        <v>0</v>
      </c>
      <c r="QS51" s="114"/>
      <c r="QT51" s="211"/>
      <c r="QU51" s="216"/>
      <c r="QW51" s="90"/>
      <c r="QX51" s="87"/>
      <c r="QY51" s="87"/>
      <c r="QZ51" s="87">
        <f t="shared" si="56"/>
        <v>0</v>
      </c>
      <c r="RA51" s="114"/>
      <c r="RB51" s="89"/>
      <c r="RC51" s="82"/>
      <c r="RE51" s="90"/>
      <c r="RF51" s="87"/>
      <c r="RG51" s="87"/>
      <c r="RH51" s="87">
        <f t="shared" si="57"/>
        <v>0</v>
      </c>
      <c r="RI51" s="114"/>
      <c r="RJ51" s="89"/>
      <c r="RK51" s="170"/>
      <c r="RM51" s="90"/>
      <c r="RN51" s="87"/>
      <c r="RO51" s="87"/>
      <c r="RP51" s="87">
        <f t="shared" si="58"/>
        <v>0</v>
      </c>
      <c r="RQ51" s="114"/>
      <c r="RR51" s="89"/>
      <c r="RS51" s="82"/>
      <c r="RU51" s="90"/>
      <c r="RV51" s="87"/>
      <c r="RW51" s="87"/>
      <c r="RX51" s="87">
        <f t="shared" si="59"/>
        <v>0</v>
      </c>
      <c r="RY51" s="114"/>
      <c r="RZ51" s="89"/>
      <c r="SA51" s="82"/>
      <c r="SC51" s="90"/>
      <c r="SD51" s="87"/>
      <c r="SE51" s="87"/>
      <c r="SF51" s="87">
        <f t="shared" si="60"/>
        <v>0</v>
      </c>
      <c r="SG51" s="114"/>
      <c r="SH51" s="89"/>
      <c r="SI51" s="82"/>
      <c r="SK51" s="90"/>
      <c r="SL51" s="87"/>
      <c r="SM51" s="87"/>
      <c r="SN51" s="87">
        <f t="shared" si="61"/>
        <v>0</v>
      </c>
      <c r="SO51" s="114"/>
      <c r="SP51" s="89"/>
      <c r="SQ51" s="82"/>
      <c r="SS51" s="90"/>
      <c r="ST51" s="87"/>
      <c r="SU51" s="87"/>
      <c r="SV51" s="87">
        <f t="shared" si="62"/>
        <v>0</v>
      </c>
      <c r="SW51" s="114"/>
      <c r="SX51" s="89"/>
      <c r="SY51" s="82"/>
      <c r="TA51" s="90"/>
      <c r="TB51" s="87"/>
      <c r="TC51" s="87"/>
      <c r="TD51" s="87">
        <f t="shared" si="63"/>
        <v>0</v>
      </c>
      <c r="TE51" s="114"/>
      <c r="TF51" s="89"/>
      <c r="TG51" s="82"/>
      <c r="TI51" s="90"/>
      <c r="TJ51" s="87"/>
      <c r="TK51" s="87"/>
      <c r="TL51" s="87">
        <f t="shared" si="64"/>
        <v>0</v>
      </c>
      <c r="TM51" s="114"/>
      <c r="TN51" s="89"/>
      <c r="TO51" s="82"/>
      <c r="TQ51" s="90"/>
      <c r="TR51" s="87"/>
      <c r="TS51" s="87"/>
      <c r="TT51" s="87">
        <f t="shared" si="65"/>
        <v>0</v>
      </c>
      <c r="TU51" s="114"/>
      <c r="TV51" s="91"/>
      <c r="TW51" s="82"/>
      <c r="TY51" s="90"/>
      <c r="TZ51" s="87"/>
      <c r="UA51" s="87"/>
      <c r="UB51" s="87">
        <f t="shared" si="66"/>
        <v>0</v>
      </c>
      <c r="UC51" s="114"/>
      <c r="UD51" s="89"/>
      <c r="UE51" s="82"/>
      <c r="UG51" s="90"/>
      <c r="UH51" s="87"/>
      <c r="UI51" s="87"/>
      <c r="UJ51" s="87">
        <f t="shared" si="67"/>
        <v>0</v>
      </c>
      <c r="UK51" s="114"/>
      <c r="UL51" s="89"/>
      <c r="UM51" s="82"/>
      <c r="UO51" s="90"/>
      <c r="UP51" s="87"/>
      <c r="UQ51" s="87"/>
      <c r="UR51" s="87">
        <f t="shared" si="68"/>
        <v>0</v>
      </c>
      <c r="US51" s="114"/>
      <c r="UT51" s="89"/>
      <c r="UU51" s="82"/>
      <c r="UW51" s="90"/>
      <c r="UX51" s="87"/>
      <c r="UY51" s="87"/>
      <c r="UZ51" s="87">
        <f t="shared" si="69"/>
        <v>0</v>
      </c>
      <c r="VA51" s="114"/>
      <c r="VB51" s="89"/>
      <c r="VC51" s="82"/>
      <c r="VE51" s="90"/>
      <c r="VF51" s="87"/>
      <c r="VG51" s="87"/>
      <c r="VH51" s="87">
        <f t="shared" si="70"/>
        <v>0</v>
      </c>
      <c r="VI51" s="114"/>
      <c r="VJ51" s="89"/>
      <c r="VK51" s="82"/>
      <c r="VM51" s="90"/>
      <c r="VN51" s="87"/>
      <c r="VO51" s="87"/>
      <c r="VP51" s="87">
        <f t="shared" si="71"/>
        <v>0</v>
      </c>
      <c r="VQ51" s="114"/>
      <c r="VR51" s="89"/>
      <c r="VS51" s="82"/>
      <c r="VU51" s="90"/>
      <c r="VV51" s="87"/>
      <c r="VW51" s="87"/>
      <c r="VX51" s="87">
        <f t="shared" si="72"/>
        <v>0</v>
      </c>
      <c r="VY51" s="114"/>
      <c r="VZ51" s="89"/>
      <c r="WA51" s="82"/>
      <c r="WC51" s="90"/>
      <c r="WD51" s="87"/>
      <c r="WE51" s="87"/>
      <c r="WF51" s="87">
        <f t="shared" si="73"/>
        <v>0</v>
      </c>
      <c r="WG51" s="114"/>
      <c r="WH51" s="89"/>
      <c r="WI51" s="82"/>
      <c r="WK51" s="90"/>
      <c r="WL51" s="87"/>
      <c r="WM51" s="87"/>
      <c r="WN51" s="87">
        <f t="shared" si="74"/>
        <v>0</v>
      </c>
      <c r="WO51" s="114"/>
      <c r="WP51" s="89"/>
      <c r="WQ51" s="82"/>
      <c r="WS51" s="90"/>
      <c r="WT51" s="87"/>
      <c r="WU51" s="87"/>
      <c r="WV51" s="87">
        <f t="shared" si="75"/>
        <v>0</v>
      </c>
      <c r="WW51" s="114"/>
      <c r="WX51" s="89"/>
      <c r="WY51" s="82"/>
      <c r="XA51" s="90"/>
      <c r="XB51" s="87"/>
      <c r="XC51" s="87"/>
      <c r="XD51" s="87">
        <f t="shared" si="76"/>
        <v>0</v>
      </c>
      <c r="XE51" s="114"/>
      <c r="XF51" s="89"/>
      <c r="XG51" s="82"/>
      <c r="XI51" s="90"/>
      <c r="XJ51" s="87"/>
      <c r="XK51" s="87"/>
      <c r="XL51" s="87">
        <f t="shared" si="77"/>
        <v>0</v>
      </c>
      <c r="XM51" s="114"/>
      <c r="XN51" s="89"/>
      <c r="XO51" s="82"/>
      <c r="XQ51" s="90"/>
      <c r="XR51" s="87"/>
      <c r="XS51" s="87"/>
      <c r="XT51" s="87">
        <f t="shared" si="78"/>
        <v>0</v>
      </c>
      <c r="XU51" s="114"/>
      <c r="XV51" s="89"/>
      <c r="XW51" s="82"/>
      <c r="XY51" s="90"/>
      <c r="XZ51" s="87"/>
      <c r="YA51" s="87"/>
      <c r="YB51" s="87">
        <f t="shared" si="79"/>
        <v>0</v>
      </c>
      <c r="YC51" s="114"/>
      <c r="YD51" s="89"/>
      <c r="YE51" s="82"/>
      <c r="YG51" s="90"/>
      <c r="YH51" s="87"/>
      <c r="YI51" s="87"/>
      <c r="YJ51" s="87">
        <f t="shared" si="80"/>
        <v>0</v>
      </c>
      <c r="YK51" s="114"/>
      <c r="YL51" s="89"/>
      <c r="YM51" s="82"/>
      <c r="YO51" s="90"/>
      <c r="YP51" s="87"/>
      <c r="YQ51" s="87"/>
      <c r="YR51" s="87">
        <f t="shared" si="81"/>
        <v>0</v>
      </c>
      <c r="YS51" s="114"/>
      <c r="YT51" s="89"/>
      <c r="YU51" s="82"/>
      <c r="YW51" s="90"/>
      <c r="YX51" s="87"/>
      <c r="YY51" s="87"/>
      <c r="YZ51" s="87">
        <f t="shared" si="82"/>
        <v>0</v>
      </c>
      <c r="ZA51" s="114"/>
      <c r="ZB51" s="89"/>
      <c r="ZC51" s="82"/>
      <c r="ZE51" s="90"/>
      <c r="ZF51" s="87"/>
      <c r="ZG51" s="87"/>
      <c r="ZH51" s="87">
        <f t="shared" si="83"/>
        <v>0</v>
      </c>
      <c r="ZI51" s="114"/>
      <c r="ZJ51" s="89"/>
      <c r="ZK51" s="82"/>
      <c r="ZM51" s="90"/>
      <c r="ZN51" s="87"/>
      <c r="ZO51" s="87"/>
      <c r="ZP51" s="87">
        <f t="shared" si="84"/>
        <v>0</v>
      </c>
      <c r="ZQ51" s="114"/>
      <c r="ZR51" s="89"/>
      <c r="ZS51" s="82"/>
      <c r="ZU51" s="90"/>
      <c r="ZV51" s="87"/>
      <c r="ZW51" s="87"/>
      <c r="ZX51" s="87">
        <f t="shared" si="85"/>
        <v>0</v>
      </c>
      <c r="ZY51" s="114"/>
      <c r="ZZ51" s="89"/>
      <c r="AAA51" s="82"/>
      <c r="AAC51" s="90"/>
      <c r="AAD51" s="87"/>
      <c r="AAE51" s="87"/>
      <c r="AAF51" s="87">
        <f t="shared" si="86"/>
        <v>0</v>
      </c>
      <c r="AAG51" s="114"/>
      <c r="AAH51" s="89"/>
      <c r="AAI51" s="82"/>
      <c r="AAK51" s="90"/>
      <c r="AAL51" s="87"/>
      <c r="AAM51" s="87"/>
      <c r="AAN51" s="87">
        <f t="shared" si="87"/>
        <v>0</v>
      </c>
      <c r="AAO51" s="114"/>
      <c r="AAP51" s="89"/>
      <c r="AAQ51" s="82"/>
      <c r="AAS51" s="90"/>
      <c r="AAT51" s="87"/>
      <c r="AAU51" s="87"/>
      <c r="AAV51" s="87">
        <f t="shared" si="88"/>
        <v>0</v>
      </c>
      <c r="AAW51" s="114"/>
      <c r="AAX51" s="89"/>
      <c r="AAY51" s="82"/>
      <c r="ABA51" s="90"/>
      <c r="ABB51" s="87"/>
      <c r="ABC51" s="87"/>
      <c r="ABD51" s="87">
        <f t="shared" si="89"/>
        <v>0</v>
      </c>
      <c r="ABE51" s="114"/>
      <c r="ABF51" s="89"/>
      <c r="ABG51" s="82"/>
      <c r="ABI51" s="90"/>
      <c r="ABJ51" s="87"/>
      <c r="ABK51" s="87"/>
      <c r="ABL51" s="87">
        <f t="shared" si="90"/>
        <v>0</v>
      </c>
      <c r="ABM51" s="114"/>
      <c r="ABN51" s="89"/>
      <c r="ABO51" s="82"/>
      <c r="ABQ51" s="90"/>
      <c r="ABR51" s="87"/>
      <c r="ABS51" s="87"/>
      <c r="ABT51" s="87">
        <f t="shared" si="91"/>
        <v>0</v>
      </c>
      <c r="ABU51" s="114"/>
      <c r="ABV51" s="89"/>
      <c r="ABW51" s="82"/>
      <c r="ABY51" s="90"/>
      <c r="ABZ51" s="87"/>
      <c r="ACA51" s="87"/>
      <c r="ACB51" s="87">
        <f t="shared" si="92"/>
        <v>0</v>
      </c>
      <c r="ACC51" s="114"/>
      <c r="ACD51" s="89"/>
      <c r="ACE51" s="82"/>
    </row>
    <row r="52" spans="1:759" ht="12" customHeight="1" x14ac:dyDescent="0.25">
      <c r="A52" s="84"/>
      <c r="B52" s="85"/>
      <c r="C52" s="87"/>
      <c r="D52" s="87">
        <f t="shared" si="2"/>
        <v>1700</v>
      </c>
      <c r="E52" s="114"/>
      <c r="F52" s="211"/>
      <c r="G52" s="382"/>
      <c r="H52" s="59"/>
      <c r="I52" s="90"/>
      <c r="J52" s="87"/>
      <c r="K52" s="87"/>
      <c r="L52" s="87">
        <f t="shared" si="0"/>
        <v>1000</v>
      </c>
      <c r="M52" s="114"/>
      <c r="N52" s="89"/>
      <c r="O52" s="82"/>
      <c r="P52" s="72"/>
      <c r="Q52" s="90"/>
      <c r="R52" s="87"/>
      <c r="S52" s="87"/>
      <c r="T52" s="87">
        <f t="shared" si="1"/>
        <v>4000</v>
      </c>
      <c r="U52" s="114"/>
      <c r="V52" s="89"/>
      <c r="W52" s="82"/>
      <c r="X52" s="72"/>
      <c r="Y52" s="90"/>
      <c r="Z52" s="87"/>
      <c r="AA52" s="87"/>
      <c r="AB52" s="87">
        <f t="shared" si="3"/>
        <v>1000</v>
      </c>
      <c r="AC52" s="114"/>
      <c r="AD52" s="89"/>
      <c r="AE52" s="82"/>
      <c r="AF52" s="72"/>
      <c r="AG52" s="90"/>
      <c r="AH52" s="87"/>
      <c r="AI52" s="87"/>
      <c r="AJ52" s="87">
        <f t="shared" si="4"/>
        <v>2000</v>
      </c>
      <c r="AK52" s="114"/>
      <c r="AL52" s="89"/>
      <c r="AM52" s="82"/>
      <c r="AN52" s="72"/>
      <c r="AO52" s="90"/>
      <c r="AP52" s="87"/>
      <c r="AQ52" s="87"/>
      <c r="AR52" s="87">
        <f t="shared" si="5"/>
        <v>1000</v>
      </c>
      <c r="AS52" s="114"/>
      <c r="AT52" s="89"/>
      <c r="AU52" s="82"/>
      <c r="AV52" s="72"/>
      <c r="AW52" s="90"/>
      <c r="AX52" s="87"/>
      <c r="AY52" s="87"/>
      <c r="AZ52" s="87">
        <f t="shared" si="6"/>
        <v>1150</v>
      </c>
      <c r="BA52" s="114"/>
      <c r="BB52" s="211"/>
      <c r="BC52" s="82"/>
      <c r="BD52" s="72"/>
      <c r="BE52" s="90"/>
      <c r="BF52" s="87"/>
      <c r="BG52" s="87"/>
      <c r="BH52" s="87">
        <f t="shared" si="7"/>
        <v>7000</v>
      </c>
      <c r="BI52" s="114"/>
      <c r="BJ52" s="220"/>
      <c r="BK52" s="82"/>
      <c r="BL52" s="72"/>
      <c r="BM52" s="90"/>
      <c r="BN52" s="87"/>
      <c r="BO52" s="87"/>
      <c r="BP52" s="87">
        <f t="shared" si="8"/>
        <v>1000</v>
      </c>
      <c r="BQ52" s="114"/>
      <c r="BR52" s="89"/>
      <c r="BS52" s="82"/>
      <c r="BT52" s="72"/>
      <c r="BU52" s="90"/>
      <c r="BV52" s="87"/>
      <c r="BW52" s="87"/>
      <c r="BX52" s="87">
        <f t="shared" si="9"/>
        <v>0</v>
      </c>
      <c r="BY52" s="114"/>
      <c r="BZ52" s="89"/>
      <c r="CA52" s="82"/>
      <c r="CB52" s="72"/>
      <c r="CC52" s="90"/>
      <c r="CD52" s="87"/>
      <c r="CE52" s="87"/>
      <c r="CF52" s="87">
        <f t="shared" si="10"/>
        <v>0</v>
      </c>
      <c r="CG52" s="114"/>
      <c r="CH52" s="89"/>
      <c r="CI52" s="82"/>
      <c r="CJ52" s="72"/>
      <c r="CK52" s="90"/>
      <c r="CL52" s="87"/>
      <c r="CM52" s="87"/>
      <c r="CN52" s="87">
        <f t="shared" si="11"/>
        <v>0</v>
      </c>
      <c r="CO52" s="114"/>
      <c r="CP52" s="89"/>
      <c r="CQ52" s="82"/>
      <c r="CR52" s="72"/>
      <c r="CS52" s="90"/>
      <c r="CT52" s="87"/>
      <c r="CU52" s="87"/>
      <c r="CV52" s="87">
        <f t="shared" si="12"/>
        <v>0</v>
      </c>
      <c r="CW52" s="114"/>
      <c r="CX52" s="220"/>
      <c r="CY52" s="82"/>
      <c r="CZ52" s="72"/>
      <c r="DA52" s="90"/>
      <c r="DB52" s="87"/>
      <c r="DC52" s="87"/>
      <c r="DD52" s="87">
        <f t="shared" si="13"/>
        <v>0</v>
      </c>
      <c r="DE52" s="114"/>
      <c r="DF52" s="89"/>
      <c r="DG52" s="82"/>
      <c r="DH52" s="72"/>
      <c r="DI52" s="90"/>
      <c r="DJ52" s="87"/>
      <c r="DK52" s="87"/>
      <c r="DL52" s="87">
        <f t="shared" si="14"/>
        <v>0</v>
      </c>
      <c r="DM52" s="114"/>
      <c r="DN52" s="89"/>
      <c r="DO52" s="82"/>
      <c r="DP52" s="72"/>
      <c r="DQ52" s="90"/>
      <c r="DR52" s="87"/>
      <c r="DS52" s="87"/>
      <c r="DT52" s="87">
        <f t="shared" si="15"/>
        <v>0</v>
      </c>
      <c r="DU52" s="114"/>
      <c r="DV52" s="89"/>
      <c r="DW52" s="82"/>
      <c r="DX52" s="72"/>
      <c r="DY52" s="90"/>
      <c r="DZ52" s="87"/>
      <c r="EA52" s="87"/>
      <c r="EB52" s="87">
        <f t="shared" si="16"/>
        <v>0</v>
      </c>
      <c r="EC52" s="114"/>
      <c r="ED52" s="89"/>
      <c r="EE52" s="82"/>
      <c r="EF52" s="72"/>
      <c r="EG52" s="90"/>
      <c r="EH52" s="87"/>
      <c r="EI52" s="87"/>
      <c r="EJ52" s="87">
        <f t="shared" si="17"/>
        <v>0</v>
      </c>
      <c r="EK52" s="114"/>
      <c r="EL52" s="89"/>
      <c r="EM52" s="82"/>
      <c r="EO52" s="90"/>
      <c r="EP52" s="87"/>
      <c r="EQ52" s="87"/>
      <c r="ER52" s="87">
        <f t="shared" si="18"/>
        <v>0</v>
      </c>
      <c r="ES52" s="114"/>
      <c r="ET52" s="89"/>
      <c r="EU52" s="82"/>
      <c r="EW52" s="90"/>
      <c r="EX52" s="87"/>
      <c r="EY52" s="87"/>
      <c r="EZ52" s="87">
        <f t="shared" si="19"/>
        <v>0</v>
      </c>
      <c r="FA52" s="114"/>
      <c r="FB52" s="89"/>
      <c r="FC52" s="82"/>
      <c r="FE52" s="90"/>
      <c r="FF52" s="87"/>
      <c r="FG52" s="87"/>
      <c r="FH52" s="87">
        <f t="shared" si="93"/>
        <v>0</v>
      </c>
      <c r="FI52" s="114"/>
      <c r="FJ52" s="89"/>
      <c r="FK52" s="82"/>
      <c r="FM52" s="90"/>
      <c r="FN52" s="87"/>
      <c r="FO52" s="87"/>
      <c r="FP52" s="87">
        <f t="shared" si="20"/>
        <v>0</v>
      </c>
      <c r="FQ52" s="114"/>
      <c r="FR52" s="89"/>
      <c r="FS52" s="82"/>
      <c r="FU52" s="90"/>
      <c r="FV52" s="87"/>
      <c r="FW52" s="87"/>
      <c r="FX52" s="87">
        <f t="shared" si="21"/>
        <v>0</v>
      </c>
      <c r="FY52" s="165"/>
      <c r="FZ52" s="89"/>
      <c r="GA52" s="82"/>
      <c r="GC52" s="90"/>
      <c r="GD52" s="87"/>
      <c r="GE52" s="87"/>
      <c r="GF52" s="87">
        <f t="shared" si="22"/>
        <v>0</v>
      </c>
      <c r="GG52" s="114"/>
      <c r="GH52" s="89"/>
      <c r="GI52" s="82"/>
      <c r="GK52" s="90"/>
      <c r="GL52" s="87"/>
      <c r="GM52" s="87"/>
      <c r="GN52" s="87">
        <f t="shared" si="23"/>
        <v>0</v>
      </c>
      <c r="GO52" s="114"/>
      <c r="GP52" s="89"/>
      <c r="GQ52" s="82"/>
      <c r="GS52" s="90"/>
      <c r="GT52" s="87"/>
      <c r="GU52" s="87"/>
      <c r="GV52" s="87">
        <f t="shared" si="24"/>
        <v>0</v>
      </c>
      <c r="GW52" s="114"/>
      <c r="GX52" s="89"/>
      <c r="GY52" s="82"/>
      <c r="HA52" s="90"/>
      <c r="HB52" s="87"/>
      <c r="HC52" s="87"/>
      <c r="HD52" s="87">
        <f t="shared" si="25"/>
        <v>0</v>
      </c>
      <c r="HE52" s="114"/>
      <c r="HF52" s="89"/>
      <c r="HG52" s="82"/>
      <c r="HI52" s="90"/>
      <c r="HJ52" s="87"/>
      <c r="HK52" s="87"/>
      <c r="HL52" s="87">
        <f t="shared" si="26"/>
        <v>0</v>
      </c>
      <c r="HM52" s="114"/>
      <c r="HN52" s="89"/>
      <c r="HO52" s="82"/>
      <c r="HQ52" s="90"/>
      <c r="HR52" s="87"/>
      <c r="HS52" s="87"/>
      <c r="HT52" s="87">
        <f t="shared" si="27"/>
        <v>0</v>
      </c>
      <c r="HU52" s="114"/>
      <c r="HV52" s="89"/>
      <c r="HW52" s="82"/>
      <c r="HY52" s="90"/>
      <c r="HZ52" s="87"/>
      <c r="IA52" s="87"/>
      <c r="IB52" s="87">
        <f t="shared" si="28"/>
        <v>0</v>
      </c>
      <c r="IC52" s="114"/>
      <c r="ID52" s="89"/>
      <c r="IE52" s="82"/>
      <c r="IG52" s="90"/>
      <c r="IH52" s="87"/>
      <c r="II52" s="87"/>
      <c r="IJ52" s="87">
        <f t="shared" si="29"/>
        <v>0</v>
      </c>
      <c r="IK52" s="114"/>
      <c r="IL52" s="89"/>
      <c r="IM52" s="82"/>
      <c r="IO52" s="90"/>
      <c r="IP52" s="87"/>
      <c r="IQ52" s="87"/>
      <c r="IR52" s="87">
        <f t="shared" si="30"/>
        <v>0</v>
      </c>
      <c r="IS52" s="114"/>
      <c r="IT52" s="89"/>
      <c r="IU52" s="82"/>
      <c r="IW52" s="90"/>
      <c r="IX52" s="87"/>
      <c r="IY52" s="87"/>
      <c r="IZ52" s="87">
        <f t="shared" si="31"/>
        <v>0</v>
      </c>
      <c r="JA52" s="114"/>
      <c r="JB52" s="89"/>
      <c r="JC52" s="82"/>
      <c r="JE52" s="90"/>
      <c r="JF52" s="87"/>
      <c r="JG52" s="87"/>
      <c r="JH52" s="87">
        <f t="shared" si="32"/>
        <v>0</v>
      </c>
      <c r="JI52" s="114"/>
      <c r="JJ52" s="89"/>
      <c r="JK52" s="82"/>
      <c r="JM52" s="90"/>
      <c r="JN52" s="87"/>
      <c r="JO52" s="87"/>
      <c r="JP52" s="87">
        <f t="shared" si="33"/>
        <v>0</v>
      </c>
      <c r="JQ52" s="114"/>
      <c r="JR52" s="91"/>
      <c r="JS52" s="82"/>
      <c r="JU52" s="90"/>
      <c r="JV52" s="87"/>
      <c r="JW52" s="87"/>
      <c r="JX52" s="87">
        <f t="shared" si="94"/>
        <v>0</v>
      </c>
      <c r="JY52" s="114"/>
      <c r="JZ52" s="89"/>
      <c r="KA52" s="82"/>
      <c r="KC52" s="90"/>
      <c r="KD52" s="87"/>
      <c r="KE52" s="87"/>
      <c r="KF52" s="87">
        <f t="shared" si="34"/>
        <v>0</v>
      </c>
      <c r="KG52" s="114"/>
      <c r="KH52" s="86"/>
      <c r="KI52" s="109"/>
      <c r="KK52" s="90"/>
      <c r="KL52" s="87"/>
      <c r="KM52" s="87"/>
      <c r="KN52" s="87">
        <f t="shared" si="35"/>
        <v>0</v>
      </c>
      <c r="KO52" s="114"/>
      <c r="KP52" s="89"/>
      <c r="KQ52" s="82"/>
      <c r="KS52" s="90"/>
      <c r="KT52" s="87"/>
      <c r="KU52" s="87"/>
      <c r="KV52" s="87">
        <f t="shared" si="36"/>
        <v>0</v>
      </c>
      <c r="KW52" s="114"/>
      <c r="KX52" s="89"/>
      <c r="KY52" s="82"/>
      <c r="LA52" s="90"/>
      <c r="LB52" s="87"/>
      <c r="LC52" s="87"/>
      <c r="LD52" s="87">
        <f t="shared" si="37"/>
        <v>0</v>
      </c>
      <c r="LE52" s="114"/>
      <c r="LF52" s="89"/>
      <c r="LG52" s="82"/>
      <c r="LI52" s="90"/>
      <c r="LJ52" s="87"/>
      <c r="LK52" s="87"/>
      <c r="LL52" s="87">
        <f t="shared" si="38"/>
        <v>0</v>
      </c>
      <c r="LM52" s="114"/>
      <c r="LN52" s="89"/>
      <c r="LO52" s="82"/>
      <c r="LQ52" s="90"/>
      <c r="LR52" s="87"/>
      <c r="LS52" s="87"/>
      <c r="LT52" s="87">
        <f t="shared" si="39"/>
        <v>0</v>
      </c>
      <c r="LU52" s="114"/>
      <c r="LV52" s="89"/>
      <c r="LW52" s="82"/>
      <c r="LY52" s="90"/>
      <c r="LZ52" s="87"/>
      <c r="MA52" s="87"/>
      <c r="MB52" s="87">
        <f t="shared" si="40"/>
        <v>0</v>
      </c>
      <c r="MC52" s="114"/>
      <c r="MD52" s="89"/>
      <c r="ME52" s="82"/>
      <c r="MG52" s="90"/>
      <c r="MH52" s="87"/>
      <c r="MI52" s="87"/>
      <c r="MJ52" s="87">
        <f t="shared" si="41"/>
        <v>0</v>
      </c>
      <c r="MK52" s="114"/>
      <c r="ML52" s="89"/>
      <c r="MM52" s="82"/>
      <c r="MO52" s="90"/>
      <c r="MP52" s="87"/>
      <c r="MQ52" s="87"/>
      <c r="MR52" s="87">
        <f t="shared" si="42"/>
        <v>0</v>
      </c>
      <c r="MS52" s="114"/>
      <c r="MT52" s="89"/>
      <c r="MU52" s="82"/>
      <c r="MW52" s="90"/>
      <c r="MX52" s="87"/>
      <c r="MY52" s="87"/>
      <c r="MZ52" s="87">
        <f t="shared" si="43"/>
        <v>0</v>
      </c>
      <c r="NA52" s="114"/>
      <c r="NB52" s="89"/>
      <c r="NC52" s="82"/>
      <c r="NE52" s="90"/>
      <c r="NF52" s="87"/>
      <c r="NG52" s="87"/>
      <c r="NH52" s="87">
        <f t="shared" si="44"/>
        <v>0</v>
      </c>
      <c r="NI52" s="114"/>
      <c r="NJ52" s="89"/>
      <c r="NK52" s="82"/>
      <c r="NM52" s="90"/>
      <c r="NN52" s="87"/>
      <c r="NO52" s="87"/>
      <c r="NP52" s="87">
        <f t="shared" si="45"/>
        <v>0</v>
      </c>
      <c r="NQ52" s="114"/>
      <c r="NR52" s="89"/>
      <c r="NS52" s="82"/>
      <c r="NU52" s="90"/>
      <c r="NV52" s="87"/>
      <c r="NW52" s="87"/>
      <c r="NX52" s="87">
        <f t="shared" si="46"/>
        <v>0</v>
      </c>
      <c r="NY52" s="114"/>
      <c r="NZ52" s="89"/>
      <c r="OA52" s="82"/>
      <c r="OC52" s="90"/>
      <c r="OD52" s="87"/>
      <c r="OE52" s="87"/>
      <c r="OF52" s="87">
        <f t="shared" si="47"/>
        <v>0</v>
      </c>
      <c r="OG52" s="114"/>
      <c r="OH52" s="89"/>
      <c r="OI52" s="82"/>
      <c r="OK52" s="90"/>
      <c r="OL52" s="87"/>
      <c r="OM52" s="87"/>
      <c r="ON52" s="87">
        <f t="shared" si="48"/>
        <v>0</v>
      </c>
      <c r="OO52" s="114"/>
      <c r="OP52" s="89"/>
      <c r="OQ52" s="82"/>
      <c r="OS52" s="90"/>
      <c r="OT52" s="87"/>
      <c r="OU52" s="87"/>
      <c r="OV52" s="87">
        <f t="shared" si="49"/>
        <v>0</v>
      </c>
      <c r="OW52" s="114"/>
      <c r="OX52" s="89"/>
      <c r="OY52" s="82"/>
      <c r="PA52" s="90"/>
      <c r="PB52" s="87"/>
      <c r="PC52" s="87"/>
      <c r="PD52" s="87">
        <f t="shared" si="50"/>
        <v>0</v>
      </c>
      <c r="PE52" s="114"/>
      <c r="PF52" s="89"/>
      <c r="PG52" s="82"/>
      <c r="PI52" s="90"/>
      <c r="PJ52" s="87"/>
      <c r="PK52" s="87"/>
      <c r="PL52" s="87">
        <f t="shared" si="51"/>
        <v>0</v>
      </c>
      <c r="PM52" s="114"/>
      <c r="PN52" s="211"/>
      <c r="PO52" s="216"/>
      <c r="PQ52" s="90"/>
      <c r="PR52" s="87"/>
      <c r="PS52" s="87"/>
      <c r="PT52" s="87">
        <f t="shared" si="52"/>
        <v>0</v>
      </c>
      <c r="PU52" s="114"/>
      <c r="PV52" s="89"/>
      <c r="PW52" s="82"/>
      <c r="PY52" s="90"/>
      <c r="PZ52" s="87"/>
      <c r="QA52" s="87"/>
      <c r="QB52" s="87">
        <f t="shared" si="53"/>
        <v>0</v>
      </c>
      <c r="QC52" s="114"/>
      <c r="QD52" s="89"/>
      <c r="QE52" s="82"/>
      <c r="QG52" s="90"/>
      <c r="QH52" s="87"/>
      <c r="QI52" s="87"/>
      <c r="QJ52" s="87">
        <f t="shared" si="54"/>
        <v>0</v>
      </c>
      <c r="QK52" s="114"/>
      <c r="QL52" s="89"/>
      <c r="QM52" s="82"/>
      <c r="QO52" s="90"/>
      <c r="QP52" s="87"/>
      <c r="QQ52" s="87"/>
      <c r="QR52" s="87">
        <f t="shared" si="55"/>
        <v>0</v>
      </c>
      <c r="QS52" s="114"/>
      <c r="QT52" s="211"/>
      <c r="QU52" s="216"/>
      <c r="QW52" s="90"/>
      <c r="QX52" s="87"/>
      <c r="QY52" s="87"/>
      <c r="QZ52" s="87">
        <f t="shared" si="56"/>
        <v>0</v>
      </c>
      <c r="RA52" s="114"/>
      <c r="RB52" s="89"/>
      <c r="RC52" s="82"/>
      <c r="RE52" s="90"/>
      <c r="RF52" s="87"/>
      <c r="RG52" s="87"/>
      <c r="RH52" s="87">
        <f t="shared" si="57"/>
        <v>0</v>
      </c>
      <c r="RI52" s="114"/>
      <c r="RJ52" s="89"/>
      <c r="RK52" s="170"/>
      <c r="RM52" s="90"/>
      <c r="RN52" s="87"/>
      <c r="RO52" s="87"/>
      <c r="RP52" s="87">
        <f t="shared" si="58"/>
        <v>0</v>
      </c>
      <c r="RQ52" s="114"/>
      <c r="RR52" s="89"/>
      <c r="RS52" s="82"/>
      <c r="RU52" s="90"/>
      <c r="RV52" s="87"/>
      <c r="RW52" s="87"/>
      <c r="RX52" s="87">
        <f t="shared" si="59"/>
        <v>0</v>
      </c>
      <c r="RY52" s="114"/>
      <c r="RZ52" s="89"/>
      <c r="SA52" s="82"/>
      <c r="SC52" s="90"/>
      <c r="SD52" s="87"/>
      <c r="SE52" s="87"/>
      <c r="SF52" s="87">
        <f t="shared" si="60"/>
        <v>0</v>
      </c>
      <c r="SG52" s="114"/>
      <c r="SH52" s="89"/>
      <c r="SI52" s="82"/>
      <c r="SK52" s="90"/>
      <c r="SL52" s="87"/>
      <c r="SM52" s="87"/>
      <c r="SN52" s="87">
        <f t="shared" si="61"/>
        <v>0</v>
      </c>
      <c r="SO52" s="114"/>
      <c r="SP52" s="89"/>
      <c r="SQ52" s="82"/>
      <c r="SS52" s="90"/>
      <c r="ST52" s="87"/>
      <c r="SU52" s="87"/>
      <c r="SV52" s="87">
        <f t="shared" si="62"/>
        <v>0</v>
      </c>
      <c r="SW52" s="114"/>
      <c r="SX52" s="89"/>
      <c r="SY52" s="82"/>
      <c r="TA52" s="90"/>
      <c r="TB52" s="87"/>
      <c r="TC52" s="87"/>
      <c r="TD52" s="87">
        <f t="shared" si="63"/>
        <v>0</v>
      </c>
      <c r="TE52" s="114"/>
      <c r="TF52" s="89"/>
      <c r="TG52" s="82"/>
      <c r="TI52" s="90"/>
      <c r="TJ52" s="87"/>
      <c r="TK52" s="87"/>
      <c r="TL52" s="87">
        <f t="shared" si="64"/>
        <v>0</v>
      </c>
      <c r="TM52" s="114"/>
      <c r="TN52" s="89"/>
      <c r="TO52" s="82"/>
      <c r="TQ52" s="90"/>
      <c r="TR52" s="87"/>
      <c r="TS52" s="87"/>
      <c r="TT52" s="87">
        <f t="shared" si="65"/>
        <v>0</v>
      </c>
      <c r="TU52" s="114"/>
      <c r="TV52" s="91"/>
      <c r="TW52" s="82"/>
      <c r="TY52" s="90"/>
      <c r="TZ52" s="87"/>
      <c r="UA52" s="87"/>
      <c r="UB52" s="87">
        <f t="shared" si="66"/>
        <v>0</v>
      </c>
      <c r="UC52" s="114"/>
      <c r="UD52" s="89"/>
      <c r="UE52" s="82"/>
      <c r="UG52" s="90"/>
      <c r="UH52" s="87"/>
      <c r="UI52" s="87"/>
      <c r="UJ52" s="87">
        <f t="shared" si="67"/>
        <v>0</v>
      </c>
      <c r="UK52" s="114"/>
      <c r="UL52" s="89"/>
      <c r="UM52" s="82"/>
      <c r="UO52" s="90"/>
      <c r="UP52" s="87"/>
      <c r="UQ52" s="87"/>
      <c r="UR52" s="87">
        <f t="shared" si="68"/>
        <v>0</v>
      </c>
      <c r="US52" s="114"/>
      <c r="UT52" s="89"/>
      <c r="UU52" s="82"/>
      <c r="UW52" s="90"/>
      <c r="UX52" s="87"/>
      <c r="UY52" s="87"/>
      <c r="UZ52" s="87">
        <f t="shared" si="69"/>
        <v>0</v>
      </c>
      <c r="VA52" s="114"/>
      <c r="VB52" s="89"/>
      <c r="VC52" s="82"/>
      <c r="VE52" s="90"/>
      <c r="VF52" s="87"/>
      <c r="VG52" s="87"/>
      <c r="VH52" s="87">
        <f t="shared" si="70"/>
        <v>0</v>
      </c>
      <c r="VI52" s="114"/>
      <c r="VJ52" s="89"/>
      <c r="VK52" s="82"/>
      <c r="VM52" s="90"/>
      <c r="VN52" s="87"/>
      <c r="VO52" s="87"/>
      <c r="VP52" s="87">
        <f t="shared" si="71"/>
        <v>0</v>
      </c>
      <c r="VQ52" s="114"/>
      <c r="VR52" s="89"/>
      <c r="VS52" s="82"/>
      <c r="VU52" s="90"/>
      <c r="VV52" s="87"/>
      <c r="VW52" s="87"/>
      <c r="VX52" s="87">
        <f t="shared" si="72"/>
        <v>0</v>
      </c>
      <c r="VY52" s="114"/>
      <c r="VZ52" s="89"/>
      <c r="WA52" s="82"/>
      <c r="WC52" s="90"/>
      <c r="WD52" s="87"/>
      <c r="WE52" s="87"/>
      <c r="WF52" s="87">
        <f t="shared" si="73"/>
        <v>0</v>
      </c>
      <c r="WG52" s="114"/>
      <c r="WH52" s="89"/>
      <c r="WI52" s="82"/>
      <c r="WK52" s="90"/>
      <c r="WL52" s="87"/>
      <c r="WM52" s="87"/>
      <c r="WN52" s="87">
        <f t="shared" si="74"/>
        <v>0</v>
      </c>
      <c r="WO52" s="114"/>
      <c r="WP52" s="89"/>
      <c r="WQ52" s="82"/>
      <c r="WS52" s="90"/>
      <c r="WT52" s="87"/>
      <c r="WU52" s="87"/>
      <c r="WV52" s="87">
        <f t="shared" si="75"/>
        <v>0</v>
      </c>
      <c r="WW52" s="114"/>
      <c r="WX52" s="89"/>
      <c r="WY52" s="82"/>
      <c r="XA52" s="90"/>
      <c r="XB52" s="87"/>
      <c r="XC52" s="87"/>
      <c r="XD52" s="87">
        <f t="shared" si="76"/>
        <v>0</v>
      </c>
      <c r="XE52" s="114"/>
      <c r="XF52" s="89"/>
      <c r="XG52" s="82"/>
      <c r="XI52" s="90"/>
      <c r="XJ52" s="87"/>
      <c r="XK52" s="87"/>
      <c r="XL52" s="87">
        <f t="shared" si="77"/>
        <v>0</v>
      </c>
      <c r="XM52" s="114"/>
      <c r="XN52" s="89"/>
      <c r="XO52" s="82"/>
      <c r="XQ52" s="90"/>
      <c r="XR52" s="87"/>
      <c r="XS52" s="87"/>
      <c r="XT52" s="87">
        <f t="shared" si="78"/>
        <v>0</v>
      </c>
      <c r="XU52" s="114"/>
      <c r="XV52" s="89"/>
      <c r="XW52" s="82"/>
      <c r="XY52" s="90"/>
      <c r="XZ52" s="87"/>
      <c r="YA52" s="87"/>
      <c r="YB52" s="87">
        <f t="shared" si="79"/>
        <v>0</v>
      </c>
      <c r="YC52" s="114"/>
      <c r="YD52" s="89"/>
      <c r="YE52" s="82"/>
      <c r="YG52" s="90"/>
      <c r="YH52" s="87"/>
      <c r="YI52" s="87"/>
      <c r="YJ52" s="87">
        <f t="shared" si="80"/>
        <v>0</v>
      </c>
      <c r="YK52" s="114"/>
      <c r="YL52" s="89"/>
      <c r="YM52" s="82"/>
      <c r="YO52" s="90"/>
      <c r="YP52" s="87"/>
      <c r="YQ52" s="87"/>
      <c r="YR52" s="87">
        <f t="shared" si="81"/>
        <v>0</v>
      </c>
      <c r="YS52" s="114"/>
      <c r="YT52" s="89"/>
      <c r="YU52" s="82"/>
      <c r="YW52" s="90"/>
      <c r="YX52" s="87"/>
      <c r="YY52" s="87"/>
      <c r="YZ52" s="87">
        <f t="shared" si="82"/>
        <v>0</v>
      </c>
      <c r="ZA52" s="114"/>
      <c r="ZB52" s="89"/>
      <c r="ZC52" s="82"/>
      <c r="ZE52" s="90"/>
      <c r="ZF52" s="87"/>
      <c r="ZG52" s="87"/>
      <c r="ZH52" s="87">
        <f t="shared" si="83"/>
        <v>0</v>
      </c>
      <c r="ZI52" s="114"/>
      <c r="ZJ52" s="89"/>
      <c r="ZK52" s="82"/>
      <c r="ZM52" s="90"/>
      <c r="ZN52" s="87"/>
      <c r="ZO52" s="87"/>
      <c r="ZP52" s="87">
        <f t="shared" si="84"/>
        <v>0</v>
      </c>
      <c r="ZQ52" s="114"/>
      <c r="ZR52" s="89"/>
      <c r="ZS52" s="82"/>
      <c r="ZU52" s="90"/>
      <c r="ZV52" s="87"/>
      <c r="ZW52" s="87"/>
      <c r="ZX52" s="87">
        <f t="shared" si="85"/>
        <v>0</v>
      </c>
      <c r="ZY52" s="114"/>
      <c r="ZZ52" s="89"/>
      <c r="AAA52" s="82"/>
      <c r="AAC52" s="90"/>
      <c r="AAD52" s="87"/>
      <c r="AAE52" s="87"/>
      <c r="AAF52" s="87">
        <f t="shared" si="86"/>
        <v>0</v>
      </c>
      <c r="AAG52" s="114"/>
      <c r="AAH52" s="89"/>
      <c r="AAI52" s="82"/>
      <c r="AAK52" s="90"/>
      <c r="AAL52" s="87"/>
      <c r="AAM52" s="87"/>
      <c r="AAN52" s="87">
        <f t="shared" si="87"/>
        <v>0</v>
      </c>
      <c r="AAO52" s="114"/>
      <c r="AAP52" s="89"/>
      <c r="AAQ52" s="82"/>
      <c r="AAS52" s="90"/>
      <c r="AAT52" s="87"/>
      <c r="AAU52" s="87"/>
      <c r="AAV52" s="87">
        <f t="shared" si="88"/>
        <v>0</v>
      </c>
      <c r="AAW52" s="114"/>
      <c r="AAX52" s="89"/>
      <c r="AAY52" s="82"/>
      <c r="ABA52" s="90"/>
      <c r="ABB52" s="87"/>
      <c r="ABC52" s="87"/>
      <c r="ABD52" s="87">
        <f t="shared" si="89"/>
        <v>0</v>
      </c>
      <c r="ABE52" s="114"/>
      <c r="ABF52" s="89"/>
      <c r="ABG52" s="82"/>
      <c r="ABI52" s="90"/>
      <c r="ABJ52" s="87"/>
      <c r="ABK52" s="87"/>
      <c r="ABL52" s="87">
        <f t="shared" si="90"/>
        <v>0</v>
      </c>
      <c r="ABM52" s="114"/>
      <c r="ABN52" s="89"/>
      <c r="ABO52" s="82"/>
      <c r="ABQ52" s="90"/>
      <c r="ABR52" s="87"/>
      <c r="ABS52" s="87"/>
      <c r="ABT52" s="87">
        <f t="shared" si="91"/>
        <v>0</v>
      </c>
      <c r="ABU52" s="114"/>
      <c r="ABV52" s="89"/>
      <c r="ABW52" s="82"/>
      <c r="ABY52" s="90"/>
      <c r="ABZ52" s="87"/>
      <c r="ACA52" s="87"/>
      <c r="ACB52" s="87">
        <f t="shared" si="92"/>
        <v>0</v>
      </c>
      <c r="ACC52" s="114"/>
      <c r="ACD52" s="89"/>
      <c r="ACE52" s="82"/>
    </row>
    <row r="53" spans="1:759" ht="12" customHeight="1" x14ac:dyDescent="0.25">
      <c r="A53" s="84"/>
      <c r="B53" s="85"/>
      <c r="C53" s="87"/>
      <c r="D53" s="87">
        <f t="shared" si="2"/>
        <v>1700</v>
      </c>
      <c r="E53" s="114"/>
      <c r="F53" s="211"/>
      <c r="G53" s="382"/>
      <c r="H53" s="72"/>
      <c r="I53" s="90"/>
      <c r="J53" s="87"/>
      <c r="K53" s="87"/>
      <c r="L53" s="87">
        <f t="shared" si="0"/>
        <v>1000</v>
      </c>
      <c r="M53" s="114"/>
      <c r="N53" s="89"/>
      <c r="O53" s="82"/>
      <c r="P53" s="72"/>
      <c r="Q53" s="90"/>
      <c r="R53" s="87"/>
      <c r="S53" s="87"/>
      <c r="T53" s="87">
        <f t="shared" si="1"/>
        <v>4000</v>
      </c>
      <c r="U53" s="114"/>
      <c r="V53" s="89"/>
      <c r="W53" s="82"/>
      <c r="X53" s="72"/>
      <c r="Y53" s="90"/>
      <c r="Z53" s="87"/>
      <c r="AA53" s="87"/>
      <c r="AB53" s="87">
        <f>SUM(AB52,Z53,-AA53)</f>
        <v>1000</v>
      </c>
      <c r="AC53" s="114"/>
      <c r="AD53" s="89"/>
      <c r="AE53" s="82"/>
      <c r="AF53" s="72"/>
      <c r="AG53" s="90"/>
      <c r="AH53" s="87"/>
      <c r="AI53" s="87"/>
      <c r="AJ53" s="87">
        <f>SUM(AJ52,AH53,-AI53)</f>
        <v>2000</v>
      </c>
      <c r="AK53" s="114"/>
      <c r="AL53" s="89"/>
      <c r="AM53" s="82"/>
      <c r="AN53" s="72"/>
      <c r="AO53" s="90"/>
      <c r="AP53" s="87"/>
      <c r="AQ53" s="87"/>
      <c r="AR53" s="87">
        <f>SUM(AR52,AP53,-AQ53)</f>
        <v>1000</v>
      </c>
      <c r="AS53" s="114"/>
      <c r="AT53" s="89"/>
      <c r="AU53" s="82"/>
      <c r="AV53" s="72"/>
      <c r="AW53" s="90"/>
      <c r="AX53" s="87"/>
      <c r="AY53" s="87"/>
      <c r="AZ53" s="87">
        <f>SUM(AZ52,AX53,-AY53)</f>
        <v>1150</v>
      </c>
      <c r="BA53" s="114"/>
      <c r="BB53" s="211"/>
      <c r="BC53" s="82"/>
      <c r="BD53" s="72"/>
      <c r="BE53" s="90"/>
      <c r="BF53" s="87"/>
      <c r="BG53" s="87"/>
      <c r="BH53" s="87">
        <f>SUM(BH52,BF53,-BG53)</f>
        <v>7000</v>
      </c>
      <c r="BI53" s="114"/>
      <c r="BJ53" s="220"/>
      <c r="BK53" s="82"/>
      <c r="BL53" s="72"/>
      <c r="BM53" s="90"/>
      <c r="BN53" s="87"/>
      <c r="BO53" s="87"/>
      <c r="BP53" s="87">
        <f>SUM(BP52,BN53,-BO53)</f>
        <v>1000</v>
      </c>
      <c r="BQ53" s="114"/>
      <c r="BR53" s="89"/>
      <c r="BS53" s="82"/>
      <c r="BT53" s="72"/>
      <c r="BU53" s="90"/>
      <c r="BV53" s="87"/>
      <c r="BW53" s="87"/>
      <c r="BX53" s="87">
        <f>SUM(BX52,BV53,-BW53)</f>
        <v>0</v>
      </c>
      <c r="BY53" s="114"/>
      <c r="BZ53" s="89"/>
      <c r="CA53" s="82"/>
      <c r="CB53" s="72"/>
      <c r="CC53" s="90"/>
      <c r="CD53" s="87"/>
      <c r="CE53" s="87"/>
      <c r="CF53" s="87">
        <f>SUM(CF52,CD53,-CE53)</f>
        <v>0</v>
      </c>
      <c r="CG53" s="114"/>
      <c r="CH53" s="89"/>
      <c r="CI53" s="82"/>
      <c r="CJ53" s="72"/>
      <c r="CK53" s="90"/>
      <c r="CL53" s="87"/>
      <c r="CM53" s="87"/>
      <c r="CN53" s="87">
        <f>SUM(CN52,CL53,-CM53)</f>
        <v>0</v>
      </c>
      <c r="CO53" s="114"/>
      <c r="CP53" s="89"/>
      <c r="CQ53" s="82"/>
      <c r="CR53" s="72"/>
      <c r="CS53" s="90"/>
      <c r="CT53" s="87"/>
      <c r="CU53" s="87"/>
      <c r="CV53" s="87">
        <f>SUM(CV52,CT53,-CU53)</f>
        <v>0</v>
      </c>
      <c r="CW53" s="114"/>
      <c r="CX53" s="220"/>
      <c r="CY53" s="82"/>
      <c r="CZ53" s="72"/>
      <c r="DA53" s="90"/>
      <c r="DB53" s="87"/>
      <c r="DC53" s="87"/>
      <c r="DD53" s="87">
        <f>SUM(DD52,DB53,-DC53)</f>
        <v>0</v>
      </c>
      <c r="DE53" s="114"/>
      <c r="DF53" s="89"/>
      <c r="DG53" s="82"/>
      <c r="DH53" s="72"/>
      <c r="DI53" s="90"/>
      <c r="DJ53" s="87"/>
      <c r="DK53" s="87"/>
      <c r="DL53" s="87">
        <f>SUM(DL52,DJ53,-DK53)</f>
        <v>0</v>
      </c>
      <c r="DM53" s="114"/>
      <c r="DN53" s="89"/>
      <c r="DO53" s="82"/>
      <c r="DP53" s="72"/>
      <c r="DQ53" s="90"/>
      <c r="DR53" s="87"/>
      <c r="DS53" s="87"/>
      <c r="DT53" s="87">
        <f>SUM(DT52,DR53,-DS53)</f>
        <v>0</v>
      </c>
      <c r="DU53" s="114"/>
      <c r="DV53" s="89"/>
      <c r="DW53" s="82"/>
      <c r="DX53" s="72"/>
      <c r="DY53" s="90"/>
      <c r="DZ53" s="87"/>
      <c r="EA53" s="87"/>
      <c r="EB53" s="87">
        <f>SUM(EB52,DZ53,-EA53)</f>
        <v>0</v>
      </c>
      <c r="EC53" s="114"/>
      <c r="ED53" s="89"/>
      <c r="EE53" s="82"/>
      <c r="EF53" s="72"/>
      <c r="EG53" s="90"/>
      <c r="EH53" s="87"/>
      <c r="EI53" s="87"/>
      <c r="EJ53" s="87">
        <f>SUM(EJ52,EH53,-EI53)</f>
        <v>0</v>
      </c>
      <c r="EK53" s="114"/>
      <c r="EL53" s="89"/>
      <c r="EM53" s="82"/>
      <c r="EO53" s="90"/>
      <c r="EP53" s="87"/>
      <c r="EQ53" s="87"/>
      <c r="ER53" s="87">
        <f>SUM(ER52,EP53,-EQ53)</f>
        <v>0</v>
      </c>
      <c r="ES53" s="114"/>
      <c r="ET53" s="89"/>
      <c r="EU53" s="82"/>
      <c r="EW53" s="90"/>
      <c r="EX53" s="87"/>
      <c r="EY53" s="87"/>
      <c r="EZ53" s="87">
        <f>SUM(EZ52,EX53,-EY53)</f>
        <v>0</v>
      </c>
      <c r="FA53" s="114"/>
      <c r="FB53" s="89"/>
      <c r="FC53" s="82"/>
      <c r="FE53" s="90"/>
      <c r="FF53" s="87"/>
      <c r="FG53" s="87"/>
      <c r="FH53" s="87">
        <f>SUM(FH52,FF53,-FG53)</f>
        <v>0</v>
      </c>
      <c r="FI53" s="114"/>
      <c r="FJ53" s="89"/>
      <c r="FK53" s="82"/>
      <c r="FM53" s="90"/>
      <c r="FN53" s="87"/>
      <c r="FO53" s="87"/>
      <c r="FP53" s="87">
        <f>SUM(FP52,FN53,-FO53)</f>
        <v>0</v>
      </c>
      <c r="FQ53" s="114"/>
      <c r="FR53" s="89"/>
      <c r="FS53" s="82"/>
      <c r="FU53" s="90"/>
      <c r="FV53" s="87"/>
      <c r="FW53" s="87"/>
      <c r="FX53" s="87">
        <f>SUM(FX52,FV53,-FW53)</f>
        <v>0</v>
      </c>
      <c r="FY53" s="165"/>
      <c r="FZ53" s="89"/>
      <c r="GA53" s="82"/>
      <c r="GC53" s="90"/>
      <c r="GD53" s="87"/>
      <c r="GE53" s="87"/>
      <c r="GF53" s="87">
        <f>SUM(GF52,GD53,-GE53)</f>
        <v>0</v>
      </c>
      <c r="GG53" s="114"/>
      <c r="GH53" s="89"/>
      <c r="GI53" s="82"/>
      <c r="GK53" s="90"/>
      <c r="GL53" s="87"/>
      <c r="GM53" s="87"/>
      <c r="GN53" s="87">
        <f>SUM(GN52,GL53,-GM53)</f>
        <v>0</v>
      </c>
      <c r="GO53" s="114"/>
      <c r="GP53" s="89"/>
      <c r="GQ53" s="82"/>
      <c r="GS53" s="90"/>
      <c r="GT53" s="87"/>
      <c r="GU53" s="87"/>
      <c r="GV53" s="87">
        <f>SUM(GV52,GT53,-GU53)</f>
        <v>0</v>
      </c>
      <c r="GW53" s="114"/>
      <c r="GX53" s="89"/>
      <c r="GY53" s="82"/>
      <c r="HA53" s="90"/>
      <c r="HB53" s="87"/>
      <c r="HC53" s="87"/>
      <c r="HD53" s="87">
        <f>SUM(HD52,HB53,-HC53)</f>
        <v>0</v>
      </c>
      <c r="HE53" s="114"/>
      <c r="HF53" s="89"/>
      <c r="HG53" s="82"/>
      <c r="HI53" s="90"/>
      <c r="HJ53" s="87"/>
      <c r="HK53" s="87"/>
      <c r="HL53" s="87">
        <f>SUM(HL52,HJ53,-HK53)</f>
        <v>0</v>
      </c>
      <c r="HM53" s="114"/>
      <c r="HN53" s="89"/>
      <c r="HO53" s="82"/>
      <c r="HQ53" s="90"/>
      <c r="HR53" s="87"/>
      <c r="HS53" s="87"/>
      <c r="HT53" s="87">
        <f>SUM(HT52,HR53,-HS53)</f>
        <v>0</v>
      </c>
      <c r="HU53" s="114"/>
      <c r="HV53" s="89"/>
      <c r="HW53" s="82"/>
      <c r="HY53" s="90"/>
      <c r="HZ53" s="87"/>
      <c r="IA53" s="87"/>
      <c r="IB53" s="87">
        <f>SUM(IB52,HZ53,-IA53)</f>
        <v>0</v>
      </c>
      <c r="IC53" s="114"/>
      <c r="ID53" s="89"/>
      <c r="IE53" s="82"/>
      <c r="IG53" s="90"/>
      <c r="IH53" s="87"/>
      <c r="II53" s="87"/>
      <c r="IJ53" s="87">
        <f>SUM(IJ52,IH53,-II53)</f>
        <v>0</v>
      </c>
      <c r="IK53" s="114"/>
      <c r="IL53" s="89"/>
      <c r="IM53" s="82"/>
      <c r="IO53" s="90"/>
      <c r="IP53" s="87"/>
      <c r="IQ53" s="87"/>
      <c r="IR53" s="87">
        <f>SUM(IR52,IP53,-IQ53)</f>
        <v>0</v>
      </c>
      <c r="IS53" s="114"/>
      <c r="IT53" s="89"/>
      <c r="IU53" s="82"/>
      <c r="IW53" s="90"/>
      <c r="IX53" s="87"/>
      <c r="IY53" s="87"/>
      <c r="IZ53" s="87">
        <f>SUM(IZ52,IX53,-IY53)</f>
        <v>0</v>
      </c>
      <c r="JA53" s="114"/>
      <c r="JB53" s="89"/>
      <c r="JC53" s="82"/>
      <c r="JE53" s="90"/>
      <c r="JF53" s="87"/>
      <c r="JG53" s="87"/>
      <c r="JH53" s="87">
        <f>SUM(JH52,JF53,-JG53)</f>
        <v>0</v>
      </c>
      <c r="JI53" s="114"/>
      <c r="JJ53" s="89"/>
      <c r="JK53" s="82"/>
      <c r="JM53" s="90"/>
      <c r="JN53" s="87"/>
      <c r="JO53" s="87"/>
      <c r="JP53" s="87">
        <f>SUM(JP52,JN53,-JO53)</f>
        <v>0</v>
      </c>
      <c r="JQ53" s="114"/>
      <c r="JR53" s="91"/>
      <c r="JS53" s="82"/>
      <c r="JU53" s="90"/>
      <c r="JV53" s="87"/>
      <c r="JW53" s="87"/>
      <c r="JX53" s="87">
        <f>SUM(JX52,JV53,-JW53)</f>
        <v>0</v>
      </c>
      <c r="JY53" s="114"/>
      <c r="JZ53" s="89"/>
      <c r="KA53" s="82"/>
      <c r="KC53" s="90"/>
      <c r="KD53" s="87"/>
      <c r="KE53" s="87"/>
      <c r="KF53" s="87">
        <f>SUM(KF52,KD53,-KE53)</f>
        <v>0</v>
      </c>
      <c r="KG53" s="114"/>
      <c r="KH53" s="86"/>
      <c r="KI53" s="109"/>
      <c r="KK53" s="90"/>
      <c r="KL53" s="87"/>
      <c r="KM53" s="87"/>
      <c r="KN53" s="87">
        <f>SUM(KN52,KL53,-KM53)</f>
        <v>0</v>
      </c>
      <c r="KO53" s="114"/>
      <c r="KP53" s="89"/>
      <c r="KQ53" s="82"/>
      <c r="KS53" s="90"/>
      <c r="KT53" s="87"/>
      <c r="KU53" s="87"/>
      <c r="KV53" s="87">
        <f>SUM(KV52,KT53,-KU53)</f>
        <v>0</v>
      </c>
      <c r="KW53" s="114"/>
      <c r="KX53" s="89"/>
      <c r="KY53" s="82"/>
      <c r="LA53" s="90"/>
      <c r="LB53" s="87"/>
      <c r="LC53" s="87"/>
      <c r="LD53" s="87">
        <f>SUM(LD52,LB53,-LC53)</f>
        <v>0</v>
      </c>
      <c r="LE53" s="114"/>
      <c r="LF53" s="89"/>
      <c r="LG53" s="82"/>
      <c r="LI53" s="90"/>
      <c r="LJ53" s="87"/>
      <c r="LK53" s="87"/>
      <c r="LL53" s="87">
        <f>SUM(LL52,LJ53,-LK53)</f>
        <v>0</v>
      </c>
      <c r="LM53" s="114"/>
      <c r="LN53" s="89"/>
      <c r="LO53" s="82"/>
      <c r="LQ53" s="90"/>
      <c r="LR53" s="87"/>
      <c r="LS53" s="87"/>
      <c r="LT53" s="87">
        <f>SUM(LT52,LR53,-LS53)</f>
        <v>0</v>
      </c>
      <c r="LU53" s="114"/>
      <c r="LV53" s="89"/>
      <c r="LW53" s="82"/>
      <c r="LY53" s="90"/>
      <c r="LZ53" s="87"/>
      <c r="MA53" s="87"/>
      <c r="MB53" s="87">
        <f>SUM(MB52,LZ53,-MA53)</f>
        <v>0</v>
      </c>
      <c r="MC53" s="114"/>
      <c r="MD53" s="89"/>
      <c r="ME53" s="82"/>
      <c r="MG53" s="90"/>
      <c r="MH53" s="87"/>
      <c r="MI53" s="87"/>
      <c r="MJ53" s="87">
        <f>SUM(MJ52,MH53,-MI53)</f>
        <v>0</v>
      </c>
      <c r="MK53" s="114"/>
      <c r="ML53" s="89"/>
      <c r="MM53" s="82"/>
      <c r="MO53" s="90"/>
      <c r="MP53" s="87"/>
      <c r="MQ53" s="87"/>
      <c r="MR53" s="87">
        <f>SUM(MR52,MP53,-MQ53)</f>
        <v>0</v>
      </c>
      <c r="MS53" s="114"/>
      <c r="MT53" s="89"/>
      <c r="MU53" s="82"/>
      <c r="MW53" s="90"/>
      <c r="MX53" s="87"/>
      <c r="MY53" s="87"/>
      <c r="MZ53" s="87">
        <f>SUM(MZ52,MX53,-MY53)</f>
        <v>0</v>
      </c>
      <c r="NA53" s="114"/>
      <c r="NB53" s="89"/>
      <c r="NC53" s="82"/>
      <c r="NE53" s="90"/>
      <c r="NF53" s="87"/>
      <c r="NG53" s="87"/>
      <c r="NH53" s="87">
        <f>SUM(NH52,NF53,-NG53)</f>
        <v>0</v>
      </c>
      <c r="NI53" s="114"/>
      <c r="NJ53" s="89"/>
      <c r="NK53" s="82"/>
      <c r="NM53" s="90"/>
      <c r="NN53" s="87"/>
      <c r="NO53" s="87"/>
      <c r="NP53" s="87">
        <f>SUM(NP52,NN53,-NO53)</f>
        <v>0</v>
      </c>
      <c r="NQ53" s="114"/>
      <c r="NR53" s="89"/>
      <c r="NS53" s="82"/>
      <c r="NU53" s="90"/>
      <c r="NV53" s="87"/>
      <c r="NW53" s="87"/>
      <c r="NX53" s="87">
        <f>SUM(NX52,NV53,-NW53)</f>
        <v>0</v>
      </c>
      <c r="NY53" s="114"/>
      <c r="NZ53" s="89"/>
      <c r="OA53" s="82"/>
      <c r="OC53" s="90"/>
      <c r="OD53" s="87"/>
      <c r="OE53" s="87"/>
      <c r="OF53" s="87">
        <f>SUM(OF52,OD53,-OE53)</f>
        <v>0</v>
      </c>
      <c r="OG53" s="114"/>
      <c r="OH53" s="89"/>
      <c r="OI53" s="82"/>
      <c r="OK53" s="90"/>
      <c r="OL53" s="87"/>
      <c r="OM53" s="87"/>
      <c r="ON53" s="87">
        <f>SUM(ON52,OL53,-OM53)</f>
        <v>0</v>
      </c>
      <c r="OO53" s="114"/>
      <c r="OP53" s="89"/>
      <c r="OQ53" s="82"/>
      <c r="OS53" s="90"/>
      <c r="OT53" s="87"/>
      <c r="OU53" s="87"/>
      <c r="OV53" s="87">
        <f>SUM(OV52,OT53,-OU53)</f>
        <v>0</v>
      </c>
      <c r="OW53" s="114"/>
      <c r="OX53" s="89"/>
      <c r="OY53" s="82"/>
      <c r="PA53" s="90"/>
      <c r="PB53" s="87"/>
      <c r="PC53" s="87"/>
      <c r="PD53" s="87">
        <f>SUM(PD52,PB53,-PC53)</f>
        <v>0</v>
      </c>
      <c r="PE53" s="114"/>
      <c r="PF53" s="89"/>
      <c r="PG53" s="82"/>
      <c r="PI53" s="90"/>
      <c r="PJ53" s="87"/>
      <c r="PK53" s="87"/>
      <c r="PL53" s="87">
        <f>SUM(PL52,PJ53,-PK53)</f>
        <v>0</v>
      </c>
      <c r="PM53" s="114"/>
      <c r="PN53" s="211"/>
      <c r="PO53" s="216"/>
      <c r="PQ53" s="90"/>
      <c r="PR53" s="87"/>
      <c r="PS53" s="87"/>
      <c r="PT53" s="87">
        <f>SUM(PT52,PR53,-PS53)</f>
        <v>0</v>
      </c>
      <c r="PU53" s="114"/>
      <c r="PV53" s="89"/>
      <c r="PW53" s="82"/>
      <c r="PY53" s="90"/>
      <c r="PZ53" s="87"/>
      <c r="QA53" s="87"/>
      <c r="QB53" s="87">
        <f>SUM(QB52,PZ53,-QA53)</f>
        <v>0</v>
      </c>
      <c r="QC53" s="114"/>
      <c r="QD53" s="89"/>
      <c r="QE53" s="82"/>
      <c r="QG53" s="90"/>
      <c r="QH53" s="87"/>
      <c r="QI53" s="87"/>
      <c r="QJ53" s="87">
        <f>SUM(QJ52,QH53,-QI53)</f>
        <v>0</v>
      </c>
      <c r="QK53" s="114"/>
      <c r="QL53" s="89"/>
      <c r="QM53" s="82"/>
      <c r="QO53" s="90"/>
      <c r="QP53" s="87"/>
      <c r="QQ53" s="87"/>
      <c r="QR53" s="87">
        <f>SUM(QR52,QP53,-QQ53)</f>
        <v>0</v>
      </c>
      <c r="QS53" s="114"/>
      <c r="QT53" s="211"/>
      <c r="QU53" s="216"/>
      <c r="QW53" s="90"/>
      <c r="QX53" s="87"/>
      <c r="QY53" s="87"/>
      <c r="QZ53" s="87">
        <f>SUM(QZ52,QX53,-QY53)</f>
        <v>0</v>
      </c>
      <c r="RA53" s="114"/>
      <c r="RB53" s="89"/>
      <c r="RC53" s="82"/>
      <c r="RE53" s="90"/>
      <c r="RF53" s="87"/>
      <c r="RG53" s="87"/>
      <c r="RH53" s="87">
        <f>SUM(RH52,RF53,-RG53)</f>
        <v>0</v>
      </c>
      <c r="RI53" s="114"/>
      <c r="RJ53" s="89"/>
      <c r="RK53" s="170"/>
      <c r="RM53" s="90"/>
      <c r="RN53" s="87"/>
      <c r="RO53" s="87"/>
      <c r="RP53" s="87">
        <f>SUM(RP52,RN53,-RO53)</f>
        <v>0</v>
      </c>
      <c r="RQ53" s="114"/>
      <c r="RR53" s="89"/>
      <c r="RS53" s="82"/>
      <c r="RU53" s="90"/>
      <c r="RV53" s="87"/>
      <c r="RW53" s="87"/>
      <c r="RX53" s="87">
        <f>SUM(RX52,RV53,-RW53)</f>
        <v>0</v>
      </c>
      <c r="RY53" s="114"/>
      <c r="RZ53" s="89"/>
      <c r="SA53" s="82"/>
      <c r="SC53" s="90"/>
      <c r="SD53" s="87"/>
      <c r="SE53" s="87"/>
      <c r="SF53" s="87">
        <f>SUM(SF52,SD53,-SE53)</f>
        <v>0</v>
      </c>
      <c r="SG53" s="114"/>
      <c r="SH53" s="89"/>
      <c r="SI53" s="82"/>
      <c r="SK53" s="90"/>
      <c r="SL53" s="87"/>
      <c r="SM53" s="87"/>
      <c r="SN53" s="87">
        <f>SUM(SN52,SL53,-SM53)</f>
        <v>0</v>
      </c>
      <c r="SO53" s="114"/>
      <c r="SP53" s="89"/>
      <c r="SQ53" s="82"/>
      <c r="SS53" s="90"/>
      <c r="ST53" s="87"/>
      <c r="SU53" s="87"/>
      <c r="SV53" s="87">
        <f>SUM(SV52,ST53,-SU53)</f>
        <v>0</v>
      </c>
      <c r="SW53" s="114"/>
      <c r="SX53" s="89"/>
      <c r="SY53" s="82"/>
      <c r="TA53" s="90"/>
      <c r="TB53" s="87"/>
      <c r="TC53" s="87"/>
      <c r="TD53" s="87">
        <f>SUM(TD52,TB53,-TC53)</f>
        <v>0</v>
      </c>
      <c r="TE53" s="114"/>
      <c r="TF53" s="89"/>
      <c r="TG53" s="82"/>
      <c r="TI53" s="90"/>
      <c r="TJ53" s="87"/>
      <c r="TK53" s="87"/>
      <c r="TL53" s="87">
        <f>SUM(TL52,TJ53,-TK53)</f>
        <v>0</v>
      </c>
      <c r="TM53" s="114"/>
      <c r="TN53" s="89"/>
      <c r="TO53" s="82"/>
      <c r="TQ53" s="90"/>
      <c r="TR53" s="87"/>
      <c r="TS53" s="87"/>
      <c r="TT53" s="87">
        <f>SUM(TT52,TR53,-TS53)</f>
        <v>0</v>
      </c>
      <c r="TU53" s="114"/>
      <c r="TV53" s="91"/>
      <c r="TW53" s="82"/>
      <c r="TY53" s="90"/>
      <c r="TZ53" s="87"/>
      <c r="UA53" s="87"/>
      <c r="UB53" s="87">
        <f>SUM(UB52,TZ53,-UA53)</f>
        <v>0</v>
      </c>
      <c r="UC53" s="114"/>
      <c r="UD53" s="89"/>
      <c r="UE53" s="82"/>
      <c r="UG53" s="90"/>
      <c r="UH53" s="87"/>
      <c r="UI53" s="87"/>
      <c r="UJ53" s="87">
        <f>SUM(UJ52,UH53,-UI53)</f>
        <v>0</v>
      </c>
      <c r="UK53" s="114"/>
      <c r="UL53" s="89"/>
      <c r="UM53" s="82"/>
      <c r="UO53" s="90"/>
      <c r="UP53" s="87"/>
      <c r="UQ53" s="87"/>
      <c r="UR53" s="87">
        <f>SUM(UR52,UP53,-UQ53)</f>
        <v>0</v>
      </c>
      <c r="US53" s="114"/>
      <c r="UT53" s="89"/>
      <c r="UU53" s="82"/>
      <c r="UW53" s="90"/>
      <c r="UX53" s="87"/>
      <c r="UY53" s="87"/>
      <c r="UZ53" s="87">
        <f>SUM(UZ52,UX53,-UY53)</f>
        <v>0</v>
      </c>
      <c r="VA53" s="114"/>
      <c r="VB53" s="89"/>
      <c r="VC53" s="82"/>
      <c r="VE53" s="90"/>
      <c r="VF53" s="87"/>
      <c r="VG53" s="87"/>
      <c r="VH53" s="87">
        <f>SUM(VH52,VF53,-VG53)</f>
        <v>0</v>
      </c>
      <c r="VI53" s="114"/>
      <c r="VJ53" s="89"/>
      <c r="VK53" s="82"/>
      <c r="VM53" s="90"/>
      <c r="VN53" s="87"/>
      <c r="VO53" s="87"/>
      <c r="VP53" s="87">
        <f>SUM(VP52,VN53,-VO53)</f>
        <v>0</v>
      </c>
      <c r="VQ53" s="114"/>
      <c r="VR53" s="89"/>
      <c r="VS53" s="82"/>
      <c r="VU53" s="90"/>
      <c r="VV53" s="87"/>
      <c r="VW53" s="87"/>
      <c r="VX53" s="87">
        <f>SUM(VX52,VV53,-VW53)</f>
        <v>0</v>
      </c>
      <c r="VY53" s="114"/>
      <c r="VZ53" s="89"/>
      <c r="WA53" s="82"/>
      <c r="WC53" s="90"/>
      <c r="WD53" s="87"/>
      <c r="WE53" s="87"/>
      <c r="WF53" s="87">
        <f>SUM(WF52,WD53,-WE53)</f>
        <v>0</v>
      </c>
      <c r="WG53" s="114"/>
      <c r="WH53" s="89"/>
      <c r="WI53" s="82"/>
      <c r="WK53" s="90"/>
      <c r="WL53" s="87"/>
      <c r="WM53" s="87"/>
      <c r="WN53" s="87">
        <f>SUM(WN52,WL53,-WM53)</f>
        <v>0</v>
      </c>
      <c r="WO53" s="114"/>
      <c r="WP53" s="89"/>
      <c r="WQ53" s="82"/>
      <c r="WS53" s="90"/>
      <c r="WT53" s="87"/>
      <c r="WU53" s="87"/>
      <c r="WV53" s="87">
        <f>SUM(WV52,WT53,-WU53)</f>
        <v>0</v>
      </c>
      <c r="WW53" s="114"/>
      <c r="WX53" s="89"/>
      <c r="WY53" s="82"/>
      <c r="XA53" s="90"/>
      <c r="XB53" s="87"/>
      <c r="XC53" s="87"/>
      <c r="XD53" s="87">
        <f>SUM(XD52,XB53,-XC53)</f>
        <v>0</v>
      </c>
      <c r="XE53" s="114"/>
      <c r="XF53" s="89"/>
      <c r="XG53" s="82"/>
      <c r="XI53" s="90"/>
      <c r="XJ53" s="87"/>
      <c r="XK53" s="87"/>
      <c r="XL53" s="87">
        <f>SUM(XL52,XJ53,-XK53)</f>
        <v>0</v>
      </c>
      <c r="XM53" s="114"/>
      <c r="XN53" s="89"/>
      <c r="XO53" s="82"/>
      <c r="XQ53" s="90"/>
      <c r="XR53" s="87"/>
      <c r="XS53" s="87"/>
      <c r="XT53" s="87">
        <f>SUM(XT52,XR53,-XS53)</f>
        <v>0</v>
      </c>
      <c r="XU53" s="114"/>
      <c r="XV53" s="89"/>
      <c r="XW53" s="82"/>
      <c r="XY53" s="90"/>
      <c r="XZ53" s="87"/>
      <c r="YA53" s="87"/>
      <c r="YB53" s="87">
        <f>SUM(YB52,XZ53,-YA53)</f>
        <v>0</v>
      </c>
      <c r="YC53" s="114"/>
      <c r="YD53" s="89"/>
      <c r="YE53" s="82"/>
      <c r="YG53" s="90"/>
      <c r="YH53" s="87"/>
      <c r="YI53" s="87"/>
      <c r="YJ53" s="87">
        <f>SUM(YJ52,YH53,-YI53)</f>
        <v>0</v>
      </c>
      <c r="YK53" s="114"/>
      <c r="YL53" s="89"/>
      <c r="YM53" s="82"/>
      <c r="YO53" s="90"/>
      <c r="YP53" s="87"/>
      <c r="YQ53" s="87"/>
      <c r="YR53" s="87">
        <f>SUM(YR52,YP53,-YQ53)</f>
        <v>0</v>
      </c>
      <c r="YS53" s="114"/>
      <c r="YT53" s="89"/>
      <c r="YU53" s="82"/>
      <c r="YW53" s="90"/>
      <c r="YX53" s="87"/>
      <c r="YY53" s="87"/>
      <c r="YZ53" s="87">
        <f>SUM(YZ52,YX53,-YY53)</f>
        <v>0</v>
      </c>
      <c r="ZA53" s="114"/>
      <c r="ZB53" s="89"/>
      <c r="ZC53" s="82"/>
      <c r="ZE53" s="90"/>
      <c r="ZF53" s="87"/>
      <c r="ZG53" s="87"/>
      <c r="ZH53" s="87">
        <f>SUM(ZH52,ZF53,-ZG53)</f>
        <v>0</v>
      </c>
      <c r="ZI53" s="114"/>
      <c r="ZJ53" s="89"/>
      <c r="ZK53" s="82"/>
      <c r="ZM53" s="90"/>
      <c r="ZN53" s="87"/>
      <c r="ZO53" s="87"/>
      <c r="ZP53" s="87">
        <f>SUM(ZP52,ZN53,-ZO53)</f>
        <v>0</v>
      </c>
      <c r="ZQ53" s="114"/>
      <c r="ZR53" s="89"/>
      <c r="ZS53" s="82"/>
      <c r="ZU53" s="90"/>
      <c r="ZV53" s="87"/>
      <c r="ZW53" s="87"/>
      <c r="ZX53" s="87">
        <f>SUM(ZX52,ZV53,-ZW53)</f>
        <v>0</v>
      </c>
      <c r="ZY53" s="114"/>
      <c r="ZZ53" s="89"/>
      <c r="AAA53" s="82"/>
      <c r="AAC53" s="90"/>
      <c r="AAD53" s="87"/>
      <c r="AAE53" s="87"/>
      <c r="AAF53" s="87">
        <f>SUM(AAF52,AAD53,-AAE53)</f>
        <v>0</v>
      </c>
      <c r="AAG53" s="114"/>
      <c r="AAH53" s="89"/>
      <c r="AAI53" s="82"/>
      <c r="AAK53" s="90"/>
      <c r="AAL53" s="87"/>
      <c r="AAM53" s="87"/>
      <c r="AAN53" s="87">
        <f>SUM(AAN52,AAL53,-AAM53)</f>
        <v>0</v>
      </c>
      <c r="AAO53" s="114"/>
      <c r="AAP53" s="89"/>
      <c r="AAQ53" s="82"/>
      <c r="AAS53" s="90"/>
      <c r="AAT53" s="87"/>
      <c r="AAU53" s="87"/>
      <c r="AAV53" s="87">
        <f>SUM(AAV52,AAT53,-AAU53)</f>
        <v>0</v>
      </c>
      <c r="AAW53" s="114"/>
      <c r="AAX53" s="89"/>
      <c r="AAY53" s="82"/>
      <c r="ABA53" s="90"/>
      <c r="ABB53" s="87"/>
      <c r="ABC53" s="87"/>
      <c r="ABD53" s="87">
        <f>SUM(ABD52,ABB53,-ABC53)</f>
        <v>0</v>
      </c>
      <c r="ABE53" s="114"/>
      <c r="ABF53" s="89"/>
      <c r="ABG53" s="82"/>
      <c r="ABI53" s="90"/>
      <c r="ABJ53" s="87"/>
      <c r="ABK53" s="87"/>
      <c r="ABL53" s="87">
        <f>SUM(ABL52,ABJ53,-ABK53)</f>
        <v>0</v>
      </c>
      <c r="ABM53" s="114"/>
      <c r="ABN53" s="89"/>
      <c r="ABO53" s="82"/>
      <c r="ABQ53" s="90"/>
      <c r="ABR53" s="87"/>
      <c r="ABS53" s="87"/>
      <c r="ABT53" s="87">
        <f>SUM(ABT52,ABR53,-ABS53)</f>
        <v>0</v>
      </c>
      <c r="ABU53" s="114"/>
      <c r="ABV53" s="89"/>
      <c r="ABW53" s="82"/>
      <c r="ABY53" s="90"/>
      <c r="ABZ53" s="87"/>
      <c r="ACA53" s="87"/>
      <c r="ACB53" s="87">
        <f>SUM(ACB52,ABZ53,-ACA53)</f>
        <v>0</v>
      </c>
      <c r="ACC53" s="114"/>
      <c r="ACD53" s="89"/>
      <c r="ACE53" s="82"/>
    </row>
    <row r="54" spans="1:759" ht="12" customHeight="1" x14ac:dyDescent="0.25">
      <c r="A54" s="84"/>
      <c r="B54" s="85"/>
      <c r="C54" s="87"/>
      <c r="D54" s="87">
        <f t="shared" si="2"/>
        <v>1700</v>
      </c>
      <c r="E54" s="114"/>
      <c r="F54" s="211"/>
      <c r="G54" s="382"/>
      <c r="H54" s="72"/>
      <c r="I54" s="90"/>
      <c r="J54" s="87"/>
      <c r="K54" s="87"/>
      <c r="L54" s="87">
        <f t="shared" si="0"/>
        <v>1000</v>
      </c>
      <c r="M54" s="114"/>
      <c r="N54" s="89"/>
      <c r="O54" s="82"/>
      <c r="P54" s="72"/>
      <c r="Q54" s="90"/>
      <c r="R54" s="87"/>
      <c r="S54" s="87"/>
      <c r="T54" s="87">
        <f t="shared" si="1"/>
        <v>4000</v>
      </c>
      <c r="U54" s="114"/>
      <c r="V54" s="89"/>
      <c r="W54" s="82"/>
      <c r="X54" s="72"/>
      <c r="Y54" s="90"/>
      <c r="Z54" s="87"/>
      <c r="AA54" s="87"/>
      <c r="AB54" s="87">
        <f t="shared" si="3"/>
        <v>1000</v>
      </c>
      <c r="AC54" s="114"/>
      <c r="AD54" s="89"/>
      <c r="AE54" s="82"/>
      <c r="AF54" s="72"/>
      <c r="AG54" s="90"/>
      <c r="AH54" s="87"/>
      <c r="AI54" s="87"/>
      <c r="AJ54" s="87">
        <f t="shared" si="4"/>
        <v>2000</v>
      </c>
      <c r="AK54" s="114"/>
      <c r="AL54" s="89"/>
      <c r="AM54" s="82"/>
      <c r="AN54" s="72"/>
      <c r="AO54" s="90"/>
      <c r="AP54" s="87"/>
      <c r="AQ54" s="87"/>
      <c r="AR54" s="87">
        <f t="shared" si="5"/>
        <v>1000</v>
      </c>
      <c r="AS54" s="114"/>
      <c r="AT54" s="89"/>
      <c r="AU54" s="82"/>
      <c r="AV54" s="72"/>
      <c r="AW54" s="90"/>
      <c r="AX54" s="87"/>
      <c r="AY54" s="87"/>
      <c r="AZ54" s="87">
        <f t="shared" si="6"/>
        <v>1150</v>
      </c>
      <c r="BA54" s="114"/>
      <c r="BB54" s="211"/>
      <c r="BC54" s="82"/>
      <c r="BD54" s="72"/>
      <c r="BE54" s="90"/>
      <c r="BF54" s="87"/>
      <c r="BG54" s="87"/>
      <c r="BH54" s="87">
        <f t="shared" si="7"/>
        <v>7000</v>
      </c>
      <c r="BI54" s="114"/>
      <c r="BJ54" s="220"/>
      <c r="BK54" s="82"/>
      <c r="BL54" s="72"/>
      <c r="BM54" s="90"/>
      <c r="BN54" s="87"/>
      <c r="BO54" s="87"/>
      <c r="BP54" s="87">
        <f t="shared" si="8"/>
        <v>1000</v>
      </c>
      <c r="BQ54" s="114"/>
      <c r="BR54" s="89"/>
      <c r="BS54" s="82"/>
      <c r="BT54" s="72"/>
      <c r="BU54" s="90"/>
      <c r="BV54" s="87"/>
      <c r="BW54" s="87"/>
      <c r="BX54" s="87">
        <f t="shared" si="9"/>
        <v>0</v>
      </c>
      <c r="BY54" s="114"/>
      <c r="BZ54" s="89"/>
      <c r="CA54" s="82"/>
      <c r="CB54" s="72"/>
      <c r="CC54" s="90"/>
      <c r="CD54" s="87"/>
      <c r="CE54" s="87"/>
      <c r="CF54" s="87">
        <f t="shared" si="10"/>
        <v>0</v>
      </c>
      <c r="CG54" s="114"/>
      <c r="CH54" s="89"/>
      <c r="CI54" s="82"/>
      <c r="CJ54" s="72"/>
      <c r="CK54" s="90"/>
      <c r="CL54" s="87"/>
      <c r="CM54" s="87"/>
      <c r="CN54" s="87">
        <f t="shared" si="11"/>
        <v>0</v>
      </c>
      <c r="CO54" s="114"/>
      <c r="CP54" s="89"/>
      <c r="CQ54" s="82"/>
      <c r="CR54" s="72"/>
      <c r="CS54" s="90"/>
      <c r="CT54" s="87"/>
      <c r="CU54" s="87"/>
      <c r="CV54" s="87">
        <f>SUM(CV53,CT54,-CU54)</f>
        <v>0</v>
      </c>
      <c r="CW54" s="114"/>
      <c r="CX54" s="220"/>
      <c r="CY54" s="82"/>
      <c r="CZ54" s="72"/>
      <c r="DA54" s="90"/>
      <c r="DB54" s="87"/>
      <c r="DC54" s="87"/>
      <c r="DD54" s="87">
        <f>SUM(DD53,DB54,-DC54)</f>
        <v>0</v>
      </c>
      <c r="DE54" s="114"/>
      <c r="DF54" s="89"/>
      <c r="DG54" s="82"/>
      <c r="DH54" s="72"/>
      <c r="DI54" s="90"/>
      <c r="DJ54" s="87"/>
      <c r="DK54" s="87"/>
      <c r="DL54" s="87">
        <f>SUM(DL53,DJ54,-DK54)</f>
        <v>0</v>
      </c>
      <c r="DM54" s="114"/>
      <c r="DN54" s="89"/>
      <c r="DO54" s="82"/>
      <c r="DP54" s="72"/>
      <c r="DQ54" s="90"/>
      <c r="DR54" s="87"/>
      <c r="DS54" s="87"/>
      <c r="DT54" s="87">
        <f>SUM(DT53,DR54,-DS54)</f>
        <v>0</v>
      </c>
      <c r="DU54" s="114"/>
      <c r="DV54" s="89"/>
      <c r="DW54" s="82"/>
      <c r="DX54" s="72"/>
      <c r="DY54" s="90"/>
      <c r="DZ54" s="87"/>
      <c r="EA54" s="87"/>
      <c r="EB54" s="87">
        <f>SUM(EB53,DZ54,-EA54)</f>
        <v>0</v>
      </c>
      <c r="EC54" s="114"/>
      <c r="ED54" s="89"/>
      <c r="EE54" s="82"/>
      <c r="EF54" s="72"/>
      <c r="EG54" s="90"/>
      <c r="EH54" s="87"/>
      <c r="EI54" s="87"/>
      <c r="EJ54" s="87">
        <f>SUM(EJ53,EH54,-EI54)</f>
        <v>0</v>
      </c>
      <c r="EK54" s="114"/>
      <c r="EL54" s="89"/>
      <c r="EM54" s="82"/>
      <c r="EO54" s="90"/>
      <c r="EP54" s="87"/>
      <c r="EQ54" s="87"/>
      <c r="ER54" s="87">
        <f>SUM(ER53,EP54,-EQ54)</f>
        <v>0</v>
      </c>
      <c r="ES54" s="114"/>
      <c r="ET54" s="89"/>
      <c r="EU54" s="82"/>
      <c r="EW54" s="90"/>
      <c r="EX54" s="87"/>
      <c r="EY54" s="87"/>
      <c r="EZ54" s="87">
        <f>SUM(EZ53,EX54,-EY54)</f>
        <v>0</v>
      </c>
      <c r="FA54" s="114"/>
      <c r="FB54" s="89"/>
      <c r="FC54" s="82"/>
      <c r="FE54" s="90"/>
      <c r="FF54" s="87"/>
      <c r="FG54" s="87"/>
      <c r="FH54" s="87">
        <f>SUM(FH53,FF54,-FG54)</f>
        <v>0</v>
      </c>
      <c r="FI54" s="114"/>
      <c r="FJ54" s="89"/>
      <c r="FK54" s="82"/>
      <c r="FM54" s="90"/>
      <c r="FN54" s="87"/>
      <c r="FO54" s="87"/>
      <c r="FP54" s="87">
        <f>SUM(FP53,FN54,-FO54)</f>
        <v>0</v>
      </c>
      <c r="FQ54" s="114"/>
      <c r="FR54" s="89"/>
      <c r="FS54" s="82"/>
      <c r="FU54" s="90"/>
      <c r="FV54" s="87"/>
      <c r="FW54" s="87"/>
      <c r="FX54" s="87">
        <f>SUM(FX53,FV54,-FW54)</f>
        <v>0</v>
      </c>
      <c r="FY54" s="165"/>
      <c r="FZ54" s="89"/>
      <c r="GA54" s="82"/>
      <c r="GC54" s="90"/>
      <c r="GD54" s="87"/>
      <c r="GE54" s="87"/>
      <c r="GF54" s="87">
        <f>SUM(GF53,GD54,-GE54)</f>
        <v>0</v>
      </c>
      <c r="GG54" s="114"/>
      <c r="GH54" s="89"/>
      <c r="GI54" s="82"/>
      <c r="GK54" s="90"/>
      <c r="GL54" s="87"/>
      <c r="GM54" s="87"/>
      <c r="GN54" s="87">
        <f>SUM(GN53,GL54,-GM54)</f>
        <v>0</v>
      </c>
      <c r="GO54" s="114"/>
      <c r="GP54" s="89"/>
      <c r="GQ54" s="82"/>
      <c r="GS54" s="90"/>
      <c r="GT54" s="87"/>
      <c r="GU54" s="87"/>
      <c r="GV54" s="87">
        <f>SUM(GV53,GT54,-GU54)</f>
        <v>0</v>
      </c>
      <c r="GW54" s="114"/>
      <c r="GX54" s="89"/>
      <c r="GY54" s="82"/>
      <c r="HA54" s="90"/>
      <c r="HB54" s="87"/>
      <c r="HC54" s="87"/>
      <c r="HD54" s="87">
        <f>SUM(HD53,HB54,-HC54)</f>
        <v>0</v>
      </c>
      <c r="HE54" s="114"/>
      <c r="HF54" s="89"/>
      <c r="HG54" s="82"/>
      <c r="HI54" s="90"/>
      <c r="HJ54" s="87"/>
      <c r="HK54" s="87"/>
      <c r="HL54" s="87">
        <f>SUM(HL53,HJ54,-HK54)</f>
        <v>0</v>
      </c>
      <c r="HM54" s="114"/>
      <c r="HN54" s="89"/>
      <c r="HO54" s="82"/>
      <c r="HQ54" s="90"/>
      <c r="HR54" s="87"/>
      <c r="HS54" s="87"/>
      <c r="HT54" s="87">
        <f>SUM(HT53,HR54,-HS54)</f>
        <v>0</v>
      </c>
      <c r="HU54" s="114"/>
      <c r="HV54" s="89"/>
      <c r="HW54" s="82"/>
      <c r="HY54" s="90"/>
      <c r="HZ54" s="87"/>
      <c r="IA54" s="87"/>
      <c r="IB54" s="87">
        <f>SUM(IB53,HZ54,-IA54)</f>
        <v>0</v>
      </c>
      <c r="IC54" s="114"/>
      <c r="ID54" s="89"/>
      <c r="IE54" s="82"/>
      <c r="IG54" s="90"/>
      <c r="IH54" s="87"/>
      <c r="II54" s="87"/>
      <c r="IJ54" s="87">
        <f>SUM(IJ53,IH54,-II54)</f>
        <v>0</v>
      </c>
      <c r="IK54" s="114"/>
      <c r="IL54" s="89"/>
      <c r="IM54" s="82"/>
      <c r="IO54" s="90"/>
      <c r="IP54" s="87"/>
      <c r="IQ54" s="87"/>
      <c r="IR54" s="87">
        <f>SUM(IR53,IP54,-IQ54)</f>
        <v>0</v>
      </c>
      <c r="IS54" s="114"/>
      <c r="IT54" s="89"/>
      <c r="IU54" s="82"/>
      <c r="IW54" s="90"/>
      <c r="IX54" s="87"/>
      <c r="IY54" s="87"/>
      <c r="IZ54" s="87">
        <f>SUM(IZ53,IX54,-IY54)</f>
        <v>0</v>
      </c>
      <c r="JA54" s="114"/>
      <c r="JB54" s="89"/>
      <c r="JC54" s="82"/>
      <c r="JE54" s="90"/>
      <c r="JF54" s="87"/>
      <c r="JG54" s="87"/>
      <c r="JH54" s="87">
        <f>SUM(JH53,JF54,-JG54)</f>
        <v>0</v>
      </c>
      <c r="JI54" s="114"/>
      <c r="JJ54" s="89"/>
      <c r="JK54" s="82"/>
      <c r="JM54" s="90"/>
      <c r="JN54" s="87"/>
      <c r="JO54" s="87"/>
      <c r="JP54" s="87">
        <f>SUM(JP53,JN54,-JO54)</f>
        <v>0</v>
      </c>
      <c r="JQ54" s="114"/>
      <c r="JR54" s="91"/>
      <c r="JS54" s="82"/>
      <c r="JU54" s="90"/>
      <c r="JV54" s="87"/>
      <c r="JW54" s="87"/>
      <c r="JX54" s="87">
        <f>SUM(JX53,JV54,-JW54)</f>
        <v>0</v>
      </c>
      <c r="JY54" s="114"/>
      <c r="JZ54" s="89"/>
      <c r="KA54" s="82"/>
      <c r="KC54" s="90"/>
      <c r="KD54" s="87"/>
      <c r="KE54" s="87"/>
      <c r="KF54" s="87">
        <f>SUM(KF53,KD54,-KE54)</f>
        <v>0</v>
      </c>
      <c r="KG54" s="114"/>
      <c r="KH54" s="86"/>
      <c r="KI54" s="109"/>
      <c r="KK54" s="90"/>
      <c r="KL54" s="87"/>
      <c r="KM54" s="87"/>
      <c r="KN54" s="87">
        <f>SUM(KN53,KL54,-KM54)</f>
        <v>0</v>
      </c>
      <c r="KO54" s="114"/>
      <c r="KP54" s="89"/>
      <c r="KQ54" s="82"/>
      <c r="KS54" s="90"/>
      <c r="KT54" s="87"/>
      <c r="KU54" s="87"/>
      <c r="KV54" s="87">
        <f>SUM(KV53,KT54,-KU54)</f>
        <v>0</v>
      </c>
      <c r="KW54" s="114"/>
      <c r="KX54" s="89"/>
      <c r="KY54" s="82"/>
      <c r="LA54" s="90"/>
      <c r="LB54" s="87"/>
      <c r="LC54" s="87"/>
      <c r="LD54" s="87">
        <f>SUM(LD53,LB54,-LC54)</f>
        <v>0</v>
      </c>
      <c r="LE54" s="114"/>
      <c r="LF54" s="89"/>
      <c r="LG54" s="82"/>
      <c r="LI54" s="90"/>
      <c r="LJ54" s="87"/>
      <c r="LK54" s="87"/>
      <c r="LL54" s="87">
        <f>SUM(LL53,LJ54,-LK54)</f>
        <v>0</v>
      </c>
      <c r="LM54" s="114"/>
      <c r="LN54" s="89"/>
      <c r="LO54" s="82"/>
      <c r="LQ54" s="90"/>
      <c r="LR54" s="87"/>
      <c r="LS54" s="87"/>
      <c r="LT54" s="87">
        <f>SUM(LT53,LR54,-LS54)</f>
        <v>0</v>
      </c>
      <c r="LU54" s="114"/>
      <c r="LV54" s="89"/>
      <c r="LW54" s="82"/>
      <c r="LY54" s="90"/>
      <c r="LZ54" s="87"/>
      <c r="MA54" s="87"/>
      <c r="MB54" s="87">
        <f>SUM(MB53,LZ54,-MA54)</f>
        <v>0</v>
      </c>
      <c r="MC54" s="114"/>
      <c r="MD54" s="89"/>
      <c r="ME54" s="82"/>
      <c r="MG54" s="90"/>
      <c r="MH54" s="87"/>
      <c r="MI54" s="87"/>
      <c r="MJ54" s="87">
        <f>SUM(MJ53,MH54,-MI54)</f>
        <v>0</v>
      </c>
      <c r="MK54" s="114"/>
      <c r="ML54" s="89"/>
      <c r="MM54" s="82"/>
      <c r="MO54" s="90"/>
      <c r="MP54" s="87"/>
      <c r="MQ54" s="87"/>
      <c r="MR54" s="87">
        <f>SUM(MR53,MP54,-MQ54)</f>
        <v>0</v>
      </c>
      <c r="MS54" s="114"/>
      <c r="MT54" s="89"/>
      <c r="MU54" s="82"/>
      <c r="MW54" s="90"/>
      <c r="MX54" s="87"/>
      <c r="MY54" s="87"/>
      <c r="MZ54" s="87">
        <f>SUM(MZ53,MX54,-MY54)</f>
        <v>0</v>
      </c>
      <c r="NA54" s="114"/>
      <c r="NB54" s="89"/>
      <c r="NC54" s="82"/>
      <c r="NE54" s="90"/>
      <c r="NF54" s="87"/>
      <c r="NG54" s="87"/>
      <c r="NH54" s="87">
        <f>SUM(NH53,NF54,-NG54)</f>
        <v>0</v>
      </c>
      <c r="NI54" s="114"/>
      <c r="NJ54" s="89"/>
      <c r="NK54" s="82"/>
      <c r="NM54" s="90"/>
      <c r="NN54" s="87"/>
      <c r="NO54" s="87"/>
      <c r="NP54" s="87">
        <f>SUM(NP53,NN54,-NO54)</f>
        <v>0</v>
      </c>
      <c r="NQ54" s="114"/>
      <c r="NR54" s="89"/>
      <c r="NS54" s="82"/>
      <c r="NU54" s="90"/>
      <c r="NV54" s="87"/>
      <c r="NW54" s="87"/>
      <c r="NX54" s="87">
        <f>SUM(NX53,NV54,-NW54)</f>
        <v>0</v>
      </c>
      <c r="NY54" s="114"/>
      <c r="NZ54" s="89"/>
      <c r="OA54" s="82"/>
      <c r="OC54" s="90"/>
      <c r="OD54" s="87"/>
      <c r="OE54" s="87"/>
      <c r="OF54" s="87">
        <f>SUM(OF53,OD54,-OE54)</f>
        <v>0</v>
      </c>
      <c r="OG54" s="114"/>
      <c r="OH54" s="89"/>
      <c r="OI54" s="82"/>
      <c r="OK54" s="90"/>
      <c r="OL54" s="87"/>
      <c r="OM54" s="87"/>
      <c r="ON54" s="87">
        <f>SUM(ON53,OL54,-OM54)</f>
        <v>0</v>
      </c>
      <c r="OO54" s="114"/>
      <c r="OP54" s="89"/>
      <c r="OQ54" s="82"/>
      <c r="OS54" s="90"/>
      <c r="OT54" s="87"/>
      <c r="OU54" s="87"/>
      <c r="OV54" s="87">
        <f>SUM(OV53,OT54,-OU54)</f>
        <v>0</v>
      </c>
      <c r="OW54" s="114"/>
      <c r="OX54" s="89"/>
      <c r="OY54" s="82"/>
      <c r="PA54" s="90"/>
      <c r="PB54" s="87"/>
      <c r="PC54" s="87"/>
      <c r="PD54" s="87">
        <f>SUM(PD53,PB54,-PC54)</f>
        <v>0</v>
      </c>
      <c r="PE54" s="114"/>
      <c r="PF54" s="89"/>
      <c r="PG54" s="82"/>
      <c r="PI54" s="90"/>
      <c r="PJ54" s="87"/>
      <c r="PK54" s="87"/>
      <c r="PL54" s="87">
        <f>SUM(PL53,PJ54,-PK54)</f>
        <v>0</v>
      </c>
      <c r="PM54" s="114"/>
      <c r="PN54" s="211"/>
      <c r="PO54" s="216"/>
      <c r="PQ54" s="90"/>
      <c r="PR54" s="87"/>
      <c r="PS54" s="87"/>
      <c r="PT54" s="87">
        <f>SUM(PT53,PR54,-PS54)</f>
        <v>0</v>
      </c>
      <c r="PU54" s="114"/>
      <c r="PV54" s="89"/>
      <c r="PW54" s="82"/>
      <c r="PY54" s="90"/>
      <c r="PZ54" s="87"/>
      <c r="QA54" s="87"/>
      <c r="QB54" s="87">
        <f>SUM(QB53,PZ54,-QA54)</f>
        <v>0</v>
      </c>
      <c r="QC54" s="114"/>
      <c r="QD54" s="89"/>
      <c r="QE54" s="82"/>
      <c r="QG54" s="90"/>
      <c r="QH54" s="87"/>
      <c r="QI54" s="87"/>
      <c r="QJ54" s="87">
        <f>SUM(QJ53,QH54,-QI54)</f>
        <v>0</v>
      </c>
      <c r="QK54" s="114"/>
      <c r="QL54" s="89"/>
      <c r="QM54" s="82"/>
      <c r="QO54" s="90"/>
      <c r="QP54" s="87"/>
      <c r="QQ54" s="87"/>
      <c r="QR54" s="87">
        <f>SUM(QR53,QP54,-QQ54)</f>
        <v>0</v>
      </c>
      <c r="QS54" s="114"/>
      <c r="QT54" s="211"/>
      <c r="QU54" s="216"/>
      <c r="QW54" s="90"/>
      <c r="QX54" s="87"/>
      <c r="QY54" s="87"/>
      <c r="QZ54" s="87">
        <f>SUM(QZ53,QX54,-QY54)</f>
        <v>0</v>
      </c>
      <c r="RA54" s="114"/>
      <c r="RB54" s="89"/>
      <c r="RC54" s="82"/>
      <c r="RE54" s="90"/>
      <c r="RF54" s="87"/>
      <c r="RG54" s="87"/>
      <c r="RH54" s="87">
        <f>SUM(RH53,RF54,-RG54)</f>
        <v>0</v>
      </c>
      <c r="RI54" s="114"/>
      <c r="RJ54" s="89"/>
      <c r="RK54" s="170"/>
      <c r="RM54" s="90"/>
      <c r="RN54" s="87"/>
      <c r="RO54" s="87"/>
      <c r="RP54" s="87">
        <f>SUM(RP53,RN54,-RO54)</f>
        <v>0</v>
      </c>
      <c r="RQ54" s="114"/>
      <c r="RR54" s="89"/>
      <c r="RS54" s="82"/>
      <c r="RU54" s="90"/>
      <c r="RV54" s="87"/>
      <c r="RW54" s="87"/>
      <c r="RX54" s="87">
        <f>SUM(RX53,RV54,-RW54)</f>
        <v>0</v>
      </c>
      <c r="RY54" s="114"/>
      <c r="RZ54" s="89"/>
      <c r="SA54" s="82"/>
      <c r="SC54" s="90"/>
      <c r="SD54" s="87"/>
      <c r="SE54" s="87"/>
      <c r="SF54" s="87">
        <f>SUM(SF53,SD54,-SE54)</f>
        <v>0</v>
      </c>
      <c r="SG54" s="114"/>
      <c r="SH54" s="89"/>
      <c r="SI54" s="82"/>
      <c r="SK54" s="90"/>
      <c r="SL54" s="87"/>
      <c r="SM54" s="87"/>
      <c r="SN54" s="87">
        <f>SUM(SN53,SL54,-SM54)</f>
        <v>0</v>
      </c>
      <c r="SO54" s="114"/>
      <c r="SP54" s="89"/>
      <c r="SQ54" s="82"/>
      <c r="SS54" s="90"/>
      <c r="ST54" s="87"/>
      <c r="SU54" s="87"/>
      <c r="SV54" s="87">
        <f>SUM(SV53,ST54,-SU54)</f>
        <v>0</v>
      </c>
      <c r="SW54" s="114"/>
      <c r="SX54" s="89"/>
      <c r="SY54" s="82"/>
      <c r="TA54" s="90"/>
      <c r="TB54" s="87"/>
      <c r="TC54" s="87"/>
      <c r="TD54" s="87">
        <f>SUM(TD53,TB54,-TC54)</f>
        <v>0</v>
      </c>
      <c r="TE54" s="114"/>
      <c r="TF54" s="89"/>
      <c r="TG54" s="82"/>
      <c r="TI54" s="90"/>
      <c r="TJ54" s="87"/>
      <c r="TK54" s="87"/>
      <c r="TL54" s="87">
        <f>SUM(TL53,TJ54,-TK54)</f>
        <v>0</v>
      </c>
      <c r="TM54" s="114"/>
      <c r="TN54" s="89"/>
      <c r="TO54" s="82"/>
      <c r="TQ54" s="90"/>
      <c r="TR54" s="87"/>
      <c r="TS54" s="87"/>
      <c r="TT54" s="87">
        <f>SUM(TT53,TR54,-TS54)</f>
        <v>0</v>
      </c>
      <c r="TU54" s="114"/>
      <c r="TV54" s="91"/>
      <c r="TW54" s="82"/>
      <c r="TY54" s="90"/>
      <c r="TZ54" s="87"/>
      <c r="UA54" s="87"/>
      <c r="UB54" s="87">
        <f>SUM(UB53,TZ54,-UA54)</f>
        <v>0</v>
      </c>
      <c r="UC54" s="114"/>
      <c r="UD54" s="89"/>
      <c r="UE54" s="82"/>
      <c r="UG54" s="90"/>
      <c r="UH54" s="87"/>
      <c r="UI54" s="87"/>
      <c r="UJ54" s="87">
        <f>SUM(UJ53,UH54,-UI54)</f>
        <v>0</v>
      </c>
      <c r="UK54" s="114"/>
      <c r="UL54" s="89"/>
      <c r="UM54" s="82"/>
      <c r="UO54" s="90"/>
      <c r="UP54" s="87"/>
      <c r="UQ54" s="87"/>
      <c r="UR54" s="87">
        <f>SUM(UR53,UP54,-UQ54)</f>
        <v>0</v>
      </c>
      <c r="US54" s="114"/>
      <c r="UT54" s="89"/>
      <c r="UU54" s="82"/>
      <c r="UW54" s="90"/>
      <c r="UX54" s="87"/>
      <c r="UY54" s="87"/>
      <c r="UZ54" s="87">
        <f>SUM(UZ53,UX54,-UY54)</f>
        <v>0</v>
      </c>
      <c r="VA54" s="114"/>
      <c r="VB54" s="89"/>
      <c r="VC54" s="82"/>
      <c r="VE54" s="90"/>
      <c r="VF54" s="87"/>
      <c r="VG54" s="87"/>
      <c r="VH54" s="87">
        <f>SUM(VH53,VF54,-VG54)</f>
        <v>0</v>
      </c>
      <c r="VI54" s="114"/>
      <c r="VJ54" s="89"/>
      <c r="VK54" s="82"/>
      <c r="VM54" s="90"/>
      <c r="VN54" s="87"/>
      <c r="VO54" s="87"/>
      <c r="VP54" s="87">
        <f>SUM(VP53,VN54,-VO54)</f>
        <v>0</v>
      </c>
      <c r="VQ54" s="114"/>
      <c r="VR54" s="89"/>
      <c r="VS54" s="82"/>
      <c r="VU54" s="90"/>
      <c r="VV54" s="87"/>
      <c r="VW54" s="87"/>
      <c r="VX54" s="87">
        <f>SUM(VX53,VV54,-VW54)</f>
        <v>0</v>
      </c>
      <c r="VY54" s="114"/>
      <c r="VZ54" s="89"/>
      <c r="WA54" s="82"/>
      <c r="WC54" s="90"/>
      <c r="WD54" s="87"/>
      <c r="WE54" s="87"/>
      <c r="WF54" s="87">
        <f>SUM(WF53,WD54,-WE54)</f>
        <v>0</v>
      </c>
      <c r="WG54" s="114"/>
      <c r="WH54" s="89"/>
      <c r="WI54" s="82"/>
      <c r="WK54" s="90"/>
      <c r="WL54" s="87"/>
      <c r="WM54" s="87"/>
      <c r="WN54" s="87">
        <f>SUM(WN53,WL54,-WM54)</f>
        <v>0</v>
      </c>
      <c r="WO54" s="114"/>
      <c r="WP54" s="89"/>
      <c r="WQ54" s="82"/>
      <c r="WS54" s="90"/>
      <c r="WT54" s="87"/>
      <c r="WU54" s="87"/>
      <c r="WV54" s="87">
        <f>SUM(WV53,WT54,-WU54)</f>
        <v>0</v>
      </c>
      <c r="WW54" s="114"/>
      <c r="WX54" s="89"/>
      <c r="WY54" s="82"/>
      <c r="XA54" s="90"/>
      <c r="XB54" s="87"/>
      <c r="XC54" s="87"/>
      <c r="XD54" s="87">
        <f>SUM(XD53,XB54,-XC54)</f>
        <v>0</v>
      </c>
      <c r="XE54" s="114"/>
      <c r="XF54" s="89"/>
      <c r="XG54" s="82"/>
      <c r="XI54" s="90"/>
      <c r="XJ54" s="87"/>
      <c r="XK54" s="87"/>
      <c r="XL54" s="87">
        <f>SUM(XL53,XJ54,-XK54)</f>
        <v>0</v>
      </c>
      <c r="XM54" s="114"/>
      <c r="XN54" s="89"/>
      <c r="XO54" s="82"/>
      <c r="XQ54" s="90"/>
      <c r="XR54" s="87"/>
      <c r="XS54" s="87"/>
      <c r="XT54" s="87">
        <f>SUM(XT53,XR54,-XS54)</f>
        <v>0</v>
      </c>
      <c r="XU54" s="114"/>
      <c r="XV54" s="89"/>
      <c r="XW54" s="82"/>
      <c r="XY54" s="90"/>
      <c r="XZ54" s="87"/>
      <c r="YA54" s="87"/>
      <c r="YB54" s="87">
        <f>SUM(YB53,XZ54,-YA54)</f>
        <v>0</v>
      </c>
      <c r="YC54" s="114"/>
      <c r="YD54" s="89"/>
      <c r="YE54" s="82"/>
      <c r="YG54" s="90"/>
      <c r="YH54" s="87"/>
      <c r="YI54" s="87"/>
      <c r="YJ54" s="87">
        <f>SUM(YJ53,YH54,-YI54)</f>
        <v>0</v>
      </c>
      <c r="YK54" s="114"/>
      <c r="YL54" s="89"/>
      <c r="YM54" s="82"/>
      <c r="YO54" s="90"/>
      <c r="YP54" s="87"/>
      <c r="YQ54" s="87"/>
      <c r="YR54" s="87">
        <f>SUM(YR53,YP54,-YQ54)</f>
        <v>0</v>
      </c>
      <c r="YS54" s="114"/>
      <c r="YT54" s="89"/>
      <c r="YU54" s="82"/>
      <c r="YW54" s="90"/>
      <c r="YX54" s="87"/>
      <c r="YY54" s="87"/>
      <c r="YZ54" s="87">
        <f>SUM(YZ53,YX54,-YY54)</f>
        <v>0</v>
      </c>
      <c r="ZA54" s="114"/>
      <c r="ZB54" s="89"/>
      <c r="ZC54" s="82"/>
      <c r="ZE54" s="90"/>
      <c r="ZF54" s="87"/>
      <c r="ZG54" s="87"/>
      <c r="ZH54" s="87">
        <f>SUM(ZH53,ZF54,-ZG54)</f>
        <v>0</v>
      </c>
      <c r="ZI54" s="114"/>
      <c r="ZJ54" s="89"/>
      <c r="ZK54" s="82"/>
      <c r="ZM54" s="90"/>
      <c r="ZN54" s="87"/>
      <c r="ZO54" s="87"/>
      <c r="ZP54" s="87">
        <f>SUM(ZP53,ZN54,-ZO54)</f>
        <v>0</v>
      </c>
      <c r="ZQ54" s="114"/>
      <c r="ZR54" s="89"/>
      <c r="ZS54" s="82"/>
      <c r="ZU54" s="90"/>
      <c r="ZV54" s="87"/>
      <c r="ZW54" s="87"/>
      <c r="ZX54" s="87">
        <f>SUM(ZX53,ZV54,-ZW54)</f>
        <v>0</v>
      </c>
      <c r="ZY54" s="114"/>
      <c r="ZZ54" s="89"/>
      <c r="AAA54" s="82"/>
      <c r="AAC54" s="90"/>
      <c r="AAD54" s="87"/>
      <c r="AAE54" s="87"/>
      <c r="AAF54" s="87">
        <f>SUM(AAF53,AAD54,-AAE54)</f>
        <v>0</v>
      </c>
      <c r="AAG54" s="114"/>
      <c r="AAH54" s="89"/>
      <c r="AAI54" s="82"/>
      <c r="AAK54" s="90"/>
      <c r="AAL54" s="87"/>
      <c r="AAM54" s="87"/>
      <c r="AAN54" s="87">
        <f>SUM(AAN53,AAL54,-AAM54)</f>
        <v>0</v>
      </c>
      <c r="AAO54" s="114"/>
      <c r="AAP54" s="89"/>
      <c r="AAQ54" s="82"/>
      <c r="AAS54" s="90"/>
      <c r="AAT54" s="87"/>
      <c r="AAU54" s="87"/>
      <c r="AAV54" s="87">
        <f>SUM(AAV53,AAT54,-AAU54)</f>
        <v>0</v>
      </c>
      <c r="AAW54" s="114"/>
      <c r="AAX54" s="89"/>
      <c r="AAY54" s="82"/>
      <c r="ABA54" s="90"/>
      <c r="ABB54" s="87"/>
      <c r="ABC54" s="87"/>
      <c r="ABD54" s="87">
        <f>SUM(ABD53,ABB54,-ABC54)</f>
        <v>0</v>
      </c>
      <c r="ABE54" s="114"/>
      <c r="ABF54" s="89"/>
      <c r="ABG54" s="82"/>
      <c r="ABI54" s="90"/>
      <c r="ABJ54" s="87"/>
      <c r="ABK54" s="87"/>
      <c r="ABL54" s="87">
        <f>SUM(ABL53,ABJ54,-ABK54)</f>
        <v>0</v>
      </c>
      <c r="ABM54" s="114"/>
      <c r="ABN54" s="89"/>
      <c r="ABO54" s="82"/>
      <c r="ABQ54" s="90"/>
      <c r="ABR54" s="87"/>
      <c r="ABS54" s="87"/>
      <c r="ABT54" s="87">
        <f>SUM(ABT53,ABR54,-ABS54)</f>
        <v>0</v>
      </c>
      <c r="ABU54" s="114"/>
      <c r="ABV54" s="89"/>
      <c r="ABW54" s="82"/>
      <c r="ABY54" s="90"/>
      <c r="ABZ54" s="87"/>
      <c r="ACA54" s="87"/>
      <c r="ACB54" s="87">
        <f>SUM(ACB53,ABZ54,-ACA54)</f>
        <v>0</v>
      </c>
      <c r="ACC54" s="114"/>
      <c r="ACD54" s="89"/>
      <c r="ACE54" s="82"/>
    </row>
    <row r="55" spans="1:759" ht="12" customHeight="1" thickBot="1" x14ac:dyDescent="0.3">
      <c r="A55" s="115"/>
      <c r="B55" s="116"/>
      <c r="C55" s="117"/>
      <c r="D55" s="117">
        <f t="shared" si="2"/>
        <v>1700</v>
      </c>
      <c r="E55" s="118"/>
      <c r="F55" s="213"/>
      <c r="G55" s="382"/>
      <c r="H55" s="72"/>
      <c r="I55" s="120"/>
      <c r="J55" s="117"/>
      <c r="K55" s="117"/>
      <c r="L55" s="117">
        <f t="shared" si="0"/>
        <v>1000</v>
      </c>
      <c r="M55" s="118"/>
      <c r="N55" s="119"/>
      <c r="O55" s="82"/>
      <c r="P55" s="72"/>
      <c r="Q55" s="120"/>
      <c r="R55" s="117"/>
      <c r="S55" s="117"/>
      <c r="T55" s="117">
        <f t="shared" si="1"/>
        <v>4000</v>
      </c>
      <c r="U55" s="118"/>
      <c r="V55" s="119"/>
      <c r="W55" s="189"/>
      <c r="X55" s="72"/>
      <c r="Y55" s="120"/>
      <c r="Z55" s="117"/>
      <c r="AA55" s="117"/>
      <c r="AB55" s="117">
        <f t="shared" si="3"/>
        <v>1000</v>
      </c>
      <c r="AC55" s="118"/>
      <c r="AD55" s="119"/>
      <c r="AE55" s="82"/>
      <c r="AF55" s="72"/>
      <c r="AG55" s="120"/>
      <c r="AH55" s="117"/>
      <c r="AI55" s="117"/>
      <c r="AJ55" s="117">
        <f t="shared" si="4"/>
        <v>2000</v>
      </c>
      <c r="AK55" s="118"/>
      <c r="AL55" s="119"/>
      <c r="AM55" s="82"/>
      <c r="AN55" s="72"/>
      <c r="AO55" s="120"/>
      <c r="AP55" s="117"/>
      <c r="AQ55" s="117"/>
      <c r="AR55" s="117">
        <f t="shared" si="5"/>
        <v>1000</v>
      </c>
      <c r="AS55" s="118"/>
      <c r="AT55" s="119"/>
      <c r="AU55" s="82"/>
      <c r="AV55" s="72"/>
      <c r="AW55" s="120"/>
      <c r="AX55" s="117"/>
      <c r="AY55" s="117"/>
      <c r="AZ55" s="117">
        <f t="shared" si="6"/>
        <v>1150</v>
      </c>
      <c r="BA55" s="118"/>
      <c r="BB55" s="213"/>
      <c r="BC55" s="189"/>
      <c r="BD55" s="72"/>
      <c r="BE55" s="120"/>
      <c r="BF55" s="117"/>
      <c r="BG55" s="117"/>
      <c r="BH55" s="117">
        <f t="shared" si="7"/>
        <v>7000</v>
      </c>
      <c r="BI55" s="118"/>
      <c r="BJ55" s="223"/>
      <c r="BK55" s="82"/>
      <c r="BL55" s="72"/>
      <c r="BM55" s="120"/>
      <c r="BN55" s="117"/>
      <c r="BO55" s="117"/>
      <c r="BP55" s="117">
        <f t="shared" si="8"/>
        <v>1000</v>
      </c>
      <c r="BQ55" s="118"/>
      <c r="BR55" s="119"/>
      <c r="BS55" s="189"/>
      <c r="BT55" s="72"/>
      <c r="BU55" s="120"/>
      <c r="BV55" s="117"/>
      <c r="BW55" s="117"/>
      <c r="BX55" s="117">
        <f t="shared" si="9"/>
        <v>0</v>
      </c>
      <c r="BY55" s="118"/>
      <c r="BZ55" s="119"/>
      <c r="CA55" s="82"/>
      <c r="CB55" s="72"/>
      <c r="CC55" s="120"/>
      <c r="CD55" s="117"/>
      <c r="CE55" s="117"/>
      <c r="CF55" s="117">
        <f t="shared" si="10"/>
        <v>0</v>
      </c>
      <c r="CG55" s="118"/>
      <c r="CH55" s="119"/>
      <c r="CI55" s="82"/>
      <c r="CJ55" s="72"/>
      <c r="CK55" s="120"/>
      <c r="CL55" s="117"/>
      <c r="CM55" s="117"/>
      <c r="CN55" s="117">
        <f t="shared" si="11"/>
        <v>0</v>
      </c>
      <c r="CO55" s="118"/>
      <c r="CP55" s="119"/>
      <c r="CQ55" s="189"/>
      <c r="CR55" s="72"/>
      <c r="CS55" s="120"/>
      <c r="CT55" s="117"/>
      <c r="CU55" s="117"/>
      <c r="CV55" s="117">
        <f>SUM(CV54,CT55,-CU55)</f>
        <v>0</v>
      </c>
      <c r="CW55" s="118"/>
      <c r="CX55" s="223"/>
      <c r="CY55" s="189"/>
      <c r="CZ55" s="72"/>
      <c r="DA55" s="120"/>
      <c r="DB55" s="117"/>
      <c r="DC55" s="117"/>
      <c r="DD55" s="117">
        <f>SUM(DD54,DB55,-DC55)</f>
        <v>0</v>
      </c>
      <c r="DE55" s="118"/>
      <c r="DF55" s="119"/>
      <c r="DG55" s="82"/>
      <c r="DH55" s="72"/>
      <c r="DI55" s="120"/>
      <c r="DJ55" s="117"/>
      <c r="DK55" s="117"/>
      <c r="DL55" s="117">
        <f>SUM(DL54,DJ55,-DK55)</f>
        <v>0</v>
      </c>
      <c r="DM55" s="118"/>
      <c r="DN55" s="119"/>
      <c r="DO55" s="82"/>
      <c r="DP55" s="72"/>
      <c r="DQ55" s="120"/>
      <c r="DR55" s="117"/>
      <c r="DS55" s="117"/>
      <c r="DT55" s="117">
        <f>SUM(DT54,DR55,-DS55)</f>
        <v>0</v>
      </c>
      <c r="DU55" s="118"/>
      <c r="DV55" s="119"/>
      <c r="DW55" s="82"/>
      <c r="DX55" s="72"/>
      <c r="DY55" s="120"/>
      <c r="DZ55" s="117"/>
      <c r="EA55" s="117"/>
      <c r="EB55" s="117">
        <f>SUM(EB54,DZ55,-EA55)</f>
        <v>0</v>
      </c>
      <c r="EC55" s="118"/>
      <c r="ED55" s="119"/>
      <c r="EE55" s="82"/>
      <c r="EF55" s="72"/>
      <c r="EG55" s="120"/>
      <c r="EH55" s="117"/>
      <c r="EI55" s="117"/>
      <c r="EJ55" s="117">
        <f>SUM(EJ54,EH55,-EI55)</f>
        <v>0</v>
      </c>
      <c r="EK55" s="118"/>
      <c r="EL55" s="119"/>
      <c r="EM55" s="82"/>
      <c r="EO55" s="120"/>
      <c r="EP55" s="117"/>
      <c r="EQ55" s="117"/>
      <c r="ER55" s="117">
        <f>SUM(ER54,EP55,-EQ55)</f>
        <v>0</v>
      </c>
      <c r="ES55" s="118"/>
      <c r="ET55" s="119"/>
      <c r="EU55" s="82"/>
      <c r="EW55" s="120"/>
      <c r="EX55" s="117"/>
      <c r="EY55" s="117"/>
      <c r="EZ55" s="117">
        <f>SUM(EZ54,EX55,-EY55)</f>
        <v>0</v>
      </c>
      <c r="FA55" s="118"/>
      <c r="FB55" s="119"/>
      <c r="FC55" s="82"/>
      <c r="FE55" s="120"/>
      <c r="FF55" s="117"/>
      <c r="FG55" s="117"/>
      <c r="FH55" s="117">
        <f>SUM(FH54,FF55,-FG55)</f>
        <v>0</v>
      </c>
      <c r="FI55" s="118"/>
      <c r="FJ55" s="119"/>
      <c r="FK55" s="189"/>
      <c r="FM55" s="120"/>
      <c r="FN55" s="117"/>
      <c r="FO55" s="117"/>
      <c r="FP55" s="117">
        <f>SUM(FP54,FN55,-FO55)</f>
        <v>0</v>
      </c>
      <c r="FQ55" s="118"/>
      <c r="FR55" s="119"/>
      <c r="FS55" s="82"/>
      <c r="FU55" s="120"/>
      <c r="FV55" s="117"/>
      <c r="FW55" s="117"/>
      <c r="FX55" s="117">
        <f>SUM(FX54,FV55,-FW55)</f>
        <v>0</v>
      </c>
      <c r="FY55" s="118"/>
      <c r="FZ55" s="119"/>
      <c r="GA55" s="82"/>
      <c r="GC55" s="120"/>
      <c r="GD55" s="117"/>
      <c r="GE55" s="117"/>
      <c r="GF55" s="117">
        <f>SUM(GF54,GD55,-GE55)</f>
        <v>0</v>
      </c>
      <c r="GG55" s="118"/>
      <c r="GH55" s="119"/>
      <c r="GI55" s="82"/>
      <c r="GK55" s="120"/>
      <c r="GL55" s="117"/>
      <c r="GM55" s="117"/>
      <c r="GN55" s="117">
        <f>SUM(GN54,GL55,-GM55)</f>
        <v>0</v>
      </c>
      <c r="GO55" s="118"/>
      <c r="GP55" s="119"/>
      <c r="GQ55" s="82"/>
      <c r="GS55" s="120"/>
      <c r="GT55" s="117"/>
      <c r="GU55" s="117"/>
      <c r="GV55" s="117">
        <f>SUM(GV54,GT55,-GU55)</f>
        <v>0</v>
      </c>
      <c r="GW55" s="118"/>
      <c r="GX55" s="119"/>
      <c r="GY55" s="82"/>
      <c r="HA55" s="120"/>
      <c r="HB55" s="117"/>
      <c r="HC55" s="117"/>
      <c r="HD55" s="117">
        <f>SUM(HD54,HB55,-HC55)</f>
        <v>0</v>
      </c>
      <c r="HE55" s="118"/>
      <c r="HF55" s="119"/>
      <c r="HG55" s="82"/>
      <c r="HI55" s="120"/>
      <c r="HJ55" s="117"/>
      <c r="HK55" s="117"/>
      <c r="HL55" s="117">
        <f>SUM(HL54,HJ55,-HK55)</f>
        <v>0</v>
      </c>
      <c r="HM55" s="118"/>
      <c r="HN55" s="119"/>
      <c r="HO55" s="82"/>
      <c r="HQ55" s="120"/>
      <c r="HR55" s="117"/>
      <c r="HS55" s="117"/>
      <c r="HT55" s="117">
        <f>SUM(HT54,HR55,-HS55)</f>
        <v>0</v>
      </c>
      <c r="HU55" s="118"/>
      <c r="HV55" s="119"/>
      <c r="HW55" s="82"/>
      <c r="HY55" s="120"/>
      <c r="HZ55" s="117"/>
      <c r="IA55" s="117"/>
      <c r="IB55" s="117">
        <f>SUM(IB54,HZ55,-IA55)</f>
        <v>0</v>
      </c>
      <c r="IC55" s="118"/>
      <c r="ID55" s="119"/>
      <c r="IE55" s="82"/>
      <c r="IG55" s="120"/>
      <c r="IH55" s="117"/>
      <c r="II55" s="117"/>
      <c r="IJ55" s="117">
        <f>SUM(IJ54,IH55,-II55)</f>
        <v>0</v>
      </c>
      <c r="IK55" s="118"/>
      <c r="IL55" s="119"/>
      <c r="IM55" s="82"/>
      <c r="IO55" s="120"/>
      <c r="IP55" s="117"/>
      <c r="IQ55" s="117"/>
      <c r="IR55" s="117">
        <f>SUM(IR54,IP55,-IQ55)</f>
        <v>0</v>
      </c>
      <c r="IS55" s="118"/>
      <c r="IT55" s="119"/>
      <c r="IU55" s="82"/>
      <c r="IW55" s="120"/>
      <c r="IX55" s="117"/>
      <c r="IY55" s="117"/>
      <c r="IZ55" s="117">
        <f>SUM(IZ54,IX55,-IY55)</f>
        <v>0</v>
      </c>
      <c r="JA55" s="118"/>
      <c r="JB55" s="119"/>
      <c r="JC55" s="82"/>
      <c r="JE55" s="120"/>
      <c r="JF55" s="117"/>
      <c r="JG55" s="117"/>
      <c r="JH55" s="117">
        <f>SUM(JH54,JF55,-JG55)</f>
        <v>0</v>
      </c>
      <c r="JI55" s="118"/>
      <c r="JJ55" s="119"/>
      <c r="JK55" s="82"/>
      <c r="JM55" s="120"/>
      <c r="JN55" s="117"/>
      <c r="JO55" s="117"/>
      <c r="JP55" s="117">
        <f>SUM(JP54,JN55,-JO55)</f>
        <v>0</v>
      </c>
      <c r="JQ55" s="118"/>
      <c r="JR55" s="121"/>
      <c r="JS55" s="82"/>
      <c r="JU55" s="120"/>
      <c r="JV55" s="117"/>
      <c r="JW55" s="117"/>
      <c r="JX55" s="117">
        <f>SUM(JX54,JV55,-JW55)</f>
        <v>0</v>
      </c>
      <c r="JY55" s="118"/>
      <c r="JZ55" s="119"/>
      <c r="KA55" s="82"/>
      <c r="KC55" s="120"/>
      <c r="KD55" s="117"/>
      <c r="KE55" s="117"/>
      <c r="KF55" s="117">
        <f>SUM(KF54,KD55,-KE55)</f>
        <v>0</v>
      </c>
      <c r="KG55" s="118"/>
      <c r="KH55" s="122"/>
      <c r="KI55" s="82"/>
      <c r="KK55" s="120"/>
      <c r="KL55" s="117"/>
      <c r="KM55" s="117"/>
      <c r="KN55" s="117">
        <f>SUM(KN54,KL55,-KM55)</f>
        <v>0</v>
      </c>
      <c r="KO55" s="118"/>
      <c r="KP55" s="119"/>
      <c r="KQ55" s="82"/>
      <c r="KS55" s="120"/>
      <c r="KT55" s="117"/>
      <c r="KU55" s="117"/>
      <c r="KV55" s="117">
        <f>SUM(KV54,KT55,-KU55)</f>
        <v>0</v>
      </c>
      <c r="KW55" s="118"/>
      <c r="KX55" s="119"/>
      <c r="KY55" s="82"/>
      <c r="LA55" s="120"/>
      <c r="LB55" s="117"/>
      <c r="LC55" s="117"/>
      <c r="LD55" s="117">
        <f>SUM(LD54,LB55,-LC55)</f>
        <v>0</v>
      </c>
      <c r="LE55" s="118"/>
      <c r="LF55" s="119"/>
      <c r="LG55" s="189"/>
      <c r="LI55" s="120"/>
      <c r="LJ55" s="117"/>
      <c r="LK55" s="117"/>
      <c r="LL55" s="117">
        <f>SUM(LL54,LJ55,-LK55)</f>
        <v>0</v>
      </c>
      <c r="LM55" s="118"/>
      <c r="LN55" s="119"/>
      <c r="LO55" s="82"/>
      <c r="LQ55" s="120"/>
      <c r="LR55" s="117"/>
      <c r="LS55" s="117"/>
      <c r="LT55" s="117">
        <f>SUM(LT54,LR55,-LS55)</f>
        <v>0</v>
      </c>
      <c r="LU55" s="118"/>
      <c r="LV55" s="119"/>
      <c r="LW55" s="82"/>
      <c r="LY55" s="120"/>
      <c r="LZ55" s="117"/>
      <c r="MA55" s="117"/>
      <c r="MB55" s="117">
        <f>SUM(MB54,LZ55,-MA55)</f>
        <v>0</v>
      </c>
      <c r="MC55" s="118"/>
      <c r="MD55" s="119"/>
      <c r="ME55" s="82"/>
      <c r="MG55" s="120"/>
      <c r="MH55" s="117"/>
      <c r="MI55" s="117"/>
      <c r="MJ55" s="117">
        <f>SUM(MJ54,MH55,-MI55)</f>
        <v>0</v>
      </c>
      <c r="MK55" s="118"/>
      <c r="ML55" s="119"/>
      <c r="MM55" s="82"/>
      <c r="MO55" s="120"/>
      <c r="MP55" s="117"/>
      <c r="MQ55" s="117"/>
      <c r="MR55" s="117">
        <f>SUM(MR54,MP55,-MQ55)</f>
        <v>0</v>
      </c>
      <c r="MS55" s="118"/>
      <c r="MT55" s="119"/>
      <c r="MU55" s="82"/>
      <c r="MW55" s="120"/>
      <c r="MX55" s="117"/>
      <c r="MY55" s="117"/>
      <c r="MZ55" s="117">
        <f>SUM(MZ54,MX55,-MY55)</f>
        <v>0</v>
      </c>
      <c r="NA55" s="118"/>
      <c r="NB55" s="119"/>
      <c r="NC55" s="82"/>
      <c r="NE55" s="120"/>
      <c r="NF55" s="117"/>
      <c r="NG55" s="117"/>
      <c r="NH55" s="117">
        <f>SUM(NH54,NF55,-NG55)</f>
        <v>0</v>
      </c>
      <c r="NI55" s="118"/>
      <c r="NJ55" s="119"/>
      <c r="NK55" s="82"/>
      <c r="NM55" s="120"/>
      <c r="NN55" s="117"/>
      <c r="NO55" s="117"/>
      <c r="NP55" s="117">
        <f>SUM(NP54,NN55,-NO55)</f>
        <v>0</v>
      </c>
      <c r="NQ55" s="118"/>
      <c r="NR55" s="119"/>
      <c r="NS55" s="82"/>
      <c r="NU55" s="120"/>
      <c r="NV55" s="117"/>
      <c r="NW55" s="117"/>
      <c r="NX55" s="117">
        <f>SUM(NX54,NV55,-NW55)</f>
        <v>0</v>
      </c>
      <c r="NY55" s="118"/>
      <c r="NZ55" s="119"/>
      <c r="OA55" s="82"/>
      <c r="OC55" s="120"/>
      <c r="OD55" s="117"/>
      <c r="OE55" s="117"/>
      <c r="OF55" s="117">
        <f>SUM(OF54,OD55,-OE55)</f>
        <v>0</v>
      </c>
      <c r="OG55" s="118"/>
      <c r="OH55" s="119"/>
      <c r="OI55" s="82"/>
      <c r="OK55" s="120"/>
      <c r="OL55" s="117"/>
      <c r="OM55" s="117"/>
      <c r="ON55" s="117">
        <f>SUM(ON54,OL55,-OM55)</f>
        <v>0</v>
      </c>
      <c r="OO55" s="118"/>
      <c r="OP55" s="119"/>
      <c r="OQ55" s="82"/>
      <c r="OS55" s="120"/>
      <c r="OT55" s="117"/>
      <c r="OU55" s="117"/>
      <c r="OV55" s="117">
        <f>SUM(OV54,OT55,-OU55)</f>
        <v>0</v>
      </c>
      <c r="OW55" s="118"/>
      <c r="OX55" s="119"/>
      <c r="OY55" s="82"/>
      <c r="PA55" s="90"/>
      <c r="PB55" s="117"/>
      <c r="PC55" s="117"/>
      <c r="PD55" s="117">
        <f>SUM(PD54,PB55,-PC55)</f>
        <v>0</v>
      </c>
      <c r="PE55" s="118"/>
      <c r="PF55" s="119"/>
      <c r="PG55" s="82"/>
      <c r="PI55" s="120"/>
      <c r="PJ55" s="117"/>
      <c r="PK55" s="117"/>
      <c r="PL55" s="117">
        <f>SUM(PL54,PJ55,-PK55)</f>
        <v>0</v>
      </c>
      <c r="PM55" s="118"/>
      <c r="PN55" s="213"/>
      <c r="PO55" s="216"/>
      <c r="PQ55" s="120"/>
      <c r="PR55" s="117"/>
      <c r="PS55" s="117"/>
      <c r="PT55" s="117">
        <f>SUM(PT54,PR55,-PS55)</f>
        <v>0</v>
      </c>
      <c r="PU55" s="118"/>
      <c r="PV55" s="119"/>
      <c r="PW55" s="82"/>
      <c r="PY55" s="120"/>
      <c r="PZ55" s="117"/>
      <c r="QA55" s="117"/>
      <c r="QB55" s="117">
        <f>SUM(QB54,PZ55,-QA55)</f>
        <v>0</v>
      </c>
      <c r="QC55" s="118"/>
      <c r="QD55" s="119"/>
      <c r="QE55" s="82"/>
      <c r="QG55" s="120"/>
      <c r="QH55" s="117"/>
      <c r="QI55" s="117"/>
      <c r="QJ55" s="117">
        <f>SUM(QJ54,QH55,-QI55)</f>
        <v>0</v>
      </c>
      <c r="QK55" s="118"/>
      <c r="QL55" s="119"/>
      <c r="QM55" s="82"/>
      <c r="QO55" s="120"/>
      <c r="QP55" s="117"/>
      <c r="QQ55" s="117"/>
      <c r="QR55" s="117">
        <f>SUM(QR54,QP55,-QQ55)</f>
        <v>0</v>
      </c>
      <c r="QS55" s="118"/>
      <c r="QT55" s="213"/>
      <c r="QU55" s="216"/>
      <c r="QW55" s="120"/>
      <c r="QX55" s="117"/>
      <c r="QY55" s="117"/>
      <c r="QZ55" s="117">
        <f>SUM(QZ54,QX55,-QY55)</f>
        <v>0</v>
      </c>
      <c r="RA55" s="118"/>
      <c r="RB55" s="119"/>
      <c r="RC55" s="82"/>
      <c r="RE55" s="120"/>
      <c r="RF55" s="117"/>
      <c r="RG55" s="117"/>
      <c r="RH55" s="117">
        <f>SUM(RH54,RF55,-RG55)</f>
        <v>0</v>
      </c>
      <c r="RI55" s="118"/>
      <c r="RJ55" s="119"/>
      <c r="RK55" s="170"/>
      <c r="RM55" s="120"/>
      <c r="RN55" s="117"/>
      <c r="RO55" s="117"/>
      <c r="RP55" s="117">
        <f>SUM(RP54,RN55,-RO55)</f>
        <v>0</v>
      </c>
      <c r="RQ55" s="118"/>
      <c r="RR55" s="119"/>
      <c r="RS55" s="82"/>
      <c r="RU55" s="120"/>
      <c r="RV55" s="117"/>
      <c r="RW55" s="117"/>
      <c r="RX55" s="117">
        <f>SUM(RX54,RV55,-RW55)</f>
        <v>0</v>
      </c>
      <c r="RY55" s="118"/>
      <c r="RZ55" s="119"/>
      <c r="SA55" s="82"/>
      <c r="SC55" s="120"/>
      <c r="SD55" s="117"/>
      <c r="SE55" s="117"/>
      <c r="SF55" s="117">
        <f>SUM(SF54,SD55,-SE55)</f>
        <v>0</v>
      </c>
      <c r="SG55" s="118"/>
      <c r="SH55" s="119"/>
      <c r="SI55" s="82"/>
      <c r="SK55" s="120"/>
      <c r="SL55" s="117"/>
      <c r="SM55" s="117"/>
      <c r="SN55" s="117">
        <f>SUM(SN54,SL55,-SM55)</f>
        <v>0</v>
      </c>
      <c r="SO55" s="118"/>
      <c r="SP55" s="119"/>
      <c r="SQ55" s="82"/>
      <c r="SS55" s="120"/>
      <c r="ST55" s="117"/>
      <c r="SU55" s="117"/>
      <c r="SV55" s="117">
        <f>SUM(SV54,ST55,-SU55)</f>
        <v>0</v>
      </c>
      <c r="SW55" s="118"/>
      <c r="SX55" s="119"/>
      <c r="SY55" s="82"/>
      <c r="TA55" s="120"/>
      <c r="TB55" s="117"/>
      <c r="TC55" s="117"/>
      <c r="TD55" s="117">
        <f>SUM(TD54,TB55,-TC55)</f>
        <v>0</v>
      </c>
      <c r="TE55" s="118"/>
      <c r="TF55" s="119"/>
      <c r="TG55" s="82"/>
      <c r="TI55" s="120"/>
      <c r="TJ55" s="117"/>
      <c r="TK55" s="117"/>
      <c r="TL55" s="117">
        <f>SUM(TL54,TJ55,-TK55)</f>
        <v>0</v>
      </c>
      <c r="TM55" s="118"/>
      <c r="TN55" s="119"/>
      <c r="TO55" s="82"/>
      <c r="TQ55" s="120"/>
      <c r="TR55" s="117"/>
      <c r="TS55" s="117"/>
      <c r="TT55" s="117">
        <f>SUM(TT54,TR55,-TS55)</f>
        <v>0</v>
      </c>
      <c r="TU55" s="118"/>
      <c r="TV55" s="121"/>
      <c r="TW55" s="82"/>
      <c r="TY55" s="120"/>
      <c r="TZ55" s="117"/>
      <c r="UA55" s="117"/>
      <c r="UB55" s="117">
        <f>SUM(UB54,TZ55,-UA55)</f>
        <v>0</v>
      </c>
      <c r="UC55" s="118"/>
      <c r="UD55" s="119"/>
      <c r="UE55" s="82"/>
      <c r="UG55" s="120"/>
      <c r="UH55" s="117"/>
      <c r="UI55" s="117"/>
      <c r="UJ55" s="117">
        <f>SUM(UJ54,UH55,-UI55)</f>
        <v>0</v>
      </c>
      <c r="UK55" s="118"/>
      <c r="UL55" s="119"/>
      <c r="UM55" s="82"/>
      <c r="UO55" s="120"/>
      <c r="UP55" s="117"/>
      <c r="UQ55" s="117"/>
      <c r="UR55" s="117">
        <f>SUM(UR54,UP55,-UQ55)</f>
        <v>0</v>
      </c>
      <c r="US55" s="118"/>
      <c r="UT55" s="119"/>
      <c r="UU55" s="82"/>
      <c r="UW55" s="120"/>
      <c r="UX55" s="117"/>
      <c r="UY55" s="117"/>
      <c r="UZ55" s="117">
        <f>SUM(UZ54,UX55,-UY55)</f>
        <v>0</v>
      </c>
      <c r="VA55" s="118"/>
      <c r="VB55" s="119"/>
      <c r="VC55" s="82"/>
      <c r="VE55" s="120"/>
      <c r="VF55" s="117"/>
      <c r="VG55" s="117"/>
      <c r="VH55" s="117">
        <f>SUM(VH54,VF55,-VG55)</f>
        <v>0</v>
      </c>
      <c r="VI55" s="118"/>
      <c r="VJ55" s="119"/>
      <c r="VK55" s="82"/>
      <c r="VM55" s="120"/>
      <c r="VN55" s="117"/>
      <c r="VO55" s="117"/>
      <c r="VP55" s="117">
        <f>SUM(VP54,VN55,-VO55)</f>
        <v>0</v>
      </c>
      <c r="VQ55" s="118"/>
      <c r="VR55" s="119"/>
      <c r="VS55" s="82"/>
      <c r="VU55" s="120"/>
      <c r="VV55" s="117"/>
      <c r="VW55" s="117"/>
      <c r="VX55" s="117">
        <f>SUM(VX54,VV55,-VW55)</f>
        <v>0</v>
      </c>
      <c r="VY55" s="118"/>
      <c r="VZ55" s="119"/>
      <c r="WA55" s="82"/>
      <c r="WC55" s="120"/>
      <c r="WD55" s="117"/>
      <c r="WE55" s="117"/>
      <c r="WF55" s="117">
        <f>SUM(WF54,WD55,-WE55)</f>
        <v>0</v>
      </c>
      <c r="WG55" s="118"/>
      <c r="WH55" s="119"/>
      <c r="WI55" s="82"/>
      <c r="WK55" s="120"/>
      <c r="WL55" s="117"/>
      <c r="WM55" s="117"/>
      <c r="WN55" s="117">
        <f>SUM(WN54,WL55,-WM55)</f>
        <v>0</v>
      </c>
      <c r="WO55" s="118"/>
      <c r="WP55" s="119"/>
      <c r="WQ55" s="82"/>
      <c r="WS55" s="120"/>
      <c r="WT55" s="117"/>
      <c r="WU55" s="117"/>
      <c r="WV55" s="117">
        <f>SUM(WV54,WT55,-WU55)</f>
        <v>0</v>
      </c>
      <c r="WW55" s="118"/>
      <c r="WX55" s="119"/>
      <c r="WY55" s="82"/>
      <c r="XA55" s="120"/>
      <c r="XB55" s="117"/>
      <c r="XC55" s="117"/>
      <c r="XD55" s="117">
        <f>SUM(XD54,XB55,-XC55)</f>
        <v>0</v>
      </c>
      <c r="XE55" s="118"/>
      <c r="XF55" s="119"/>
      <c r="XG55" s="82"/>
      <c r="XI55" s="120"/>
      <c r="XJ55" s="117"/>
      <c r="XK55" s="117"/>
      <c r="XL55" s="117">
        <f>SUM(XL54,XJ55,-XK55)</f>
        <v>0</v>
      </c>
      <c r="XM55" s="118"/>
      <c r="XN55" s="119"/>
      <c r="XO55" s="82"/>
      <c r="XQ55" s="120"/>
      <c r="XR55" s="117"/>
      <c r="XS55" s="117"/>
      <c r="XT55" s="117">
        <f>SUM(XT54,XR55,-XS55)</f>
        <v>0</v>
      </c>
      <c r="XU55" s="118"/>
      <c r="XV55" s="119"/>
      <c r="XW55" s="82"/>
      <c r="XY55" s="120"/>
      <c r="XZ55" s="117"/>
      <c r="YA55" s="117"/>
      <c r="YB55" s="117">
        <f>SUM(YB54,XZ55,-YA55)</f>
        <v>0</v>
      </c>
      <c r="YC55" s="118"/>
      <c r="YD55" s="119"/>
      <c r="YE55" s="82"/>
      <c r="YG55" s="120"/>
      <c r="YH55" s="117"/>
      <c r="YI55" s="117"/>
      <c r="YJ55" s="117">
        <f>SUM(YJ54,YH55,-YI55)</f>
        <v>0</v>
      </c>
      <c r="YK55" s="118"/>
      <c r="YL55" s="119"/>
      <c r="YM55" s="82"/>
      <c r="YO55" s="120"/>
      <c r="YP55" s="117"/>
      <c r="YQ55" s="117"/>
      <c r="YR55" s="117">
        <f>SUM(YR54,YP55,-YQ55)</f>
        <v>0</v>
      </c>
      <c r="YS55" s="118"/>
      <c r="YT55" s="119"/>
      <c r="YU55" s="82"/>
      <c r="YW55" s="120"/>
      <c r="YX55" s="117"/>
      <c r="YY55" s="117"/>
      <c r="YZ55" s="117">
        <f>SUM(YZ54,YX55,-YY55)</f>
        <v>0</v>
      </c>
      <c r="ZA55" s="118"/>
      <c r="ZB55" s="119"/>
      <c r="ZC55" s="82"/>
      <c r="ZE55" s="120"/>
      <c r="ZF55" s="117"/>
      <c r="ZG55" s="117"/>
      <c r="ZH55" s="117">
        <f>SUM(ZH54,ZF55,-ZG55)</f>
        <v>0</v>
      </c>
      <c r="ZI55" s="118"/>
      <c r="ZJ55" s="119"/>
      <c r="ZK55" s="82"/>
      <c r="ZM55" s="120"/>
      <c r="ZN55" s="117"/>
      <c r="ZO55" s="117"/>
      <c r="ZP55" s="117">
        <f>SUM(ZP54,ZN55,-ZO55)</f>
        <v>0</v>
      </c>
      <c r="ZQ55" s="118"/>
      <c r="ZR55" s="119"/>
      <c r="ZS55" s="82"/>
      <c r="ZU55" s="120"/>
      <c r="ZV55" s="117"/>
      <c r="ZW55" s="117"/>
      <c r="ZX55" s="117">
        <f>SUM(ZX54,ZV55,-ZW55)</f>
        <v>0</v>
      </c>
      <c r="ZY55" s="118"/>
      <c r="ZZ55" s="119"/>
      <c r="AAA55" s="82"/>
      <c r="AAC55" s="120"/>
      <c r="AAD55" s="117"/>
      <c r="AAE55" s="117"/>
      <c r="AAF55" s="117">
        <f>SUM(AAF54,AAD55,-AAE55)</f>
        <v>0</v>
      </c>
      <c r="AAG55" s="118"/>
      <c r="AAH55" s="119"/>
      <c r="AAI55" s="82"/>
      <c r="AAK55" s="120"/>
      <c r="AAL55" s="117"/>
      <c r="AAM55" s="117"/>
      <c r="AAN55" s="117">
        <f>SUM(AAN54,AAL55,-AAM55)</f>
        <v>0</v>
      </c>
      <c r="AAO55" s="118"/>
      <c r="AAP55" s="119"/>
      <c r="AAQ55" s="82"/>
      <c r="AAS55" s="120"/>
      <c r="AAT55" s="117"/>
      <c r="AAU55" s="117"/>
      <c r="AAV55" s="117">
        <f>SUM(AAV54,AAT55,-AAU55)</f>
        <v>0</v>
      </c>
      <c r="AAW55" s="118"/>
      <c r="AAX55" s="119"/>
      <c r="AAY55" s="82"/>
      <c r="ABA55" s="120"/>
      <c r="ABB55" s="117"/>
      <c r="ABC55" s="117"/>
      <c r="ABD55" s="117">
        <f>SUM(ABD54,ABB55,-ABC55)</f>
        <v>0</v>
      </c>
      <c r="ABE55" s="118"/>
      <c r="ABF55" s="119"/>
      <c r="ABG55" s="82"/>
      <c r="ABI55" s="120"/>
      <c r="ABJ55" s="117"/>
      <c r="ABK55" s="117"/>
      <c r="ABL55" s="117">
        <f>SUM(ABL54,ABJ55,-ABK55)</f>
        <v>0</v>
      </c>
      <c r="ABM55" s="118"/>
      <c r="ABN55" s="119"/>
      <c r="ABO55" s="82"/>
      <c r="ABQ55" s="120"/>
      <c r="ABR55" s="117"/>
      <c r="ABS55" s="117"/>
      <c r="ABT55" s="117">
        <f>SUM(ABT54,ABR55,-ABS55)</f>
        <v>0</v>
      </c>
      <c r="ABU55" s="118"/>
      <c r="ABV55" s="119"/>
      <c r="ABW55" s="82"/>
      <c r="ABY55" s="120"/>
      <c r="ABZ55" s="117"/>
      <c r="ACA55" s="117"/>
      <c r="ACB55" s="117">
        <f>SUM(ACB54,ABZ55,-ACA55)</f>
        <v>0</v>
      </c>
      <c r="ACC55" s="118"/>
      <c r="ACD55" s="119"/>
      <c r="ACE55" s="82"/>
    </row>
    <row r="56" spans="1:759" ht="12" customHeight="1" thickBot="1" x14ac:dyDescent="0.3">
      <c r="C56" s="63" t="s">
        <v>23</v>
      </c>
      <c r="D56" s="123">
        <f>D55</f>
        <v>1700</v>
      </c>
      <c r="E56" s="124"/>
      <c r="F56" s="375">
        <f>SUM(F8:F55)</f>
        <v>100</v>
      </c>
      <c r="G56" s="125">
        <f>SUM(G8:G55)</f>
        <v>0</v>
      </c>
      <c r="H56" s="72"/>
      <c r="L56" s="123">
        <f>L55</f>
        <v>1000</v>
      </c>
      <c r="M56" s="124"/>
      <c r="N56" s="126">
        <f>SUM(N8:N55)</f>
        <v>24</v>
      </c>
      <c r="O56" s="125">
        <f>SUM(O8:O55)</f>
        <v>0</v>
      </c>
      <c r="P56" s="72"/>
      <c r="S56" s="63" t="s">
        <v>23</v>
      </c>
      <c r="T56" s="123">
        <f>T55</f>
        <v>4000</v>
      </c>
      <c r="U56" s="124"/>
      <c r="V56" s="126">
        <f>SUM(V8:V55)</f>
        <v>84</v>
      </c>
      <c r="W56" s="125">
        <f>SUM(W8:W55)</f>
        <v>0</v>
      </c>
      <c r="X56" s="72"/>
      <c r="AA56" s="63" t="s">
        <v>23</v>
      </c>
      <c r="AB56" s="123">
        <f>AB55</f>
        <v>1000</v>
      </c>
      <c r="AC56" s="124"/>
      <c r="AD56" s="126">
        <f>SUM(AD8:AD55)</f>
        <v>0</v>
      </c>
      <c r="AE56" s="125">
        <f>SUM(AE8:AE55)</f>
        <v>40</v>
      </c>
      <c r="AI56" s="63" t="s">
        <v>23</v>
      </c>
      <c r="AJ56" s="123">
        <f>AJ55</f>
        <v>2000</v>
      </c>
      <c r="AK56" s="124"/>
      <c r="AL56" s="126">
        <f>SUM(AL8:AL55)</f>
        <v>40</v>
      </c>
      <c r="AM56" s="125">
        <f>SUM(AM8:AM55)</f>
        <v>0</v>
      </c>
      <c r="AN56" s="72"/>
      <c r="AQ56" s="63" t="s">
        <v>23</v>
      </c>
      <c r="AR56" s="123">
        <f>AR55</f>
        <v>1000</v>
      </c>
      <c r="AS56" s="124"/>
      <c r="AT56" s="126">
        <f>SUM(AT8:AT55)</f>
        <v>0</v>
      </c>
      <c r="AU56" s="125">
        <f>SUM(AU8:AU55)</f>
        <v>35</v>
      </c>
      <c r="AV56" s="72"/>
      <c r="AY56" s="63" t="s">
        <v>23</v>
      </c>
      <c r="AZ56" s="123">
        <f>AZ55</f>
        <v>1150</v>
      </c>
      <c r="BA56" s="124"/>
      <c r="BB56" s="126">
        <f>SUM(BB8:BB55)</f>
        <v>42</v>
      </c>
      <c r="BC56" s="125">
        <f>SUM(BC8:BC55)</f>
        <v>0</v>
      </c>
      <c r="BD56" s="72"/>
      <c r="BG56" s="63" t="s">
        <v>23</v>
      </c>
      <c r="BH56" s="123">
        <f>BH55</f>
        <v>7000</v>
      </c>
      <c r="BI56" s="124"/>
      <c r="BJ56" s="224">
        <f>SUM(BJ8:BJ55)</f>
        <v>225</v>
      </c>
      <c r="BK56" s="125">
        <f>SUM(BK8:BK55)</f>
        <v>0</v>
      </c>
      <c r="BL56" s="72"/>
      <c r="BO56" s="63" t="s">
        <v>23</v>
      </c>
      <c r="BP56" s="123">
        <f>BP55</f>
        <v>1000</v>
      </c>
      <c r="BQ56" s="124"/>
      <c r="BR56" s="126">
        <f>SUM(BR8:BR55)</f>
        <v>0</v>
      </c>
      <c r="BS56" s="125">
        <f>SUM(BS8:BS55)</f>
        <v>45</v>
      </c>
      <c r="BT56" s="72"/>
      <c r="BW56" s="63" t="s">
        <v>23</v>
      </c>
      <c r="BX56" s="123">
        <f xml:space="preserve"> BX55</f>
        <v>0</v>
      </c>
      <c r="BY56" s="124"/>
      <c r="BZ56" s="126">
        <f>SUM(BZ8:BZ55)</f>
        <v>75</v>
      </c>
      <c r="CA56" s="125">
        <f>SUM(CA8:CA55)</f>
        <v>0</v>
      </c>
      <c r="CE56" s="63" t="s">
        <v>23</v>
      </c>
      <c r="CF56" s="123">
        <f xml:space="preserve"> CF55</f>
        <v>0</v>
      </c>
      <c r="CG56" s="124"/>
      <c r="CH56" s="126">
        <f>SUM(CH8:CH55)</f>
        <v>0</v>
      </c>
      <c r="CI56" s="125">
        <f>SUM(CI8:CI55)</f>
        <v>0</v>
      </c>
      <c r="CJ56" s="72"/>
      <c r="CM56" s="63" t="s">
        <v>23</v>
      </c>
      <c r="CN56" s="123">
        <f>CN55</f>
        <v>0</v>
      </c>
      <c r="CO56" s="124"/>
      <c r="CP56" s="126">
        <f>SUM(CP8:CP55)</f>
        <v>0</v>
      </c>
      <c r="CQ56" s="125">
        <f>SUM(CQ8:CQ55)</f>
        <v>0</v>
      </c>
      <c r="CU56" s="63" t="s">
        <v>23</v>
      </c>
      <c r="CV56" s="123">
        <f>CV55</f>
        <v>0</v>
      </c>
      <c r="CW56" s="124"/>
      <c r="CX56" s="224">
        <f>SUM(CX8:CX55)</f>
        <v>0</v>
      </c>
      <c r="CY56" s="125">
        <f>SUM(CY8:CY55)</f>
        <v>0</v>
      </c>
      <c r="CZ56" s="72"/>
      <c r="DC56" s="63" t="s">
        <v>23</v>
      </c>
      <c r="DD56" s="123">
        <f>DD55</f>
        <v>0</v>
      </c>
      <c r="DE56" s="127"/>
      <c r="DF56" s="126">
        <f>SUM(DF8:DF55)</f>
        <v>0</v>
      </c>
      <c r="DG56" s="125">
        <f>SUM(DG8:DG55)</f>
        <v>0</v>
      </c>
      <c r="DK56" s="63" t="s">
        <v>23</v>
      </c>
      <c r="DL56" s="123">
        <f>DL55</f>
        <v>0</v>
      </c>
      <c r="DM56" s="124"/>
      <c r="DN56" s="126">
        <f>SUM(DN8:DN55)</f>
        <v>0</v>
      </c>
      <c r="DO56" s="125">
        <f>SUM(DO8:DO55)</f>
        <v>0</v>
      </c>
      <c r="DS56" s="63" t="s">
        <v>23</v>
      </c>
      <c r="DT56" s="123">
        <f>DT55</f>
        <v>0</v>
      </c>
      <c r="DU56" s="124"/>
      <c r="DV56" s="126">
        <f>SUM(DV8:DV55)</f>
        <v>0</v>
      </c>
      <c r="DW56" s="125">
        <f>SUM(DW8:DW55)</f>
        <v>0</v>
      </c>
      <c r="EA56" s="63" t="s">
        <v>23</v>
      </c>
      <c r="EB56" s="123">
        <f>EB55</f>
        <v>0</v>
      </c>
      <c r="EC56" s="124"/>
      <c r="ED56" s="126">
        <f>SUM(ED8:ED55)</f>
        <v>0</v>
      </c>
      <c r="EE56" s="125">
        <f>SUM(EE8:EE55)</f>
        <v>0</v>
      </c>
      <c r="EI56" s="63" t="s">
        <v>23</v>
      </c>
      <c r="EJ56" s="123">
        <f>EJ55</f>
        <v>0</v>
      </c>
      <c r="EK56" s="124"/>
      <c r="EL56" s="126">
        <f>SUM(EL8:EL55)</f>
        <v>0</v>
      </c>
      <c r="EM56" s="125">
        <f>SUM(EM8:EM55)</f>
        <v>0</v>
      </c>
      <c r="EQ56" s="63" t="s">
        <v>23</v>
      </c>
      <c r="ER56" s="123">
        <f>ER55</f>
        <v>0</v>
      </c>
      <c r="ES56" s="124"/>
      <c r="ET56" s="126">
        <f>SUM(ET8:ET55)</f>
        <v>0</v>
      </c>
      <c r="EU56" s="125">
        <f>SUM(EU8:EU55)</f>
        <v>0</v>
      </c>
      <c r="EY56" s="63" t="s">
        <v>23</v>
      </c>
      <c r="EZ56" s="123">
        <f>EZ55</f>
        <v>0</v>
      </c>
      <c r="FA56" s="124"/>
      <c r="FB56" s="126">
        <f>SUM(FB8:FB55)</f>
        <v>0</v>
      </c>
      <c r="FC56" s="125">
        <f>SUM(FC8:FC55)</f>
        <v>0</v>
      </c>
      <c r="FG56" s="63" t="s">
        <v>23</v>
      </c>
      <c r="FH56" s="123">
        <f>FH55</f>
        <v>0</v>
      </c>
      <c r="FI56" s="124"/>
      <c r="FJ56" s="126">
        <f>SUM(FJ8:FJ55)</f>
        <v>0</v>
      </c>
      <c r="FK56" s="125">
        <f>SUM(FK8:FK55)</f>
        <v>0</v>
      </c>
      <c r="FO56" s="63" t="s">
        <v>23</v>
      </c>
      <c r="FP56" s="123">
        <f>FP55</f>
        <v>0</v>
      </c>
      <c r="FQ56" s="124"/>
      <c r="FR56" s="126">
        <f>SUM(FR8:FR55)</f>
        <v>0</v>
      </c>
      <c r="FS56" s="125">
        <f>SUM(FS8:FS55)</f>
        <v>0</v>
      </c>
      <c r="FW56" s="63" t="s">
        <v>23</v>
      </c>
      <c r="FX56" s="123">
        <f>FX55</f>
        <v>0</v>
      </c>
      <c r="FY56" s="124"/>
      <c r="FZ56" s="126">
        <f>SUM(FZ8:FZ55)</f>
        <v>0</v>
      </c>
      <c r="GA56" s="125">
        <f>SUM(GA8:GA55)</f>
        <v>0</v>
      </c>
      <c r="GE56" s="63" t="s">
        <v>23</v>
      </c>
      <c r="GF56" s="123">
        <f>GF55</f>
        <v>0</v>
      </c>
      <c r="GG56" s="124"/>
      <c r="GH56" s="126">
        <f>SUM(GH8:GH55)</f>
        <v>0</v>
      </c>
      <c r="GI56" s="125">
        <f>SUM(GI8:GI55)</f>
        <v>0</v>
      </c>
      <c r="GM56" s="63" t="s">
        <v>23</v>
      </c>
      <c r="GN56" s="123">
        <f>GN55</f>
        <v>0</v>
      </c>
      <c r="GO56" s="124"/>
      <c r="GP56" s="126">
        <f>SUM(GP8:GP55)</f>
        <v>0</v>
      </c>
      <c r="GQ56" s="125">
        <f>SUM(GQ8:GQ55)</f>
        <v>0</v>
      </c>
      <c r="GU56" s="63" t="s">
        <v>23</v>
      </c>
      <c r="GV56" s="123">
        <f>GV55</f>
        <v>0</v>
      </c>
      <c r="GW56" s="124"/>
      <c r="GX56" s="126">
        <f>SUM(GX8:GX55)</f>
        <v>0</v>
      </c>
      <c r="GY56" s="125">
        <f>SUM(GY8:GY55)</f>
        <v>0</v>
      </c>
      <c r="HC56" s="63" t="s">
        <v>23</v>
      </c>
      <c r="HD56" s="123">
        <f>HD55</f>
        <v>0</v>
      </c>
      <c r="HE56" s="124"/>
      <c r="HF56" s="126">
        <f>SUM(HF8:HF55)</f>
        <v>0</v>
      </c>
      <c r="HG56" s="125">
        <f>SUM(HG8:HG55)</f>
        <v>0</v>
      </c>
      <c r="HK56" s="63" t="s">
        <v>23</v>
      </c>
      <c r="HL56" s="123">
        <f>HL55</f>
        <v>0</v>
      </c>
      <c r="HM56" s="124"/>
      <c r="HN56" s="126">
        <f>SUM(HN8:HN55)</f>
        <v>0</v>
      </c>
      <c r="HO56" s="125">
        <f>SUM(HO8:HO55)</f>
        <v>0</v>
      </c>
      <c r="HS56" s="63" t="s">
        <v>23</v>
      </c>
      <c r="HT56" s="123">
        <f>HT55</f>
        <v>0</v>
      </c>
      <c r="HU56" s="124"/>
      <c r="HV56" s="126">
        <f>SUM(HV8:HV55)</f>
        <v>0</v>
      </c>
      <c r="HW56" s="125">
        <f>SUM(HW8:HW55)</f>
        <v>0</v>
      </c>
      <c r="IA56" s="63" t="s">
        <v>23</v>
      </c>
      <c r="IB56" s="123">
        <f>IB55</f>
        <v>0</v>
      </c>
      <c r="IC56" s="124"/>
      <c r="ID56" s="126">
        <f>SUM(ID8:ID55)</f>
        <v>0</v>
      </c>
      <c r="IE56" s="125">
        <f>SUM(IE8:IE55)</f>
        <v>0</v>
      </c>
      <c r="II56" s="63" t="s">
        <v>23</v>
      </c>
      <c r="IJ56" s="123">
        <f>IJ55</f>
        <v>0</v>
      </c>
      <c r="IK56" s="124"/>
      <c r="IL56" s="126">
        <f>SUM(IL8:IL55)</f>
        <v>0</v>
      </c>
      <c r="IM56" s="125">
        <f>SUM(IM8:IM55)</f>
        <v>0</v>
      </c>
      <c r="IQ56" s="63" t="s">
        <v>23</v>
      </c>
      <c r="IR56" s="123">
        <f>IR55</f>
        <v>0</v>
      </c>
      <c r="IS56" s="124"/>
      <c r="IT56" s="126">
        <f>SUM(IT8:IT55)</f>
        <v>0</v>
      </c>
      <c r="IU56" s="125">
        <f>SUM(IU8:IU55)</f>
        <v>0</v>
      </c>
      <c r="IY56" s="63" t="s">
        <v>23</v>
      </c>
      <c r="IZ56" s="123">
        <f>IZ55</f>
        <v>0</v>
      </c>
      <c r="JA56" s="124"/>
      <c r="JB56" s="126">
        <f>SUM(JB8:JB55)</f>
        <v>0</v>
      </c>
      <c r="JC56" s="125">
        <f>SUM(JC8:JC55)</f>
        <v>0</v>
      </c>
      <c r="JG56" s="63" t="s">
        <v>23</v>
      </c>
      <c r="JH56" s="123">
        <f>JH55</f>
        <v>0</v>
      </c>
      <c r="JI56" s="124"/>
      <c r="JJ56" s="126">
        <f>SUM(JJ8:JJ55)</f>
        <v>0</v>
      </c>
      <c r="JK56" s="125">
        <f>SUM(JK8:JK55)</f>
        <v>0</v>
      </c>
      <c r="JO56" s="63" t="s">
        <v>23</v>
      </c>
      <c r="JP56" s="123">
        <f>JP55</f>
        <v>0</v>
      </c>
      <c r="JQ56" s="124"/>
      <c r="JR56" s="128">
        <f>SUM(JR8:JR55)</f>
        <v>0</v>
      </c>
      <c r="JS56" s="125">
        <f>SUM(JS8:JS55)</f>
        <v>0</v>
      </c>
      <c r="JW56" s="63" t="s">
        <v>23</v>
      </c>
      <c r="JX56" s="123">
        <f>JX55</f>
        <v>0</v>
      </c>
      <c r="JY56" s="124"/>
      <c r="JZ56" s="126">
        <f>SUM(JZ8:JZ55)</f>
        <v>0</v>
      </c>
      <c r="KA56" s="125">
        <f>SUM(KA8:KA55)</f>
        <v>0</v>
      </c>
      <c r="KE56" s="63" t="s">
        <v>23</v>
      </c>
      <c r="KF56" s="123">
        <f>KF55</f>
        <v>0</v>
      </c>
      <c r="KG56" s="124"/>
      <c r="KH56" s="129">
        <f>SUM(KH8:KH55)</f>
        <v>0</v>
      </c>
      <c r="KI56" s="125">
        <f>SUM(KI8:KI55)</f>
        <v>0</v>
      </c>
      <c r="KM56" s="63" t="s">
        <v>23</v>
      </c>
      <c r="KN56" s="123">
        <f>KN55</f>
        <v>0</v>
      </c>
      <c r="KO56" s="124"/>
      <c r="KP56" s="126">
        <f>SUM(KP8:KP55)</f>
        <v>0</v>
      </c>
      <c r="KQ56" s="125">
        <f>SUM(KQ8:KQ55)</f>
        <v>0</v>
      </c>
      <c r="KU56" s="63" t="s">
        <v>23</v>
      </c>
      <c r="KV56" s="123">
        <f>KV55</f>
        <v>0</v>
      </c>
      <c r="KW56" s="124"/>
      <c r="KX56" s="126">
        <f>SUM(KX8:KX55)</f>
        <v>0</v>
      </c>
      <c r="KY56" s="125">
        <f>SUM(KY8:KY55)</f>
        <v>0</v>
      </c>
      <c r="LC56" s="63" t="s">
        <v>23</v>
      </c>
      <c r="LD56" s="123">
        <f>LD55</f>
        <v>0</v>
      </c>
      <c r="LE56" s="124"/>
      <c r="LF56" s="126">
        <f>SUM(LF8:LF55)</f>
        <v>0</v>
      </c>
      <c r="LG56" s="125">
        <f>SUM(LG8:LG55)</f>
        <v>0</v>
      </c>
      <c r="LK56" s="63" t="s">
        <v>23</v>
      </c>
      <c r="LL56" s="123">
        <f>LL55</f>
        <v>0</v>
      </c>
      <c r="LM56" s="124"/>
      <c r="LN56" s="126">
        <f>SUM(LN8:LN55)</f>
        <v>0</v>
      </c>
      <c r="LO56" s="125">
        <f>SUM(LO8:LO55)</f>
        <v>0</v>
      </c>
      <c r="LS56" s="63" t="s">
        <v>23</v>
      </c>
      <c r="LT56" s="123">
        <f>LT55</f>
        <v>0</v>
      </c>
      <c r="LU56" s="124"/>
      <c r="LV56" s="126">
        <f>SUM(LV8:LV55)</f>
        <v>0</v>
      </c>
      <c r="LW56" s="125">
        <f>SUM(LW8:LW55)</f>
        <v>0</v>
      </c>
      <c r="MA56" s="63" t="s">
        <v>23</v>
      </c>
      <c r="MB56" s="123">
        <f>MB55</f>
        <v>0</v>
      </c>
      <c r="MC56" s="124"/>
      <c r="MD56" s="126">
        <f>SUM(MD8:MD55)</f>
        <v>0</v>
      </c>
      <c r="ME56" s="125">
        <f>SUM(ME8:ME55)</f>
        <v>0</v>
      </c>
      <c r="MI56" s="63" t="s">
        <v>23</v>
      </c>
      <c r="MJ56" s="123">
        <f>MJ55</f>
        <v>0</v>
      </c>
      <c r="MK56" s="124"/>
      <c r="ML56" s="126">
        <f>SUM(ML8:ML55)</f>
        <v>0</v>
      </c>
      <c r="MM56" s="125">
        <f>SUM(MM8:MM55)</f>
        <v>0</v>
      </c>
      <c r="MQ56" s="63" t="s">
        <v>23</v>
      </c>
      <c r="MR56" s="123">
        <f>MR55</f>
        <v>0</v>
      </c>
      <c r="MS56" s="124"/>
      <c r="MT56" s="126">
        <f>SUM(MT8:MT55)</f>
        <v>0</v>
      </c>
      <c r="MU56" s="125">
        <f>SUM(MU8:MU55)</f>
        <v>0</v>
      </c>
      <c r="MY56" s="63" t="s">
        <v>23</v>
      </c>
      <c r="MZ56" s="123">
        <f>MZ55</f>
        <v>0</v>
      </c>
      <c r="NA56" s="124"/>
      <c r="NB56" s="126">
        <f>SUM(NB8:NB55)</f>
        <v>0</v>
      </c>
      <c r="NC56" s="125">
        <f>SUM(NC8:NC55)</f>
        <v>0</v>
      </c>
      <c r="NG56" s="63" t="s">
        <v>23</v>
      </c>
      <c r="NH56" s="123">
        <f>NH55</f>
        <v>0</v>
      </c>
      <c r="NI56" s="124"/>
      <c r="NJ56" s="126">
        <f>SUM(NJ8:NJ55)</f>
        <v>0</v>
      </c>
      <c r="NK56" s="125">
        <f>SUM(NK8:NK55)</f>
        <v>0</v>
      </c>
      <c r="NO56" s="63" t="s">
        <v>23</v>
      </c>
      <c r="NP56" s="123">
        <f>NP55</f>
        <v>0</v>
      </c>
      <c r="NQ56" s="124"/>
      <c r="NR56" s="126">
        <f>SUM(NR8:NR55)</f>
        <v>0</v>
      </c>
      <c r="NS56" s="125">
        <f>SUM(NS8:NS55)</f>
        <v>0</v>
      </c>
      <c r="NW56" s="63" t="s">
        <v>23</v>
      </c>
      <c r="NX56" s="123">
        <f>NX55</f>
        <v>0</v>
      </c>
      <c r="NY56" s="124"/>
      <c r="NZ56" s="126">
        <f>SUM(NZ8:NZ55)</f>
        <v>0</v>
      </c>
      <c r="OA56" s="125">
        <f>SUM(OA8:OA55)</f>
        <v>0</v>
      </c>
      <c r="OE56" s="63" t="s">
        <v>23</v>
      </c>
      <c r="OF56" s="123">
        <f>OF55</f>
        <v>0</v>
      </c>
      <c r="OG56" s="124"/>
      <c r="OH56" s="126">
        <f>SUM(OH8:OH55)</f>
        <v>0</v>
      </c>
      <c r="OI56" s="125">
        <f>SUM(OI8:OI55)</f>
        <v>0</v>
      </c>
      <c r="OM56" s="63" t="s">
        <v>23</v>
      </c>
      <c r="ON56" s="123">
        <f>ON55</f>
        <v>0</v>
      </c>
      <c r="OO56" s="124"/>
      <c r="OP56" s="126">
        <f>SUM(OP8:OP55)</f>
        <v>0</v>
      </c>
      <c r="OQ56" s="125">
        <f>SUM(OQ8:OQ55)</f>
        <v>0</v>
      </c>
      <c r="OU56" s="63" t="s">
        <v>23</v>
      </c>
      <c r="OV56" s="123">
        <f>OV55</f>
        <v>0</v>
      </c>
      <c r="OW56" s="124"/>
      <c r="OX56" s="126">
        <f>SUM(OX8:OX55)</f>
        <v>0</v>
      </c>
      <c r="OY56" s="125">
        <f>SUM(OY8:OY55)</f>
        <v>0</v>
      </c>
      <c r="PA56" s="120"/>
      <c r="PC56" s="63" t="s">
        <v>23</v>
      </c>
      <c r="PD56" s="123">
        <f>PD55</f>
        <v>0</v>
      </c>
      <c r="PE56" s="124"/>
      <c r="PF56" s="126">
        <f>SUM(PF8:PF55)</f>
        <v>0</v>
      </c>
      <c r="PG56" s="125">
        <f>SUM(PG8:PG55)</f>
        <v>0</v>
      </c>
      <c r="PK56" s="63" t="s">
        <v>23</v>
      </c>
      <c r="PL56" s="123">
        <f>PL55</f>
        <v>0</v>
      </c>
      <c r="PM56" s="124"/>
      <c r="PN56" s="214">
        <f>SUM(PN8:PN55)</f>
        <v>0</v>
      </c>
      <c r="PO56" s="217">
        <f>SUM(PO8:PO55)</f>
        <v>0</v>
      </c>
      <c r="PS56" s="63" t="s">
        <v>23</v>
      </c>
      <c r="PT56" s="123">
        <f>PT55</f>
        <v>0</v>
      </c>
      <c r="PU56" s="124"/>
      <c r="PV56" s="126">
        <f>SUM(PV8:PV55)</f>
        <v>0</v>
      </c>
      <c r="PW56" s="125">
        <f>SUM(PW8:PW55)</f>
        <v>0</v>
      </c>
      <c r="QA56" s="63" t="s">
        <v>23</v>
      </c>
      <c r="QB56" s="123">
        <f>QB55</f>
        <v>0</v>
      </c>
      <c r="QC56" s="124"/>
      <c r="QD56" s="126">
        <f>SUM(QD8:QD55)</f>
        <v>0</v>
      </c>
      <c r="QE56" s="125">
        <f>SUM(QE8:QE55)</f>
        <v>0</v>
      </c>
      <c r="QI56" s="63" t="s">
        <v>23</v>
      </c>
      <c r="QJ56" s="123">
        <f>QJ55</f>
        <v>0</v>
      </c>
      <c r="QK56" s="124"/>
      <c r="QL56" s="126">
        <f>SUM(QL8:QL55)</f>
        <v>0</v>
      </c>
      <c r="QM56" s="125">
        <f>SUM(QM8:QM55)</f>
        <v>0</v>
      </c>
      <c r="QQ56" s="63" t="s">
        <v>23</v>
      </c>
      <c r="QR56" s="123">
        <f>QR55</f>
        <v>0</v>
      </c>
      <c r="QS56" s="124"/>
      <c r="QT56" s="214">
        <f>SUM(QT8:QT55)</f>
        <v>0</v>
      </c>
      <c r="QU56" s="217">
        <f>SUM(QU8:QU55)</f>
        <v>0</v>
      </c>
      <c r="QY56" s="63" t="s">
        <v>23</v>
      </c>
      <c r="QZ56" s="123">
        <f>QZ55</f>
        <v>0</v>
      </c>
      <c r="RA56" s="124"/>
      <c r="RB56" s="126">
        <f>SUM(RB8:RB55)</f>
        <v>0</v>
      </c>
      <c r="RC56" s="125">
        <f>SUM(RC8:RC55)</f>
        <v>0</v>
      </c>
      <c r="RG56" s="63" t="s">
        <v>23</v>
      </c>
      <c r="RH56" s="123">
        <f>RH55</f>
        <v>0</v>
      </c>
      <c r="RI56" s="124"/>
      <c r="RJ56" s="126">
        <f>SUM(RJ8:RJ55)</f>
        <v>0</v>
      </c>
      <c r="RK56" s="171">
        <f>SUM(RK8:RK55)</f>
        <v>0</v>
      </c>
      <c r="RO56" s="63" t="s">
        <v>23</v>
      </c>
      <c r="RP56" s="123">
        <f>RP55</f>
        <v>0</v>
      </c>
      <c r="RQ56" s="124"/>
      <c r="RR56" s="126">
        <f>SUM(RR8:RR55)</f>
        <v>0</v>
      </c>
      <c r="RS56" s="125">
        <f>SUM(RS8:RS55)</f>
        <v>0</v>
      </c>
      <c r="RW56" s="63" t="s">
        <v>23</v>
      </c>
      <c r="RX56" s="123">
        <f>RX55</f>
        <v>0</v>
      </c>
      <c r="RY56" s="124"/>
      <c r="RZ56" s="126">
        <f>SUM(RZ8:RZ55)</f>
        <v>0</v>
      </c>
      <c r="SA56" s="125">
        <f>SUM(SA8:SA55)</f>
        <v>0</v>
      </c>
      <c r="SE56" s="63" t="s">
        <v>23</v>
      </c>
      <c r="SF56" s="123">
        <f>SF55</f>
        <v>0</v>
      </c>
      <c r="SG56" s="124"/>
      <c r="SH56" s="126">
        <f>SUM(SH8:SH55)</f>
        <v>0</v>
      </c>
      <c r="SI56" s="125">
        <f>SUM(SI8:SI55)</f>
        <v>0</v>
      </c>
      <c r="SM56" s="63" t="s">
        <v>23</v>
      </c>
      <c r="SN56" s="123">
        <f>SN55</f>
        <v>0</v>
      </c>
      <c r="SO56" s="124"/>
      <c r="SP56" s="126">
        <f>SUM(SP8:SP55)</f>
        <v>0</v>
      </c>
      <c r="SQ56" s="125">
        <f>SUM(SQ8:SQ55)</f>
        <v>0</v>
      </c>
      <c r="SU56" s="63" t="s">
        <v>23</v>
      </c>
      <c r="SV56" s="123">
        <f>SV55</f>
        <v>0</v>
      </c>
      <c r="SW56" s="124"/>
      <c r="SX56" s="126">
        <f>SUM(SX8:SX55)</f>
        <v>0</v>
      </c>
      <c r="SY56" s="125">
        <f>SUM(SY8:SY55)</f>
        <v>0</v>
      </c>
      <c r="TC56" s="63" t="s">
        <v>23</v>
      </c>
      <c r="TD56" s="123">
        <f>TD55</f>
        <v>0</v>
      </c>
      <c r="TE56" s="124"/>
      <c r="TF56" s="126">
        <f>SUM(TF8:TF55)</f>
        <v>0</v>
      </c>
      <c r="TG56" s="125">
        <f>SUM(TG8:TG55)</f>
        <v>0</v>
      </c>
      <c r="TK56" s="63" t="s">
        <v>23</v>
      </c>
      <c r="TL56" s="123">
        <f>TL55</f>
        <v>0</v>
      </c>
      <c r="TM56" s="124"/>
      <c r="TN56" s="126">
        <f>SUM(TN8:TN55)</f>
        <v>0</v>
      </c>
      <c r="TO56" s="125">
        <f>SUM(TO8:TO55)</f>
        <v>0</v>
      </c>
      <c r="TS56" s="63" t="s">
        <v>23</v>
      </c>
      <c r="TT56" s="123">
        <f>TT55</f>
        <v>0</v>
      </c>
      <c r="TU56" s="124"/>
      <c r="TV56" s="128">
        <f>SUM(TV8:TV55)</f>
        <v>0</v>
      </c>
      <c r="TW56" s="125">
        <f>SUM(TW8:TW55)</f>
        <v>0</v>
      </c>
      <c r="UA56" s="63" t="s">
        <v>23</v>
      </c>
      <c r="UB56" s="123">
        <f>UB55</f>
        <v>0</v>
      </c>
      <c r="UC56" s="124"/>
      <c r="UD56" s="126">
        <f>SUM(UD8:UD55)</f>
        <v>0</v>
      </c>
      <c r="UE56" s="125">
        <f>SUM(UE8:UE55)</f>
        <v>0</v>
      </c>
      <c r="UI56" s="63" t="s">
        <v>23</v>
      </c>
      <c r="UJ56" s="123">
        <f>UJ55</f>
        <v>0</v>
      </c>
      <c r="UK56" s="124"/>
      <c r="UL56" s="126">
        <f>SUM(UL8:UL55)</f>
        <v>0</v>
      </c>
      <c r="UM56" s="125">
        <f>SUM(UM8:UM55)</f>
        <v>0</v>
      </c>
      <c r="UQ56" s="63" t="s">
        <v>23</v>
      </c>
      <c r="UR56" s="123">
        <f>UR55</f>
        <v>0</v>
      </c>
      <c r="US56" s="124"/>
      <c r="UT56" s="126">
        <f>SUM(UT8:UT55)</f>
        <v>0</v>
      </c>
      <c r="UU56" s="125">
        <f>SUM(UU8:UU55)</f>
        <v>0</v>
      </c>
      <c r="UY56" s="63" t="s">
        <v>23</v>
      </c>
      <c r="UZ56" s="123">
        <f>UZ55</f>
        <v>0</v>
      </c>
      <c r="VA56" s="124"/>
      <c r="VB56" s="126">
        <f>SUM(VB8:VB55)</f>
        <v>0</v>
      </c>
      <c r="VC56" s="125">
        <f>SUM(VC8:VC55)</f>
        <v>0</v>
      </c>
      <c r="VG56" s="63" t="s">
        <v>23</v>
      </c>
      <c r="VH56" s="123">
        <f>VH55</f>
        <v>0</v>
      </c>
      <c r="VI56" s="124"/>
      <c r="VJ56" s="126">
        <f>SUM(VJ8:VJ55)</f>
        <v>0</v>
      </c>
      <c r="VK56" s="125">
        <f>SUM(VK8:VK55)</f>
        <v>0</v>
      </c>
      <c r="VO56" s="63" t="s">
        <v>23</v>
      </c>
      <c r="VP56" s="123">
        <f>VP55</f>
        <v>0</v>
      </c>
      <c r="VQ56" s="124"/>
      <c r="VR56" s="126">
        <f>SUM(VR8:VR55)</f>
        <v>0</v>
      </c>
      <c r="VS56" s="125">
        <f>SUM(VS8:VS55)</f>
        <v>0</v>
      </c>
      <c r="VW56" s="63" t="s">
        <v>23</v>
      </c>
      <c r="VX56" s="123">
        <f>VX55</f>
        <v>0</v>
      </c>
      <c r="VY56" s="124"/>
      <c r="VZ56" s="126">
        <f>SUM(VZ8:VZ55)</f>
        <v>0</v>
      </c>
      <c r="WA56" s="125">
        <f>SUM(WA8:WA55)</f>
        <v>0</v>
      </c>
      <c r="WE56" s="63" t="s">
        <v>23</v>
      </c>
      <c r="WF56" s="123">
        <f>WF55</f>
        <v>0</v>
      </c>
      <c r="WG56" s="124"/>
      <c r="WH56" s="126">
        <f>SUM(WH8:WH55)</f>
        <v>0</v>
      </c>
      <c r="WI56" s="125">
        <f>SUM(WI8:WI55)</f>
        <v>0</v>
      </c>
      <c r="WM56" s="63" t="s">
        <v>23</v>
      </c>
      <c r="WN56" s="123">
        <f>WN55</f>
        <v>0</v>
      </c>
      <c r="WO56" s="124"/>
      <c r="WP56" s="126">
        <f>SUM(WP8:WP55)</f>
        <v>0</v>
      </c>
      <c r="WQ56" s="125">
        <f>SUM(WQ8:WQ55)</f>
        <v>0</v>
      </c>
      <c r="WU56" s="63" t="s">
        <v>23</v>
      </c>
      <c r="WV56" s="123">
        <f>WV55</f>
        <v>0</v>
      </c>
      <c r="WW56" s="124"/>
      <c r="WX56" s="126">
        <f>SUM(WX8:WX55)</f>
        <v>0</v>
      </c>
      <c r="WY56" s="125">
        <f>SUM(WY8:WY55)</f>
        <v>0</v>
      </c>
      <c r="XC56" s="63" t="s">
        <v>23</v>
      </c>
      <c r="XD56" s="123">
        <f>XD55</f>
        <v>0</v>
      </c>
      <c r="XE56" s="124"/>
      <c r="XF56" s="126">
        <f>SUM(XF8:XF55)</f>
        <v>0</v>
      </c>
      <c r="XG56" s="125">
        <f>SUM(XG8:XG55)</f>
        <v>0</v>
      </c>
      <c r="XK56" s="63" t="s">
        <v>23</v>
      </c>
      <c r="XL56" s="123">
        <f>XL55</f>
        <v>0</v>
      </c>
      <c r="XM56" s="124"/>
      <c r="XN56" s="126">
        <f>SUM(XN8:XN55)</f>
        <v>0</v>
      </c>
      <c r="XO56" s="125">
        <f>SUM(XO8:XO55)</f>
        <v>0</v>
      </c>
      <c r="XS56" s="63" t="s">
        <v>23</v>
      </c>
      <c r="XT56" s="123">
        <f>XT55</f>
        <v>0</v>
      </c>
      <c r="XU56" s="124"/>
      <c r="XV56" s="126">
        <f>SUM(XV8:XV55)</f>
        <v>0</v>
      </c>
      <c r="XW56" s="125">
        <f>SUM(XW8:XW55)</f>
        <v>0</v>
      </c>
      <c r="YA56" s="63" t="s">
        <v>23</v>
      </c>
      <c r="YB56" s="123">
        <f>YB55</f>
        <v>0</v>
      </c>
      <c r="YC56" s="124"/>
      <c r="YD56" s="126">
        <f>SUM(YD8:YD55)</f>
        <v>0</v>
      </c>
      <c r="YE56" s="125">
        <f>SUM(YE8:YE55)</f>
        <v>0</v>
      </c>
      <c r="YI56" s="63" t="s">
        <v>23</v>
      </c>
      <c r="YJ56" s="123">
        <f>YJ55</f>
        <v>0</v>
      </c>
      <c r="YK56" s="124"/>
      <c r="YL56" s="126">
        <f>SUM(YL8:YL55)</f>
        <v>0</v>
      </c>
      <c r="YM56" s="125">
        <f>SUM(YM8:YM55)</f>
        <v>0</v>
      </c>
      <c r="YQ56" s="63" t="s">
        <v>23</v>
      </c>
      <c r="YR56" s="123">
        <f>YR55</f>
        <v>0</v>
      </c>
      <c r="YS56" s="124"/>
      <c r="YT56" s="126">
        <f>SUM(YT8:YT55)</f>
        <v>0</v>
      </c>
      <c r="YU56" s="125">
        <f>SUM(YU8:YU55)</f>
        <v>0</v>
      </c>
      <c r="YY56" s="63" t="s">
        <v>23</v>
      </c>
      <c r="YZ56" s="123">
        <f>YZ55</f>
        <v>0</v>
      </c>
      <c r="ZA56" s="124"/>
      <c r="ZB56" s="126">
        <f>SUM(ZB8:ZB55)</f>
        <v>0</v>
      </c>
      <c r="ZC56" s="125">
        <f>SUM(ZC8:ZC55)</f>
        <v>0</v>
      </c>
      <c r="ZG56" s="63" t="s">
        <v>23</v>
      </c>
      <c r="ZH56" s="123">
        <f>ZH55</f>
        <v>0</v>
      </c>
      <c r="ZI56" s="124"/>
      <c r="ZJ56" s="126">
        <f>SUM(ZJ8:ZJ55)</f>
        <v>0</v>
      </c>
      <c r="ZK56" s="125">
        <f>SUM(ZK8:ZK55)</f>
        <v>0</v>
      </c>
      <c r="ZO56" s="63" t="s">
        <v>23</v>
      </c>
      <c r="ZP56" s="123">
        <f>ZP55</f>
        <v>0</v>
      </c>
      <c r="ZQ56" s="124"/>
      <c r="ZR56" s="126">
        <f>SUM(ZR8:ZR55)</f>
        <v>0</v>
      </c>
      <c r="ZS56" s="125">
        <f>SUM(ZS8:ZS55)</f>
        <v>0</v>
      </c>
      <c r="ZW56" s="63" t="s">
        <v>23</v>
      </c>
      <c r="ZX56" s="123">
        <f>ZX55</f>
        <v>0</v>
      </c>
      <c r="ZY56" s="124"/>
      <c r="ZZ56" s="126">
        <f>SUM(ZZ8:ZZ55)</f>
        <v>0</v>
      </c>
      <c r="AAA56" s="125">
        <f>SUM(AAA8:AAA55)</f>
        <v>0</v>
      </c>
      <c r="AAE56" s="63" t="s">
        <v>23</v>
      </c>
      <c r="AAF56" s="123">
        <f>AAF55</f>
        <v>0</v>
      </c>
      <c r="AAG56" s="124"/>
      <c r="AAH56" s="126">
        <f>SUM(AAH8:AAH55)</f>
        <v>0</v>
      </c>
      <c r="AAI56" s="125">
        <f>SUM(AAI8:AAI55)</f>
        <v>0</v>
      </c>
      <c r="AAM56" s="63" t="s">
        <v>23</v>
      </c>
      <c r="AAN56" s="123">
        <f>AAN55</f>
        <v>0</v>
      </c>
      <c r="AAO56" s="124"/>
      <c r="AAP56" s="126">
        <f>SUM(AAP8:AAP55)</f>
        <v>0</v>
      </c>
      <c r="AAQ56" s="125">
        <f>SUM(AAQ8:AAQ55)</f>
        <v>0</v>
      </c>
      <c r="AAU56" s="63" t="s">
        <v>23</v>
      </c>
      <c r="AAV56" s="123">
        <f>AAV55</f>
        <v>0</v>
      </c>
      <c r="AAW56" s="124"/>
      <c r="AAX56" s="126">
        <f>SUM(AAX8:AAX55)</f>
        <v>0</v>
      </c>
      <c r="AAY56" s="125">
        <f>SUM(AAY8:AAY55)</f>
        <v>0</v>
      </c>
      <c r="ABC56" s="63" t="s">
        <v>23</v>
      </c>
      <c r="ABD56" s="123">
        <f>ABD55</f>
        <v>0</v>
      </c>
      <c r="ABE56" s="124"/>
      <c r="ABF56" s="126">
        <f>SUM(ABF8:ABF55)</f>
        <v>0</v>
      </c>
      <c r="ABG56" s="125">
        <f>SUM(ABG8:ABG55)</f>
        <v>0</v>
      </c>
      <c r="ABK56" s="63" t="s">
        <v>23</v>
      </c>
      <c r="ABL56" s="123">
        <f>ABL55</f>
        <v>0</v>
      </c>
      <c r="ABM56" s="124"/>
      <c r="ABN56" s="126">
        <f>SUM(ABN8:ABN55)</f>
        <v>0</v>
      </c>
      <c r="ABO56" s="125">
        <f>SUM(ABO8:ABO55)</f>
        <v>0</v>
      </c>
      <c r="ABS56" s="63" t="s">
        <v>23</v>
      </c>
      <c r="ABT56" s="123">
        <f>ABT55</f>
        <v>0</v>
      </c>
      <c r="ABU56" s="124"/>
      <c r="ABV56" s="126">
        <f>SUM(ABV8:ABV55)</f>
        <v>0</v>
      </c>
      <c r="ABW56" s="125">
        <f>SUM(ABW8:ABW55)</f>
        <v>0</v>
      </c>
      <c r="ACA56" s="63" t="s">
        <v>23</v>
      </c>
      <c r="ACB56" s="123">
        <f>ACB55</f>
        <v>0</v>
      </c>
      <c r="ACC56" s="124"/>
      <c r="ACD56" s="126">
        <f>SUM(ACD8:ACD55)</f>
        <v>0</v>
      </c>
      <c r="ACE56" s="125">
        <f>SUM(ACE8:ACE55)</f>
        <v>0</v>
      </c>
    </row>
    <row r="57" spans="1:759" ht="12" customHeight="1" x14ac:dyDescent="0.25"/>
    <row r="58" spans="1:759" ht="18.95" customHeight="1" x14ac:dyDescent="0.35">
      <c r="A58" s="130" t="s">
        <v>24</v>
      </c>
      <c r="H58" s="131">
        <f>D56+L56+T56+AB56+AJ56+AR56+AZ56+BH56+BP56+BX56+CF56+CN56+CV56+DD56+DL56+DT56+EB56+EJ56+ER56+EZ56+FH56+FP56+FX56+GF56+GN56+GV56+HD56+HL56+HT56+IB56+IJ56+IR56+IZ56+JH56+JP56+JX56+KF56+KN56+KV56+LD56+LL56+LT56+MB56+MJ56+MR56+MZ56+NH56+C68+NP56+NX56+OF56+ON56+OV56+PD56+PL56+PT56+QB56+QJ56+QR56+QZ56+RH56+RP56+RX56+SF56+SN56+SV56+TD56+TL56+TT56+UB56+UJ56+UR56+UZ56+VH56+VP56+VX56+WF56+WN56+WV56+XD56+XL56+XT56+YB56+YJ56+YR56+YZ56+ZH56+ZP56+ZX56+AAF56+AAN56+AAV56+ABD56+ABL56+ABT56+ACB56</f>
        <v>19850</v>
      </c>
      <c r="GV58" s="132"/>
    </row>
    <row r="59" spans="1:759" ht="18.95" customHeight="1" x14ac:dyDescent="0.35">
      <c r="A59" s="130" t="s">
        <v>25</v>
      </c>
      <c r="H59" s="131">
        <f>F56+N56+V56+AD56+AL56+AT56+BB56+BJ56+BR56+BZ56+CH56+CP56+CX56+DF56+DN56+DV56+ED56+EL56+ET56+FB56+FJ56+FR56+FZ56+GH56+GP56+GX56+HF56+HN56+HV56+ID56+IL56+IT56+JB56+JJ56+JR56+JZ56+KH56+KP56+KX56+LF56+LN56+LV56+MD56+ML56+MT56+NB56+NJ56+NR56+NZ56+OH56+OP56+OX56+PF56+PN56+PV56+QD56+QL56+QT56+RB56+RJ56+RR56+RZ56+SH56+SP56+SX56+TF56+TN56+TV56+UD56+UL56+UT56+VB56+VJ56+VR56+VZ56+WH56+WP56+WX56+XF56+XN56+XV56+YD56+YL56+YT56+ZB56+ZJ56+ZR56+ZZ56+AAH56+AAP56+AAX56+ABF56+ABN56+ABV56+ACD56</f>
        <v>590</v>
      </c>
    </row>
    <row r="60" spans="1:759" x14ac:dyDescent="0.25">
      <c r="A60" s="133"/>
    </row>
    <row r="61" spans="1:759" ht="21" x14ac:dyDescent="0.35">
      <c r="A61" s="130" t="s">
        <v>40</v>
      </c>
      <c r="H61" s="131">
        <f>G56+O56+W56+AE56+AM56+AU56+BC56+BK56+BS56+CA56+CI56+CQ56+CY56+DG56+DO56+DW56+EE56+EM56+EU56+FC56+FK56+FS56+GA56+GI56+GQ56+GY56+HG56+HO56+HW56+IE56+IM56+IU56+JC56+JK56+JS56+KA56+KI56+KQ56+KY56+LG56+LO56+LW56+ME56+MM56+MU56+NC56+NK56+NS56+OA56+OI56+OQ56+OY56+PG56+PO56+PW56+QE56+QM56+QU56+RC56+RK56+RS56+SA56+SI56+SQ56+SY56+TG56+TO56+TW56+UE56+UM56+UU56+VC56+VK56+VS56+WA56+WI56+WQ56+WY56+XG56+XO56+XW56+YE56+YM56+YU56+ZC56+ZK56+ZS56+AAA56+AAI56+AAQ56+AAY56+ABG56+ABO56+ABW56+ACE56</f>
        <v>120</v>
      </c>
      <c r="CF61" s="132"/>
    </row>
    <row r="62" spans="1:759" ht="18.75" x14ac:dyDescent="0.3">
      <c r="H62" s="134"/>
    </row>
    <row r="63" spans="1:759" x14ac:dyDescent="0.25">
      <c r="H63" s="135"/>
    </row>
    <row r="68" spans="3:3" x14ac:dyDescent="0.25">
      <c r="C68" s="133"/>
    </row>
  </sheetData>
  <mergeCells count="92">
    <mergeCell ref="GM3:GO3"/>
    <mergeCell ref="EA4:EB4"/>
    <mergeCell ref="FE5:FK5"/>
    <mergeCell ref="IG5:IM5"/>
    <mergeCell ref="FU5:GA5"/>
    <mergeCell ref="FM5:FS5"/>
    <mergeCell ref="GK5:GQ5"/>
    <mergeCell ref="HY5:IE5"/>
    <mergeCell ref="HA5:HG5"/>
    <mergeCell ref="GC5:GI5"/>
    <mergeCell ref="GS5:GY5"/>
    <mergeCell ref="FG3:FI3"/>
    <mergeCell ref="HK4:HM4"/>
    <mergeCell ref="GE4:GG4"/>
    <mergeCell ref="GM4:GP4"/>
    <mergeCell ref="CU4:CW4"/>
    <mergeCell ref="HC4:HE4"/>
    <mergeCell ref="FO4:FQ4"/>
    <mergeCell ref="DA5:DG5"/>
    <mergeCell ref="DI5:DO5"/>
    <mergeCell ref="CS5:CY5"/>
    <mergeCell ref="FW4:FY4"/>
    <mergeCell ref="GU4:GW4"/>
    <mergeCell ref="FG4:FI4"/>
    <mergeCell ref="EY4:FA4"/>
    <mergeCell ref="DQ5:DW5"/>
    <mergeCell ref="EO5:EU5"/>
    <mergeCell ref="EW5:FC5"/>
    <mergeCell ref="DY5:EE5"/>
    <mergeCell ref="EG5:EM5"/>
    <mergeCell ref="DS4:DU4"/>
    <mergeCell ref="K4:M4"/>
    <mergeCell ref="C4:E4"/>
    <mergeCell ref="CM4:CO4"/>
    <mergeCell ref="A5:G5"/>
    <mergeCell ref="Q5:W5"/>
    <mergeCell ref="Y5:AE5"/>
    <mergeCell ref="AG5:AM5"/>
    <mergeCell ref="CC5:CI5"/>
    <mergeCell ref="CK5:CQ5"/>
    <mergeCell ref="AO5:AU5"/>
    <mergeCell ref="AW5:BC5"/>
    <mergeCell ref="BE5:BK5"/>
    <mergeCell ref="BM5:BS5"/>
    <mergeCell ref="BU5:CA5"/>
    <mergeCell ref="I5:O5"/>
    <mergeCell ref="BO4:BP4"/>
    <mergeCell ref="QY4:RA4"/>
    <mergeCell ref="QY5:RA5"/>
    <mergeCell ref="JE5:JK5"/>
    <mergeCell ref="JM5:JS5"/>
    <mergeCell ref="KU4:KW4"/>
    <mergeCell ref="KS5:KY5"/>
    <mergeCell ref="KM4:KO4"/>
    <mergeCell ref="KK5:KQ5"/>
    <mergeCell ref="KC5:KI5"/>
    <mergeCell ref="JU5:KA5"/>
    <mergeCell ref="QI4:QK4"/>
    <mergeCell ref="QI5:QK5"/>
    <mergeCell ref="PS4:PU4"/>
    <mergeCell ref="PS5:PU5"/>
    <mergeCell ref="MI4:MK4"/>
    <mergeCell ref="MI5:MK5"/>
    <mergeCell ref="QQ4:QS4"/>
    <mergeCell ref="QQ5:QS5"/>
    <mergeCell ref="HI5:HO5"/>
    <mergeCell ref="HQ5:HW5"/>
    <mergeCell ref="QA4:QC4"/>
    <mergeCell ref="QA5:QC5"/>
    <mergeCell ref="LC4:LE4"/>
    <mergeCell ref="LA5:LG5"/>
    <mergeCell ref="LK4:LM4"/>
    <mergeCell ref="LI5:LO5"/>
    <mergeCell ref="JG4:JI4"/>
    <mergeCell ref="JW4:JY4"/>
    <mergeCell ref="KE4:KG4"/>
    <mergeCell ref="OE4:OF4"/>
    <mergeCell ref="OE5:OF5"/>
    <mergeCell ref="OM5:OO5"/>
    <mergeCell ref="PK5:PL5"/>
    <mergeCell ref="PK4:PL4"/>
    <mergeCell ref="MA4:MB4"/>
    <mergeCell ref="MA5:MB5"/>
    <mergeCell ref="MY4:MZ4"/>
    <mergeCell ref="MY5:MZ5"/>
    <mergeCell ref="NW4:NX4"/>
    <mergeCell ref="NW5:NX5"/>
    <mergeCell ref="OU4:OV4"/>
    <mergeCell ref="OU5:OV5"/>
    <mergeCell ref="PC4:PD4"/>
    <mergeCell ref="PC5:PD5"/>
    <mergeCell ref="OM4:OO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BG75"/>
  <sheetViews>
    <sheetView topLeftCell="H1" zoomScale="85" zoomScaleNormal="85" workbookViewId="0">
      <selection activeCell="T9" sqref="T9"/>
    </sheetView>
  </sheetViews>
  <sheetFormatPr baseColWidth="10" defaultRowHeight="15" x14ac:dyDescent="0.25"/>
  <cols>
    <col min="1" max="1" width="3.5703125" customWidth="1"/>
    <col min="2" max="2" width="5.140625" customWidth="1"/>
    <col min="4" max="4" width="14.28515625" customWidth="1"/>
    <col min="5" max="5" width="15.140625" customWidth="1"/>
    <col min="6" max="6" width="21.42578125" customWidth="1"/>
    <col min="7" max="7" width="12.5703125" customWidth="1"/>
    <col min="8" max="8" width="12.85546875" customWidth="1"/>
    <col min="9" max="9" width="12.28515625" customWidth="1"/>
    <col min="10" max="10" width="12.140625" bestFit="1" customWidth="1"/>
    <col min="11" max="11" width="13.7109375" customWidth="1"/>
    <col min="12" max="12" width="12.42578125" customWidth="1"/>
    <col min="13" max="14" width="14.28515625" customWidth="1"/>
    <col min="15" max="15" width="15.140625" customWidth="1"/>
    <col min="16" max="16" width="12.7109375" customWidth="1"/>
    <col min="17" max="17" width="13.85546875" customWidth="1"/>
    <col min="18" max="18" width="11.42578125" customWidth="1"/>
    <col min="19" max="19" width="13.28515625" customWidth="1"/>
    <col min="20" max="20" width="12.42578125" customWidth="1"/>
    <col min="21" max="21" width="12" customWidth="1"/>
    <col min="22" max="22" width="13.85546875" bestFit="1" customWidth="1"/>
    <col min="23" max="23" width="12.7109375" customWidth="1"/>
    <col min="24" max="24" width="15.85546875" customWidth="1"/>
    <col min="26" max="26" width="13.85546875" bestFit="1" customWidth="1"/>
    <col min="27" max="27" width="12.85546875" bestFit="1" customWidth="1"/>
    <col min="28" max="28" width="13.85546875" bestFit="1" customWidth="1"/>
    <col min="30" max="30" width="13.7109375" customWidth="1"/>
    <col min="31" max="32" width="13.28515625" customWidth="1"/>
    <col min="33" max="33" width="23" customWidth="1"/>
    <col min="34" max="34" width="16.7109375" customWidth="1"/>
    <col min="35" max="35" width="13.85546875" customWidth="1"/>
    <col min="37" max="37" width="14.42578125" customWidth="1"/>
    <col min="38" max="38" width="19.140625" customWidth="1"/>
    <col min="39" max="39" width="15.140625" customWidth="1"/>
    <col min="40" max="40" width="16" customWidth="1"/>
    <col min="41" max="41" width="14" customWidth="1"/>
    <col min="42" max="42" width="12.7109375" bestFit="1" customWidth="1"/>
    <col min="43" max="44" width="9" customWidth="1"/>
    <col min="45" max="45" width="11.5703125" bestFit="1" customWidth="1"/>
    <col min="46" max="48" width="12.85546875" bestFit="1" customWidth="1"/>
    <col min="49" max="49" width="11.5703125" bestFit="1" customWidth="1"/>
    <col min="50" max="50" width="11.85546875" bestFit="1" customWidth="1"/>
    <col min="51" max="51" width="12.7109375" bestFit="1" customWidth="1"/>
    <col min="54" max="56" width="12.85546875" bestFit="1" customWidth="1"/>
    <col min="59" max="59" width="12.7109375" bestFit="1" customWidth="1"/>
  </cols>
  <sheetData>
    <row r="1" spans="3:59" x14ac:dyDescent="0.25">
      <c r="V1" s="60"/>
      <c r="W1" s="305"/>
      <c r="X1" s="257"/>
      <c r="AK1" s="446" t="s">
        <v>65</v>
      </c>
      <c r="AL1" s="447">
        <v>3000</v>
      </c>
      <c r="AM1" s="448">
        <v>2.5000000000000001E-2</v>
      </c>
      <c r="AN1" s="449">
        <f>AL1*AM1</f>
        <v>75</v>
      </c>
      <c r="AO1" s="450">
        <f>AL1+AN1</f>
        <v>3075</v>
      </c>
    </row>
    <row r="2" spans="3:59" x14ac:dyDescent="0.25">
      <c r="I2" s="304"/>
      <c r="J2" s="304"/>
      <c r="K2" s="60"/>
      <c r="L2" s="60"/>
      <c r="M2" s="276"/>
      <c r="V2" s="60"/>
      <c r="W2" s="254"/>
      <c r="X2" s="257"/>
      <c r="AI2" s="304"/>
      <c r="AK2" s="446"/>
      <c r="AL2" s="447"/>
      <c r="AM2" s="448"/>
      <c r="AN2" s="449"/>
      <c r="AO2" s="451"/>
    </row>
    <row r="3" spans="3:59" x14ac:dyDescent="0.25">
      <c r="X3" s="257"/>
      <c r="AK3" s="446"/>
      <c r="AL3" s="447"/>
      <c r="AM3" s="448"/>
      <c r="AN3" s="449"/>
      <c r="AO3" s="451"/>
      <c r="AX3" s="334">
        <v>0.02</v>
      </c>
      <c r="BF3" s="254">
        <v>2.5000000000000001E-2</v>
      </c>
    </row>
    <row r="4" spans="3:59" x14ac:dyDescent="0.25">
      <c r="H4" s="254"/>
      <c r="S4" s="254"/>
      <c r="T4" s="254"/>
      <c r="U4" s="254"/>
      <c r="AE4" s="254">
        <v>1.2500000000000001E-2</v>
      </c>
      <c r="AF4" s="443" t="s">
        <v>101</v>
      </c>
      <c r="AG4" s="444"/>
      <c r="AH4" s="444"/>
      <c r="AI4" s="445"/>
      <c r="AK4" s="364" t="s">
        <v>23</v>
      </c>
      <c r="AL4" s="365">
        <f>SUM(AL1:AL3)</f>
        <v>3000</v>
      </c>
      <c r="AM4" s="364" t="s">
        <v>70</v>
      </c>
      <c r="AN4" s="365">
        <f>SUM(AN1:AN3)</f>
        <v>75</v>
      </c>
      <c r="AO4" s="452"/>
      <c r="AP4" s="305">
        <v>2.5000000000000001E-2</v>
      </c>
      <c r="AY4" s="340"/>
    </row>
    <row r="5" spans="3:59" ht="15.75" thickBot="1" x14ac:dyDescent="0.3">
      <c r="C5" s="440" t="s">
        <v>96</v>
      </c>
      <c r="D5" s="440"/>
      <c r="E5" s="440"/>
      <c r="F5" s="440"/>
      <c r="G5" s="440"/>
      <c r="H5" s="440"/>
      <c r="I5" s="440"/>
      <c r="J5" s="360"/>
      <c r="N5" s="440" t="s">
        <v>95</v>
      </c>
      <c r="O5" s="440"/>
      <c r="P5" s="440"/>
      <c r="Q5" s="440"/>
      <c r="R5" s="440"/>
      <c r="S5" s="440"/>
      <c r="T5" s="440"/>
      <c r="U5" s="360"/>
      <c r="Y5" s="440" t="s">
        <v>97</v>
      </c>
      <c r="Z5" s="440"/>
      <c r="AA5" s="440"/>
      <c r="AB5" s="440"/>
      <c r="AC5" s="440"/>
      <c r="AD5" s="440"/>
      <c r="AE5" s="440"/>
      <c r="AF5" s="458" t="s">
        <v>71</v>
      </c>
      <c r="AG5" s="458"/>
      <c r="AH5" s="458"/>
      <c r="AI5" s="458"/>
      <c r="AJ5" s="440" t="s">
        <v>98</v>
      </c>
      <c r="AK5" s="440"/>
      <c r="AL5" s="440"/>
      <c r="AM5" s="440"/>
      <c r="AN5" s="440"/>
      <c r="AO5" s="440"/>
      <c r="AP5" s="440"/>
      <c r="AS5" s="440" t="s">
        <v>99</v>
      </c>
      <c r="AT5" s="440"/>
      <c r="AU5" s="440"/>
      <c r="AV5" s="440"/>
      <c r="AW5" s="440"/>
      <c r="AX5" s="440"/>
      <c r="AY5" s="440"/>
      <c r="BA5" s="440" t="s">
        <v>100</v>
      </c>
      <c r="BB5" s="440"/>
      <c r="BC5" s="440"/>
      <c r="BD5" s="440"/>
      <c r="BE5" s="440"/>
      <c r="BF5" s="440"/>
      <c r="BG5" s="440"/>
    </row>
    <row r="6" spans="3:59" x14ac:dyDescent="0.25">
      <c r="C6" s="1" t="s">
        <v>5</v>
      </c>
      <c r="D6" s="1" t="s">
        <v>0</v>
      </c>
      <c r="E6" s="1" t="s">
        <v>35</v>
      </c>
      <c r="F6" s="5" t="s">
        <v>3</v>
      </c>
      <c r="G6" s="5" t="s">
        <v>27</v>
      </c>
      <c r="H6" s="1" t="s">
        <v>7</v>
      </c>
      <c r="I6" s="1" t="s">
        <v>29</v>
      </c>
      <c r="J6" s="443" t="s">
        <v>101</v>
      </c>
      <c r="K6" s="444"/>
      <c r="L6" s="444"/>
      <c r="M6" s="445"/>
      <c r="N6" s="1" t="s">
        <v>5</v>
      </c>
      <c r="O6" s="2" t="s">
        <v>0</v>
      </c>
      <c r="P6" s="1" t="s">
        <v>35</v>
      </c>
      <c r="Q6" s="5" t="s">
        <v>3</v>
      </c>
      <c r="R6" s="5" t="s">
        <v>27</v>
      </c>
      <c r="S6" s="1" t="s">
        <v>7</v>
      </c>
      <c r="T6" s="1" t="s">
        <v>29</v>
      </c>
      <c r="U6" s="443" t="s">
        <v>101</v>
      </c>
      <c r="V6" s="444"/>
      <c r="W6" s="444"/>
      <c r="X6" s="445"/>
      <c r="Y6" s="1" t="s">
        <v>5</v>
      </c>
      <c r="Z6" s="2" t="s">
        <v>0</v>
      </c>
      <c r="AA6" s="1" t="s">
        <v>35</v>
      </c>
      <c r="AB6" s="5" t="s">
        <v>3</v>
      </c>
      <c r="AC6" s="5" t="s">
        <v>27</v>
      </c>
      <c r="AD6" s="1" t="s">
        <v>7</v>
      </c>
      <c r="AE6" s="1" t="s">
        <v>29</v>
      </c>
      <c r="AF6" s="370" t="s">
        <v>67</v>
      </c>
      <c r="AG6" s="293" t="s">
        <v>68</v>
      </c>
      <c r="AH6" s="363" t="s">
        <v>69</v>
      </c>
      <c r="AI6" s="293" t="s">
        <v>28</v>
      </c>
      <c r="AJ6" s="1" t="s">
        <v>5</v>
      </c>
      <c r="AK6" s="2" t="s">
        <v>0</v>
      </c>
      <c r="AL6" s="1" t="s">
        <v>35</v>
      </c>
      <c r="AM6" s="5" t="s">
        <v>3</v>
      </c>
      <c r="AN6" s="5" t="s">
        <v>27</v>
      </c>
      <c r="AO6" s="1" t="s">
        <v>7</v>
      </c>
      <c r="AP6" s="1" t="s">
        <v>29</v>
      </c>
      <c r="AS6" s="1" t="s">
        <v>5</v>
      </c>
      <c r="AT6" s="2" t="s">
        <v>0</v>
      </c>
      <c r="AU6" s="1" t="s">
        <v>35</v>
      </c>
      <c r="AV6" s="5" t="s">
        <v>3</v>
      </c>
      <c r="AW6" s="5" t="s">
        <v>27</v>
      </c>
      <c r="AX6" s="1" t="s">
        <v>7</v>
      </c>
      <c r="AY6" s="1" t="s">
        <v>29</v>
      </c>
      <c r="BA6" s="1" t="s">
        <v>5</v>
      </c>
      <c r="BB6" s="2" t="s">
        <v>0</v>
      </c>
      <c r="BC6" s="1" t="s">
        <v>35</v>
      </c>
      <c r="BD6" s="5" t="s">
        <v>3</v>
      </c>
      <c r="BE6" s="5" t="s">
        <v>27</v>
      </c>
      <c r="BF6" s="1" t="s">
        <v>7</v>
      </c>
      <c r="BG6" s="1" t="s">
        <v>29</v>
      </c>
    </row>
    <row r="7" spans="3:59" ht="15.75" thickBot="1" x14ac:dyDescent="0.3">
      <c r="C7" s="3"/>
      <c r="D7" s="4" t="s">
        <v>43</v>
      </c>
      <c r="E7" s="3"/>
      <c r="F7" s="6" t="s">
        <v>4</v>
      </c>
      <c r="G7" s="6" t="s">
        <v>28</v>
      </c>
      <c r="H7" s="4" t="s">
        <v>6</v>
      </c>
      <c r="I7" s="306" t="s">
        <v>30</v>
      </c>
      <c r="J7" s="370" t="s">
        <v>67</v>
      </c>
      <c r="K7" s="293" t="s">
        <v>68</v>
      </c>
      <c r="L7" s="363" t="s">
        <v>69</v>
      </c>
      <c r="M7" s="293" t="s">
        <v>28</v>
      </c>
      <c r="N7" s="308"/>
      <c r="O7" s="4" t="s">
        <v>43</v>
      </c>
      <c r="P7" s="3"/>
      <c r="Q7" s="6" t="s">
        <v>4</v>
      </c>
      <c r="R7" s="6" t="s">
        <v>28</v>
      </c>
      <c r="S7" s="4" t="s">
        <v>6</v>
      </c>
      <c r="T7" s="306" t="s">
        <v>30</v>
      </c>
      <c r="U7" s="370" t="s">
        <v>67</v>
      </c>
      <c r="V7" s="293" t="s">
        <v>68</v>
      </c>
      <c r="W7" s="363" t="s">
        <v>69</v>
      </c>
      <c r="X7" s="293" t="s">
        <v>28</v>
      </c>
      <c r="Y7" s="308"/>
      <c r="Z7" s="4" t="s">
        <v>43</v>
      </c>
      <c r="AA7" s="3"/>
      <c r="AB7" s="6" t="s">
        <v>4</v>
      </c>
      <c r="AC7" s="6" t="s">
        <v>28</v>
      </c>
      <c r="AD7" s="4" t="s">
        <v>6</v>
      </c>
      <c r="AE7" s="20" t="s">
        <v>30</v>
      </c>
      <c r="AF7" s="459" t="s">
        <v>65</v>
      </c>
      <c r="AG7" s="462">
        <v>12000</v>
      </c>
      <c r="AH7" s="465">
        <v>1.2500000000000001E-2</v>
      </c>
      <c r="AI7" s="455">
        <f>AG7*AH7</f>
        <v>150</v>
      </c>
      <c r="AJ7" s="3"/>
      <c r="AK7" s="4" t="s">
        <v>43</v>
      </c>
      <c r="AL7" s="3"/>
      <c r="AM7" s="6" t="s">
        <v>4</v>
      </c>
      <c r="AN7" s="6" t="s">
        <v>28</v>
      </c>
      <c r="AO7" s="4" t="s">
        <v>6</v>
      </c>
      <c r="AP7" s="20" t="s">
        <v>30</v>
      </c>
      <c r="AS7" s="3"/>
      <c r="AT7" s="4" t="s">
        <v>43</v>
      </c>
      <c r="AU7" s="3"/>
      <c r="AV7" s="6" t="s">
        <v>4</v>
      </c>
      <c r="AW7" s="6" t="s">
        <v>28</v>
      </c>
      <c r="AX7" s="4" t="s">
        <v>6</v>
      </c>
      <c r="AY7" s="20" t="s">
        <v>30</v>
      </c>
      <c r="BA7" s="3"/>
      <c r="BB7" s="4" t="s">
        <v>43</v>
      </c>
      <c r="BC7" s="3"/>
      <c r="BD7" s="6" t="s">
        <v>4</v>
      </c>
      <c r="BE7" s="6" t="s">
        <v>28</v>
      </c>
      <c r="BF7" s="4" t="s">
        <v>6</v>
      </c>
      <c r="BG7" s="20" t="s">
        <v>30</v>
      </c>
    </row>
    <row r="8" spans="3:59" x14ac:dyDescent="0.25">
      <c r="C8" s="9">
        <v>46023</v>
      </c>
      <c r="D8" s="35">
        <v>10000</v>
      </c>
      <c r="E8" s="21"/>
      <c r="F8" s="21">
        <f>D8</f>
        <v>10000</v>
      </c>
      <c r="G8" s="16">
        <v>46037</v>
      </c>
      <c r="H8" s="26"/>
      <c r="I8" s="307"/>
      <c r="J8" s="367" t="s">
        <v>65</v>
      </c>
      <c r="K8" s="371">
        <v>3000</v>
      </c>
      <c r="L8" s="372">
        <v>1.2500000000000001E-2</v>
      </c>
      <c r="M8" s="312">
        <f>K8*L8</f>
        <v>37.5</v>
      </c>
      <c r="N8" s="309">
        <v>46023</v>
      </c>
      <c r="O8" s="35">
        <v>7000</v>
      </c>
      <c r="P8" s="21"/>
      <c r="Q8" s="21">
        <f>O8</f>
        <v>7000</v>
      </c>
      <c r="R8" s="16">
        <v>46037</v>
      </c>
      <c r="S8" s="26"/>
      <c r="T8" s="307">
        <v>89</v>
      </c>
      <c r="U8" s="453" t="s">
        <v>65</v>
      </c>
      <c r="V8" s="371">
        <v>4000</v>
      </c>
      <c r="W8" s="313">
        <v>1.4999999999999999E-2</v>
      </c>
      <c r="X8" s="312">
        <f>V8*W8</f>
        <v>60</v>
      </c>
      <c r="Y8" s="309">
        <v>46023</v>
      </c>
      <c r="Z8" s="35">
        <v>12000</v>
      </c>
      <c r="AA8" s="21"/>
      <c r="AB8" s="21">
        <f>Z8</f>
        <v>12000</v>
      </c>
      <c r="AC8" s="16">
        <v>46037</v>
      </c>
      <c r="AD8" s="26"/>
      <c r="AE8" s="36">
        <v>150</v>
      </c>
      <c r="AF8" s="460"/>
      <c r="AG8" s="463"/>
      <c r="AH8" s="466"/>
      <c r="AI8" s="456"/>
      <c r="AJ8" s="9">
        <v>46023</v>
      </c>
      <c r="AK8" s="35">
        <v>3000</v>
      </c>
      <c r="AL8" s="21"/>
      <c r="AM8" s="21">
        <f>AK8</f>
        <v>3000</v>
      </c>
      <c r="AN8" s="16">
        <v>46037</v>
      </c>
      <c r="AO8" s="26">
        <v>75</v>
      </c>
      <c r="AP8" s="36"/>
      <c r="AS8" s="9">
        <v>46023</v>
      </c>
      <c r="AT8" s="35">
        <v>0</v>
      </c>
      <c r="AU8" s="21">
        <v>0</v>
      </c>
      <c r="AV8" s="21">
        <f>AT8</f>
        <v>0</v>
      </c>
      <c r="AW8" s="16">
        <v>46037</v>
      </c>
      <c r="AX8" s="26"/>
      <c r="AY8" s="36"/>
      <c r="BA8" s="9">
        <v>46023</v>
      </c>
      <c r="BB8" s="35"/>
      <c r="BC8" s="21"/>
      <c r="BD8" s="21">
        <f>BB8</f>
        <v>0</v>
      </c>
      <c r="BE8" s="16">
        <v>46037</v>
      </c>
      <c r="BF8" s="26"/>
      <c r="BG8" s="36"/>
    </row>
    <row r="9" spans="3:59" ht="15.75" thickBot="1" x14ac:dyDescent="0.3">
      <c r="C9" s="10">
        <v>46037</v>
      </c>
      <c r="D9" s="22"/>
      <c r="E9" s="23">
        <v>3000</v>
      </c>
      <c r="F9" s="23">
        <f>SUM(F8,D9,-E9)</f>
        <v>7000</v>
      </c>
      <c r="G9" s="17">
        <v>46052</v>
      </c>
      <c r="H9" s="39">
        <v>72.5</v>
      </c>
      <c r="I9" s="307"/>
      <c r="J9" s="368" t="s">
        <v>66</v>
      </c>
      <c r="K9" s="288">
        <v>7000</v>
      </c>
      <c r="L9" s="366">
        <v>5.0000000000000001E-3</v>
      </c>
      <c r="M9" s="369">
        <f>K9*L9</f>
        <v>35</v>
      </c>
      <c r="N9" s="310"/>
      <c r="O9" s="22"/>
      <c r="P9" s="23"/>
      <c r="Q9" s="23">
        <f>SUM(Q8,O9,-P9)</f>
        <v>7000</v>
      </c>
      <c r="R9" s="17">
        <v>46052</v>
      </c>
      <c r="S9" s="39"/>
      <c r="T9" s="307"/>
      <c r="U9" s="454"/>
      <c r="V9" s="311">
        <v>2000</v>
      </c>
      <c r="W9" s="313">
        <v>1.2E-2</v>
      </c>
      <c r="X9" s="312">
        <f>V9*W9</f>
        <v>24</v>
      </c>
      <c r="Y9" s="310"/>
      <c r="Z9" s="22"/>
      <c r="AA9" s="23"/>
      <c r="AB9" s="23">
        <f>SUM(AB8,Z9,-AA9)</f>
        <v>12000</v>
      </c>
      <c r="AC9" s="17">
        <v>46052</v>
      </c>
      <c r="AD9" s="39"/>
      <c r="AE9" s="36"/>
      <c r="AF9" s="461"/>
      <c r="AG9" s="464"/>
      <c r="AH9" s="467"/>
      <c r="AI9" s="457"/>
      <c r="AJ9" s="10">
        <v>46037</v>
      </c>
      <c r="AK9" s="22">
        <v>2000</v>
      </c>
      <c r="AL9" s="23"/>
      <c r="AM9" s="23">
        <f>SUM(AM8,AK9,-AL9)</f>
        <v>5000</v>
      </c>
      <c r="AN9" s="17">
        <v>46052</v>
      </c>
      <c r="AO9" s="39"/>
      <c r="AP9" s="36"/>
      <c r="AS9" s="10"/>
      <c r="AT9" s="22"/>
      <c r="AU9" s="23"/>
      <c r="AV9" s="23">
        <f>SUM(AV8,AT9,-AU9)</f>
        <v>0</v>
      </c>
      <c r="AW9" s="17">
        <v>46052</v>
      </c>
      <c r="AX9" s="39"/>
      <c r="AY9" s="36"/>
      <c r="BA9" s="10"/>
      <c r="BB9" s="22"/>
      <c r="BC9" s="23"/>
      <c r="BD9" s="23">
        <f>SUM(BD8,BB9,-BC9)</f>
        <v>0</v>
      </c>
      <c r="BE9" s="17">
        <v>46052</v>
      </c>
      <c r="BF9" s="39"/>
      <c r="BG9" s="36"/>
    </row>
    <row r="10" spans="3:59" x14ac:dyDescent="0.25">
      <c r="C10" s="10"/>
      <c r="D10" s="22"/>
      <c r="E10" s="23"/>
      <c r="F10" s="23">
        <f t="shared" ref="F10:F70" si="0">SUM(F9,D10,-E10)</f>
        <v>7000</v>
      </c>
      <c r="G10" s="14">
        <v>46068</v>
      </c>
      <c r="H10" s="39"/>
      <c r="I10" s="307"/>
      <c r="J10" s="364" t="s">
        <v>23</v>
      </c>
      <c r="K10" s="365">
        <f>SUM(K8:K9)</f>
        <v>10000</v>
      </c>
      <c r="L10" s="364" t="s">
        <v>70</v>
      </c>
      <c r="M10" s="365">
        <f>SUM(M8:M9)</f>
        <v>72.5</v>
      </c>
      <c r="N10" s="310"/>
      <c r="O10" s="22"/>
      <c r="P10" s="23"/>
      <c r="Q10" s="23">
        <f t="shared" ref="Q10:Q45" si="1">SUM(Q9,O10,-P10)</f>
        <v>7000</v>
      </c>
      <c r="R10" s="14">
        <v>46068</v>
      </c>
      <c r="S10" s="39"/>
      <c r="T10" s="307"/>
      <c r="U10" s="368" t="s">
        <v>66</v>
      </c>
      <c r="V10" s="288">
        <v>1000</v>
      </c>
      <c r="W10" s="366">
        <v>5.0000000000000001E-3</v>
      </c>
      <c r="X10" s="369">
        <f>V10*W10</f>
        <v>5</v>
      </c>
      <c r="Y10" s="310"/>
      <c r="Z10" s="22"/>
      <c r="AA10" s="23"/>
      <c r="AB10" s="23">
        <f t="shared" ref="AB10:AB70" si="2">SUM(AB9,Z10,-AA10)</f>
        <v>12000</v>
      </c>
      <c r="AC10" s="14">
        <v>46068</v>
      </c>
      <c r="AD10" s="39"/>
      <c r="AE10" s="36"/>
      <c r="AF10" s="364" t="s">
        <v>23</v>
      </c>
      <c r="AG10" s="365">
        <f>SUM(AG7:AG9)</f>
        <v>12000</v>
      </c>
      <c r="AH10" s="364" t="s">
        <v>70</v>
      </c>
      <c r="AI10" s="365">
        <f>SUM(AI7:AI9)</f>
        <v>150</v>
      </c>
      <c r="AJ10" s="10"/>
      <c r="AK10" s="22"/>
      <c r="AL10" s="23"/>
      <c r="AM10" s="23">
        <f t="shared" ref="AM10:AM70" si="3">SUM(AM9,AK10,-AL10)</f>
        <v>5000</v>
      </c>
      <c r="AN10" s="14">
        <v>46068</v>
      </c>
      <c r="AO10" s="39"/>
      <c r="AP10" s="36"/>
      <c r="AS10" s="10"/>
      <c r="AT10" s="22"/>
      <c r="AU10" s="23"/>
      <c r="AV10" s="23">
        <f t="shared" ref="AV10:AV70" si="4">SUM(AV9,AT10,-AU10)</f>
        <v>0</v>
      </c>
      <c r="AW10" s="14">
        <v>46068</v>
      </c>
      <c r="AX10" s="39"/>
      <c r="AY10" s="36"/>
      <c r="BA10" s="10"/>
      <c r="BB10" s="22"/>
      <c r="BC10" s="23"/>
      <c r="BD10" s="23">
        <f t="shared" ref="BD10:BD70" si="5">SUM(BD9,BB10,-BC10)</f>
        <v>0</v>
      </c>
      <c r="BE10" s="14">
        <v>46068</v>
      </c>
      <c r="BF10" s="39"/>
      <c r="BG10" s="36"/>
    </row>
    <row r="11" spans="3:59" ht="15.75" thickBot="1" x14ac:dyDescent="0.3">
      <c r="C11" s="10"/>
      <c r="D11" s="22"/>
      <c r="E11" s="23"/>
      <c r="F11" s="23">
        <f t="shared" si="0"/>
        <v>7000</v>
      </c>
      <c r="G11" s="15">
        <v>46081</v>
      </c>
      <c r="H11" s="39"/>
      <c r="I11" s="36"/>
      <c r="M11" s="60"/>
      <c r="N11" s="10"/>
      <c r="O11" s="22"/>
      <c r="P11" s="23"/>
      <c r="Q11" s="23">
        <f t="shared" si="1"/>
        <v>7000</v>
      </c>
      <c r="R11" s="15">
        <v>46081</v>
      </c>
      <c r="S11" s="39"/>
      <c r="T11" s="307"/>
      <c r="U11" s="364" t="s">
        <v>23</v>
      </c>
      <c r="V11" s="365">
        <f>SUM(V8:V10)</f>
        <v>7000</v>
      </c>
      <c r="W11" s="364" t="s">
        <v>70</v>
      </c>
      <c r="X11" s="365">
        <f>SUM(X8:X10)</f>
        <v>89</v>
      </c>
      <c r="Y11" s="310"/>
      <c r="Z11" s="22"/>
      <c r="AA11" s="23"/>
      <c r="AB11" s="23">
        <f t="shared" si="2"/>
        <v>12000</v>
      </c>
      <c r="AC11" s="15">
        <v>46081</v>
      </c>
      <c r="AD11" s="39"/>
      <c r="AE11" s="36"/>
      <c r="AF11" s="361"/>
      <c r="AG11" s="361"/>
      <c r="AH11" s="361"/>
      <c r="AJ11" s="10"/>
      <c r="AK11" s="22"/>
      <c r="AL11" s="291"/>
      <c r="AM11" s="407">
        <f t="shared" si="3"/>
        <v>5000</v>
      </c>
      <c r="AN11" s="15">
        <v>46081</v>
      </c>
      <c r="AO11" s="39"/>
      <c r="AP11" s="36"/>
      <c r="AS11" s="10"/>
      <c r="AT11" s="22"/>
      <c r="AU11" s="291"/>
      <c r="AV11" s="23">
        <f t="shared" si="4"/>
        <v>0</v>
      </c>
      <c r="AW11" s="15">
        <v>46081</v>
      </c>
      <c r="AX11" s="39"/>
      <c r="AY11" s="36"/>
      <c r="BA11" s="10"/>
      <c r="BB11" s="22"/>
      <c r="BC11" s="291"/>
      <c r="BD11" s="23">
        <f t="shared" si="5"/>
        <v>0</v>
      </c>
      <c r="BE11" s="15">
        <v>46081</v>
      </c>
      <c r="BF11" s="39"/>
      <c r="BG11" s="36"/>
    </row>
    <row r="12" spans="3:59" ht="15.75" x14ac:dyDescent="0.25">
      <c r="C12" s="10"/>
      <c r="D12" s="22"/>
      <c r="E12" s="23"/>
      <c r="F12" s="23">
        <f t="shared" si="0"/>
        <v>7000</v>
      </c>
      <c r="G12" s="16">
        <v>46096</v>
      </c>
      <c r="H12" s="39"/>
      <c r="I12" s="36"/>
      <c r="J12" s="361"/>
      <c r="K12" s="218"/>
      <c r="L12" s="218"/>
      <c r="M12" s="218"/>
      <c r="N12" s="10"/>
      <c r="O12" s="22"/>
      <c r="P12" s="23"/>
      <c r="Q12" s="23">
        <f t="shared" si="1"/>
        <v>7000</v>
      </c>
      <c r="R12" s="16">
        <v>46096</v>
      </c>
      <c r="S12" s="39"/>
      <c r="T12" s="36"/>
      <c r="U12" s="361"/>
      <c r="V12" s="218"/>
      <c r="W12" s="218"/>
      <c r="Y12" s="10"/>
      <c r="Z12" s="22"/>
      <c r="AA12" s="23"/>
      <c r="AB12" s="23">
        <f t="shared" si="2"/>
        <v>12000</v>
      </c>
      <c r="AC12" s="16">
        <v>46096</v>
      </c>
      <c r="AD12" s="39"/>
      <c r="AE12" s="36"/>
      <c r="AF12" s="361"/>
      <c r="AG12" s="415"/>
      <c r="AH12" s="415"/>
      <c r="AJ12" s="10"/>
      <c r="AK12" s="22"/>
      <c r="AL12" s="23"/>
      <c r="AM12" s="23">
        <f t="shared" si="3"/>
        <v>5000</v>
      </c>
      <c r="AN12" s="16">
        <v>46096</v>
      </c>
      <c r="AO12" s="39"/>
      <c r="AP12" s="36"/>
      <c r="AS12" s="10"/>
      <c r="AT12" s="22"/>
      <c r="AU12" s="23"/>
      <c r="AV12" s="23">
        <f t="shared" si="4"/>
        <v>0</v>
      </c>
      <c r="AW12" s="16">
        <v>46096</v>
      </c>
      <c r="AX12" s="39"/>
      <c r="AY12" s="36"/>
      <c r="BA12" s="10"/>
      <c r="BB12" s="22"/>
      <c r="BC12" s="23"/>
      <c r="BD12" s="23">
        <f>SUM(BD11,BB12,-BC12)</f>
        <v>0</v>
      </c>
      <c r="BE12" s="16">
        <v>46096</v>
      </c>
      <c r="BF12" s="39"/>
      <c r="BG12" s="36"/>
    </row>
    <row r="13" spans="3:59" ht="15.75" thickBot="1" x14ac:dyDescent="0.3">
      <c r="C13" s="10"/>
      <c r="D13" s="22"/>
      <c r="E13" s="23"/>
      <c r="F13" s="23">
        <f t="shared" si="0"/>
        <v>7000</v>
      </c>
      <c r="G13" s="17">
        <v>46111</v>
      </c>
      <c r="H13" s="39"/>
      <c r="I13" s="36"/>
      <c r="J13" s="361"/>
      <c r="K13" s="218"/>
      <c r="L13" s="218"/>
      <c r="M13" s="218"/>
      <c r="N13" s="10"/>
      <c r="O13" s="22"/>
      <c r="P13" s="23"/>
      <c r="Q13" s="23">
        <f t="shared" si="1"/>
        <v>7000</v>
      </c>
      <c r="R13" s="17">
        <v>46111</v>
      </c>
      <c r="S13" s="39"/>
      <c r="T13" s="36"/>
      <c r="U13" s="361"/>
      <c r="V13" s="218"/>
      <c r="W13" s="385"/>
      <c r="X13" s="249"/>
      <c r="Y13" s="10"/>
      <c r="Z13" s="22"/>
      <c r="AA13" s="23"/>
      <c r="AB13" s="23">
        <f t="shared" si="2"/>
        <v>12000</v>
      </c>
      <c r="AC13" s="17">
        <v>46111</v>
      </c>
      <c r="AD13" s="39"/>
      <c r="AE13" s="36"/>
      <c r="AF13" s="361"/>
      <c r="AG13" s="361"/>
      <c r="AH13" s="361"/>
      <c r="AJ13" s="10"/>
      <c r="AK13" s="22"/>
      <c r="AL13" s="23"/>
      <c r="AM13" s="23">
        <f t="shared" si="3"/>
        <v>5000</v>
      </c>
      <c r="AN13" s="17">
        <v>46111</v>
      </c>
      <c r="AO13" s="39"/>
      <c r="AP13" s="36"/>
      <c r="AS13" s="10"/>
      <c r="AT13" s="22"/>
      <c r="AU13" s="23"/>
      <c r="AV13" s="23">
        <f t="shared" si="4"/>
        <v>0</v>
      </c>
      <c r="AW13" s="17">
        <v>46111</v>
      </c>
      <c r="AX13" s="39"/>
      <c r="AY13" s="36"/>
      <c r="BA13" s="10"/>
      <c r="BB13" s="22"/>
      <c r="BC13" s="23"/>
      <c r="BD13" s="23">
        <f>SUM(BD12,BB13,-BC13)</f>
        <v>0</v>
      </c>
      <c r="BE13" s="17">
        <v>46111</v>
      </c>
      <c r="BF13" s="39"/>
      <c r="BG13" s="36"/>
    </row>
    <row r="14" spans="3:59" ht="18.75" x14ac:dyDescent="0.3">
      <c r="C14" s="10"/>
      <c r="D14" s="22"/>
      <c r="E14" s="23"/>
      <c r="F14" s="23">
        <f t="shared" si="0"/>
        <v>7000</v>
      </c>
      <c r="G14" s="14">
        <v>46127</v>
      </c>
      <c r="H14" s="39"/>
      <c r="I14" s="36"/>
      <c r="J14" s="361"/>
      <c r="K14" s="218"/>
      <c r="L14" s="218"/>
      <c r="M14" s="218"/>
      <c r="N14" s="10"/>
      <c r="O14" s="22"/>
      <c r="P14" s="23"/>
      <c r="Q14" s="23">
        <f t="shared" si="1"/>
        <v>7000</v>
      </c>
      <c r="R14" s="14">
        <v>46127</v>
      </c>
      <c r="S14" s="39"/>
      <c r="T14" s="36"/>
      <c r="U14" s="406"/>
      <c r="V14" s="386"/>
      <c r="W14" s="218"/>
      <c r="X14" s="386"/>
      <c r="Y14" s="10"/>
      <c r="Z14" s="22"/>
      <c r="AA14" s="23"/>
      <c r="AB14" s="23">
        <f t="shared" si="2"/>
        <v>12000</v>
      </c>
      <c r="AC14" s="14">
        <v>46127</v>
      </c>
      <c r="AD14" s="39"/>
      <c r="AE14" s="36"/>
      <c r="AF14" s="361"/>
      <c r="AG14" s="414" t="s">
        <v>80</v>
      </c>
      <c r="AH14" s="414">
        <f>AG7+AI7</f>
        <v>12150</v>
      </c>
      <c r="AJ14" s="10"/>
      <c r="AK14" s="22"/>
      <c r="AL14" s="23"/>
      <c r="AM14" s="23">
        <f t="shared" si="3"/>
        <v>5000</v>
      </c>
      <c r="AN14" s="14">
        <v>46127</v>
      </c>
      <c r="AO14" s="39"/>
      <c r="AP14" s="36"/>
      <c r="AS14" s="10"/>
      <c r="AT14" s="22"/>
      <c r="AU14" s="23"/>
      <c r="AV14" s="23">
        <f t="shared" si="4"/>
        <v>0</v>
      </c>
      <c r="AW14" s="14">
        <v>46127</v>
      </c>
      <c r="AX14" s="39"/>
      <c r="AY14" s="36"/>
      <c r="BA14" s="10"/>
      <c r="BB14" s="22"/>
      <c r="BC14" s="23"/>
      <c r="BD14" s="23">
        <f t="shared" si="5"/>
        <v>0</v>
      </c>
      <c r="BE14" s="14">
        <v>46127</v>
      </c>
      <c r="BF14" s="39"/>
      <c r="BG14" s="36"/>
    </row>
    <row r="15" spans="3:59" ht="15.75" thickBot="1" x14ac:dyDescent="0.3">
      <c r="C15" s="10"/>
      <c r="D15" s="22"/>
      <c r="E15" s="23"/>
      <c r="F15" s="23">
        <f>SUM(F14,D15,-E15)</f>
        <v>7000</v>
      </c>
      <c r="G15" s="15">
        <v>46142</v>
      </c>
      <c r="H15" s="39"/>
      <c r="I15" s="36"/>
      <c r="J15" s="361"/>
      <c r="K15" s="218"/>
      <c r="L15" s="249"/>
      <c r="M15" s="218" t="s">
        <v>81</v>
      </c>
      <c r="N15" s="10"/>
      <c r="O15" s="22"/>
      <c r="P15" s="23"/>
      <c r="Q15" s="23">
        <f t="shared" si="1"/>
        <v>7000</v>
      </c>
      <c r="R15" s="15">
        <v>46142</v>
      </c>
      <c r="S15" s="39"/>
      <c r="T15" s="36"/>
      <c r="U15" s="361"/>
      <c r="V15" s="354"/>
      <c r="W15" s="396"/>
      <c r="X15" s="218"/>
      <c r="Y15" s="10"/>
      <c r="Z15" s="22"/>
      <c r="AA15" s="23"/>
      <c r="AB15" s="23">
        <f t="shared" si="2"/>
        <v>12000</v>
      </c>
      <c r="AC15" s="15">
        <v>46142</v>
      </c>
      <c r="AD15" s="39"/>
      <c r="AE15" s="36"/>
      <c r="AF15" s="361"/>
      <c r="AG15" s="361"/>
      <c r="AH15" s="361"/>
      <c r="AJ15" s="10"/>
      <c r="AK15" s="22"/>
      <c r="AL15" s="23"/>
      <c r="AM15" s="23">
        <f t="shared" si="3"/>
        <v>5000</v>
      </c>
      <c r="AN15" s="15">
        <v>46142</v>
      </c>
      <c r="AO15" s="39"/>
      <c r="AP15" s="36"/>
      <c r="AS15" s="10"/>
      <c r="AT15" s="22"/>
      <c r="AU15" s="23"/>
      <c r="AV15" s="291">
        <f t="shared" si="4"/>
        <v>0</v>
      </c>
      <c r="AW15" s="15">
        <v>46142</v>
      </c>
      <c r="AX15" s="292"/>
      <c r="AY15" s="36"/>
      <c r="BA15" s="10"/>
      <c r="BB15" s="22"/>
      <c r="BC15" s="23"/>
      <c r="BD15" s="23">
        <f t="shared" si="5"/>
        <v>0</v>
      </c>
      <c r="BE15" s="15">
        <v>46142</v>
      </c>
      <c r="BF15" s="292"/>
      <c r="BG15" s="36"/>
    </row>
    <row r="16" spans="3:59" x14ac:dyDescent="0.25">
      <c r="C16" s="10"/>
      <c r="D16" s="22"/>
      <c r="E16" s="23"/>
      <c r="F16" s="23">
        <f t="shared" si="0"/>
        <v>7000</v>
      </c>
      <c r="G16" s="16">
        <v>46157</v>
      </c>
      <c r="H16" s="27"/>
      <c r="I16" s="36"/>
      <c r="J16" s="361"/>
      <c r="K16" s="249"/>
      <c r="L16" s="257"/>
      <c r="M16" s="218"/>
      <c r="N16" s="10"/>
      <c r="O16" s="22"/>
      <c r="P16" s="23"/>
      <c r="Q16" s="23">
        <f t="shared" si="1"/>
        <v>7000</v>
      </c>
      <c r="R16" s="16">
        <v>46157</v>
      </c>
      <c r="S16" s="27"/>
      <c r="T16" s="36"/>
      <c r="U16" s="361"/>
      <c r="V16" s="249"/>
      <c r="W16" s="218"/>
      <c r="X16" s="218"/>
      <c r="Y16" s="10"/>
      <c r="Z16" s="22"/>
      <c r="AA16" s="23"/>
      <c r="AB16" s="23">
        <f t="shared" si="2"/>
        <v>12000</v>
      </c>
      <c r="AC16" s="16">
        <v>46157</v>
      </c>
      <c r="AD16" s="27"/>
      <c r="AE16" s="36"/>
      <c r="AF16" s="361"/>
      <c r="AG16" s="406"/>
      <c r="AH16" s="406"/>
      <c r="AJ16" s="10"/>
      <c r="AK16" s="22"/>
      <c r="AL16" s="23"/>
      <c r="AM16" s="23">
        <f t="shared" si="3"/>
        <v>5000</v>
      </c>
      <c r="AN16" s="16">
        <v>46157</v>
      </c>
      <c r="AO16" s="27"/>
      <c r="AP16" s="36"/>
      <c r="AS16" s="10"/>
      <c r="AT16" s="22"/>
      <c r="AU16" s="23"/>
      <c r="AV16" s="23">
        <f t="shared" si="4"/>
        <v>0</v>
      </c>
      <c r="AW16" s="16">
        <v>46157</v>
      </c>
      <c r="AX16" s="292"/>
      <c r="AY16" s="36"/>
      <c r="BA16" s="10"/>
      <c r="BB16" s="22"/>
      <c r="BC16" s="23"/>
      <c r="BD16" s="23">
        <f t="shared" si="5"/>
        <v>0</v>
      </c>
      <c r="BE16" s="16">
        <v>46157</v>
      </c>
      <c r="BF16" s="292"/>
      <c r="BG16" s="36"/>
    </row>
    <row r="17" spans="3:59" ht="15.75" thickBot="1" x14ac:dyDescent="0.3">
      <c r="C17" s="10"/>
      <c r="D17" s="22"/>
      <c r="E17" s="23"/>
      <c r="F17" s="23">
        <f t="shared" si="0"/>
        <v>7000</v>
      </c>
      <c r="G17" s="17">
        <v>46172</v>
      </c>
      <c r="H17" s="27"/>
      <c r="I17" s="36"/>
      <c r="J17" s="361"/>
      <c r="K17" s="218"/>
      <c r="L17" s="218"/>
      <c r="M17" s="218"/>
      <c r="N17" s="10"/>
      <c r="O17" s="22"/>
      <c r="P17" s="23"/>
      <c r="Q17" s="23">
        <f t="shared" si="1"/>
        <v>7000</v>
      </c>
      <c r="R17" s="17">
        <v>46172</v>
      </c>
      <c r="S17" s="27"/>
      <c r="T17" s="36"/>
      <c r="U17" s="361"/>
      <c r="V17" s="249"/>
      <c r="W17" s="33"/>
      <c r="X17" s="218"/>
      <c r="Y17" s="10"/>
      <c r="Z17" s="22"/>
      <c r="AA17" s="23"/>
      <c r="AB17" s="23">
        <f t="shared" si="2"/>
        <v>12000</v>
      </c>
      <c r="AC17" s="17">
        <v>46172</v>
      </c>
      <c r="AD17" s="27"/>
      <c r="AE17" s="36"/>
      <c r="AF17" s="361"/>
      <c r="AG17" s="361"/>
      <c r="AH17" s="361"/>
      <c r="AJ17" s="10"/>
      <c r="AK17" s="22"/>
      <c r="AL17" s="23"/>
      <c r="AM17" s="23">
        <f t="shared" si="3"/>
        <v>5000</v>
      </c>
      <c r="AN17" s="17">
        <v>46172</v>
      </c>
      <c r="AO17" s="292"/>
      <c r="AP17" s="36"/>
      <c r="AS17" s="10"/>
      <c r="AT17" s="22"/>
      <c r="AU17" s="23"/>
      <c r="AV17" s="23">
        <f t="shared" si="4"/>
        <v>0</v>
      </c>
      <c r="AW17" s="17">
        <v>46172</v>
      </c>
      <c r="AX17" s="292"/>
      <c r="AY17" s="36"/>
      <c r="BA17" s="10"/>
      <c r="BB17" s="22"/>
      <c r="BC17" s="23"/>
      <c r="BD17" s="23">
        <f t="shared" si="5"/>
        <v>0</v>
      </c>
      <c r="BE17" s="17">
        <v>46172</v>
      </c>
      <c r="BF17" s="292"/>
      <c r="BG17" s="36"/>
    </row>
    <row r="18" spans="3:59" x14ac:dyDescent="0.25">
      <c r="C18" s="10"/>
      <c r="D18" s="22"/>
      <c r="E18" s="23"/>
      <c r="F18" s="23">
        <f t="shared" si="0"/>
        <v>7000</v>
      </c>
      <c r="G18" s="14">
        <v>46188</v>
      </c>
      <c r="H18" s="27"/>
      <c r="I18" s="36"/>
      <c r="J18" s="361"/>
      <c r="K18" s="218"/>
      <c r="L18" s="218"/>
      <c r="M18" s="218"/>
      <c r="N18" s="10"/>
      <c r="O18" s="44"/>
      <c r="P18" s="23"/>
      <c r="Q18" s="23">
        <f t="shared" si="1"/>
        <v>7000</v>
      </c>
      <c r="R18" s="14">
        <v>46188</v>
      </c>
      <c r="S18" s="27"/>
      <c r="T18" s="36"/>
      <c r="U18" s="361"/>
      <c r="V18" s="249"/>
      <c r="X18" s="218"/>
      <c r="Y18" s="10"/>
      <c r="Z18" s="22"/>
      <c r="AA18" s="23"/>
      <c r="AB18" s="23">
        <f t="shared" si="2"/>
        <v>12000</v>
      </c>
      <c r="AC18" s="14">
        <v>46188</v>
      </c>
      <c r="AD18" s="27"/>
      <c r="AE18" s="36"/>
      <c r="AF18" s="361"/>
      <c r="AG18" s="361"/>
      <c r="AH18" s="361"/>
      <c r="AJ18" s="10"/>
      <c r="AK18" s="22"/>
      <c r="AL18" s="23"/>
      <c r="AM18" s="23">
        <f t="shared" si="3"/>
        <v>5000</v>
      </c>
      <c r="AN18" s="14">
        <v>46188</v>
      </c>
      <c r="AO18" s="27"/>
      <c r="AP18" s="36"/>
      <c r="AS18" s="10"/>
      <c r="AT18" s="22"/>
      <c r="AU18" s="23"/>
      <c r="AV18" s="23">
        <f t="shared" si="4"/>
        <v>0</v>
      </c>
      <c r="AW18" s="14">
        <v>46188</v>
      </c>
      <c r="AX18" s="27"/>
      <c r="AY18" s="36"/>
      <c r="BA18" s="10"/>
      <c r="BB18" s="22"/>
      <c r="BC18" s="23"/>
      <c r="BD18" s="23">
        <f t="shared" si="5"/>
        <v>0</v>
      </c>
      <c r="BE18" s="14">
        <v>46188</v>
      </c>
      <c r="BF18" s="27"/>
      <c r="BG18" s="36"/>
    </row>
    <row r="19" spans="3:59" ht="15.75" thickBot="1" x14ac:dyDescent="0.3">
      <c r="C19" s="10"/>
      <c r="D19" s="22"/>
      <c r="E19" s="23"/>
      <c r="F19" s="23">
        <f t="shared" si="0"/>
        <v>7000</v>
      </c>
      <c r="G19" s="15">
        <v>46203</v>
      </c>
      <c r="H19" s="39"/>
      <c r="I19" s="36"/>
      <c r="J19" s="361"/>
      <c r="K19" s="218"/>
      <c r="L19" s="218"/>
      <c r="M19" s="218"/>
      <c r="N19" s="10"/>
      <c r="O19" s="22"/>
      <c r="P19" s="23"/>
      <c r="Q19" s="23">
        <f t="shared" si="1"/>
        <v>7000</v>
      </c>
      <c r="R19" s="15">
        <v>46203</v>
      </c>
      <c r="S19" s="39"/>
      <c r="T19" s="36"/>
      <c r="U19" s="361"/>
      <c r="V19" s="392"/>
      <c r="W19" s="218"/>
      <c r="X19" s="218"/>
      <c r="Y19" s="10"/>
      <c r="Z19" s="22"/>
      <c r="AA19" s="23"/>
      <c r="AB19" s="23">
        <f t="shared" si="2"/>
        <v>12000</v>
      </c>
      <c r="AC19" s="15">
        <v>46203</v>
      </c>
      <c r="AD19" s="39"/>
      <c r="AE19" s="36"/>
      <c r="AF19" s="361"/>
      <c r="AG19" s="361"/>
      <c r="AH19" s="361"/>
      <c r="AJ19" s="10"/>
      <c r="AK19" s="22"/>
      <c r="AL19" s="23"/>
      <c r="AM19" s="23">
        <f t="shared" si="3"/>
        <v>5000</v>
      </c>
      <c r="AN19" s="15">
        <v>46203</v>
      </c>
      <c r="AO19" s="39"/>
      <c r="AP19" s="36"/>
      <c r="AS19" s="10"/>
      <c r="AT19" s="22"/>
      <c r="AU19" s="23"/>
      <c r="AV19" s="23">
        <f t="shared" si="4"/>
        <v>0</v>
      </c>
      <c r="AW19" s="15">
        <v>46203</v>
      </c>
      <c r="AX19" s="39"/>
      <c r="AY19" s="36"/>
      <c r="BA19" s="10"/>
      <c r="BB19" s="22"/>
      <c r="BC19" s="23"/>
      <c r="BD19" s="23">
        <f t="shared" si="5"/>
        <v>0</v>
      </c>
      <c r="BE19" s="15">
        <v>46203</v>
      </c>
      <c r="BF19" s="39"/>
      <c r="BG19" s="36"/>
    </row>
    <row r="20" spans="3:59" x14ac:dyDescent="0.25">
      <c r="C20" s="10"/>
      <c r="D20" s="22"/>
      <c r="E20" s="23"/>
      <c r="F20" s="23">
        <f t="shared" si="0"/>
        <v>7000</v>
      </c>
      <c r="G20" s="16">
        <v>46218</v>
      </c>
      <c r="H20" s="39"/>
      <c r="I20" s="36"/>
      <c r="J20" s="361"/>
      <c r="K20" s="218"/>
      <c r="L20" s="218"/>
      <c r="N20" s="10"/>
      <c r="O20" s="22"/>
      <c r="P20" s="23"/>
      <c r="Q20" s="23">
        <f t="shared" si="1"/>
        <v>7000</v>
      </c>
      <c r="R20" s="16">
        <v>46218</v>
      </c>
      <c r="S20" s="39"/>
      <c r="T20" s="36"/>
      <c r="U20" s="361"/>
      <c r="V20" s="249"/>
      <c r="X20" s="218"/>
      <c r="Y20" s="10"/>
      <c r="Z20" s="22"/>
      <c r="AA20" s="23"/>
      <c r="AB20" s="23">
        <f t="shared" si="2"/>
        <v>12000</v>
      </c>
      <c r="AC20" s="16">
        <v>46218</v>
      </c>
      <c r="AD20" s="39"/>
      <c r="AE20" s="36"/>
      <c r="AF20" s="361"/>
      <c r="AG20" s="361"/>
      <c r="AH20" s="361"/>
      <c r="AJ20" s="10"/>
      <c r="AK20" s="22"/>
      <c r="AL20" s="23"/>
      <c r="AM20" s="23">
        <f t="shared" si="3"/>
        <v>5000</v>
      </c>
      <c r="AN20" s="16">
        <v>46218</v>
      </c>
      <c r="AO20" s="39"/>
      <c r="AP20" s="36"/>
      <c r="AS20" s="10"/>
      <c r="AT20" s="22"/>
      <c r="AU20" s="23"/>
      <c r="AV20" s="23">
        <f t="shared" si="4"/>
        <v>0</v>
      </c>
      <c r="AW20" s="16">
        <v>46218</v>
      </c>
      <c r="AX20" s="39"/>
      <c r="AY20" s="36"/>
      <c r="BA20" s="10"/>
      <c r="BB20" s="22"/>
      <c r="BC20" s="23"/>
      <c r="BD20" s="23">
        <f t="shared" si="5"/>
        <v>0</v>
      </c>
      <c r="BE20" s="16">
        <v>46218</v>
      </c>
      <c r="BF20" s="39"/>
      <c r="BG20" s="36"/>
    </row>
    <row r="21" spans="3:59" ht="15.75" thickBot="1" x14ac:dyDescent="0.3">
      <c r="C21" s="10"/>
      <c r="D21" s="22"/>
      <c r="E21" s="23"/>
      <c r="F21" s="23">
        <f t="shared" si="0"/>
        <v>7000</v>
      </c>
      <c r="G21" s="273">
        <v>46233</v>
      </c>
      <c r="H21" s="39"/>
      <c r="I21" s="36"/>
      <c r="J21" s="361"/>
      <c r="K21" s="218"/>
      <c r="L21" s="218"/>
      <c r="M21" s="218"/>
      <c r="N21" s="10"/>
      <c r="O21" s="22"/>
      <c r="P21" s="23"/>
      <c r="Q21" s="23">
        <f t="shared" si="1"/>
        <v>7000</v>
      </c>
      <c r="R21" s="17">
        <v>46233</v>
      </c>
      <c r="S21" s="39"/>
      <c r="T21" s="36"/>
      <c r="U21" s="361"/>
      <c r="V21" s="354"/>
      <c r="X21" s="60"/>
      <c r="Y21" s="10"/>
      <c r="Z21" s="22"/>
      <c r="AA21" s="23"/>
      <c r="AB21" s="23">
        <f t="shared" si="2"/>
        <v>12000</v>
      </c>
      <c r="AC21" s="273">
        <v>46233</v>
      </c>
      <c r="AD21" s="39"/>
      <c r="AE21" s="36"/>
      <c r="AF21" s="361"/>
      <c r="AG21" s="361"/>
      <c r="AH21" s="361"/>
      <c r="AJ21" s="10"/>
      <c r="AK21" s="22"/>
      <c r="AL21" s="23"/>
      <c r="AM21" s="23">
        <f t="shared" si="3"/>
        <v>5000</v>
      </c>
      <c r="AN21" s="273">
        <v>46233</v>
      </c>
      <c r="AO21" s="39"/>
      <c r="AP21" s="36"/>
      <c r="AS21" s="10"/>
      <c r="AT21" s="22"/>
      <c r="AU21" s="23"/>
      <c r="AV21" s="23">
        <f t="shared" si="4"/>
        <v>0</v>
      </c>
      <c r="AW21" s="273">
        <v>46233</v>
      </c>
      <c r="AX21" s="39"/>
      <c r="AY21" s="36"/>
      <c r="BA21" s="10"/>
      <c r="BB21" s="22"/>
      <c r="BC21" s="23"/>
      <c r="BD21" s="23">
        <f t="shared" si="5"/>
        <v>0</v>
      </c>
      <c r="BE21" s="273">
        <v>46233</v>
      </c>
      <c r="BF21" s="39"/>
      <c r="BG21" s="36"/>
    </row>
    <row r="22" spans="3:59" x14ac:dyDescent="0.25">
      <c r="C22" s="10"/>
      <c r="D22" s="22"/>
      <c r="E22" s="23"/>
      <c r="F22" s="23">
        <f t="shared" si="0"/>
        <v>7000</v>
      </c>
      <c r="G22" s="274">
        <v>46249</v>
      </c>
      <c r="H22" s="275"/>
      <c r="I22" s="36"/>
      <c r="J22" s="361"/>
      <c r="K22" s="210"/>
      <c r="L22" s="210"/>
      <c r="M22" s="404"/>
      <c r="N22" s="10"/>
      <c r="O22" s="22"/>
      <c r="P22" s="23"/>
      <c r="Q22" s="23">
        <f t="shared" si="1"/>
        <v>7000</v>
      </c>
      <c r="R22" s="14">
        <v>46249</v>
      </c>
      <c r="S22" s="39"/>
      <c r="T22" s="36"/>
      <c r="U22" s="361"/>
      <c r="V22" s="60"/>
      <c r="X22" s="60"/>
      <c r="Y22" s="10"/>
      <c r="Z22" s="22"/>
      <c r="AA22" s="23"/>
      <c r="AB22" s="23">
        <f t="shared" si="2"/>
        <v>12000</v>
      </c>
      <c r="AC22" s="274">
        <v>46249</v>
      </c>
      <c r="AD22" s="275"/>
      <c r="AE22" s="36"/>
      <c r="AF22" s="361"/>
      <c r="AG22" s="361"/>
      <c r="AH22" s="361"/>
      <c r="AJ22" s="10"/>
      <c r="AK22" s="22"/>
      <c r="AL22" s="23"/>
      <c r="AM22" s="23">
        <f t="shared" si="3"/>
        <v>5000</v>
      </c>
      <c r="AN22" s="274">
        <v>46249</v>
      </c>
      <c r="AO22" s="275"/>
      <c r="AP22" s="36"/>
      <c r="AS22" s="10"/>
      <c r="AT22" s="22"/>
      <c r="AU22" s="23"/>
      <c r="AV22" s="23">
        <f t="shared" si="4"/>
        <v>0</v>
      </c>
      <c r="AW22" s="274">
        <v>46249</v>
      </c>
      <c r="AX22" s="275"/>
      <c r="AY22" s="36"/>
      <c r="BA22" s="10"/>
      <c r="BB22" s="22"/>
      <c r="BC22" s="23"/>
      <c r="BD22" s="23">
        <f t="shared" si="5"/>
        <v>0</v>
      </c>
      <c r="BE22" s="274">
        <v>46249</v>
      </c>
      <c r="BF22" s="275"/>
      <c r="BG22" s="36"/>
    </row>
    <row r="23" spans="3:59" ht="15.75" thickBot="1" x14ac:dyDescent="0.3">
      <c r="C23" s="10"/>
      <c r="D23" s="22"/>
      <c r="E23" s="23"/>
      <c r="F23" s="23">
        <f t="shared" si="0"/>
        <v>7000</v>
      </c>
      <c r="G23" s="15">
        <v>46264</v>
      </c>
      <c r="H23" s="27"/>
      <c r="I23" s="36"/>
      <c r="J23" s="361"/>
      <c r="K23" s="249"/>
      <c r="L23" s="218"/>
      <c r="M23" s="345"/>
      <c r="N23" s="10"/>
      <c r="O23" s="22"/>
      <c r="P23" s="23"/>
      <c r="Q23" s="23">
        <f t="shared" si="1"/>
        <v>7000</v>
      </c>
      <c r="R23" s="15">
        <v>46264</v>
      </c>
      <c r="S23" s="27"/>
      <c r="T23" s="36"/>
      <c r="U23" s="361"/>
      <c r="V23" s="60"/>
      <c r="X23" s="60"/>
      <c r="Y23" s="10"/>
      <c r="Z23" s="22"/>
      <c r="AA23" s="23"/>
      <c r="AB23" s="23">
        <f t="shared" si="2"/>
        <v>12000</v>
      </c>
      <c r="AC23" s="15">
        <v>46264</v>
      </c>
      <c r="AD23" s="27"/>
      <c r="AE23" s="36"/>
      <c r="AF23" s="361"/>
      <c r="AG23" s="361"/>
      <c r="AH23" s="361"/>
      <c r="AJ23" s="10"/>
      <c r="AK23" s="22"/>
      <c r="AL23" s="23"/>
      <c r="AM23" s="23">
        <f t="shared" si="3"/>
        <v>5000</v>
      </c>
      <c r="AN23" s="15">
        <v>46264</v>
      </c>
      <c r="AO23" s="27"/>
      <c r="AP23" s="36"/>
      <c r="AS23" s="10"/>
      <c r="AT23" s="22"/>
      <c r="AU23" s="23"/>
      <c r="AV23" s="23">
        <f t="shared" si="4"/>
        <v>0</v>
      </c>
      <c r="AW23" s="15">
        <v>46264</v>
      </c>
      <c r="AX23" s="27"/>
      <c r="AY23" s="36"/>
      <c r="BA23" s="10"/>
      <c r="BB23" s="22"/>
      <c r="BC23" s="23"/>
      <c r="BD23" s="23">
        <f t="shared" si="5"/>
        <v>0</v>
      </c>
      <c r="BE23" s="15">
        <v>46264</v>
      </c>
      <c r="BF23" s="27"/>
      <c r="BG23" s="36"/>
    </row>
    <row r="24" spans="3:59" x14ac:dyDescent="0.25">
      <c r="C24" s="10"/>
      <c r="D24" s="22"/>
      <c r="E24" s="23"/>
      <c r="F24" s="23">
        <f t="shared" si="0"/>
        <v>7000</v>
      </c>
      <c r="G24" s="16">
        <v>46280</v>
      </c>
      <c r="H24" s="27"/>
      <c r="I24" s="36"/>
      <c r="J24" s="361"/>
      <c r="K24" s="218"/>
      <c r="L24" s="218"/>
      <c r="M24" s="279"/>
      <c r="N24" s="10"/>
      <c r="O24" s="22"/>
      <c r="P24" s="23"/>
      <c r="Q24" s="23">
        <f t="shared" si="1"/>
        <v>7000</v>
      </c>
      <c r="R24" s="16">
        <v>46280</v>
      </c>
      <c r="S24" s="27"/>
      <c r="T24" s="36"/>
      <c r="U24" s="361"/>
      <c r="V24" s="60"/>
      <c r="X24" s="60"/>
      <c r="Y24" s="10"/>
      <c r="Z24" s="22"/>
      <c r="AA24" s="23"/>
      <c r="AB24" s="23">
        <f t="shared" si="2"/>
        <v>12000</v>
      </c>
      <c r="AC24" s="16">
        <v>46280</v>
      </c>
      <c r="AD24" s="27"/>
      <c r="AE24" s="36"/>
      <c r="AF24" s="361"/>
      <c r="AG24" s="361"/>
      <c r="AH24" s="361"/>
      <c r="AJ24" s="10"/>
      <c r="AK24" s="22"/>
      <c r="AL24" s="23"/>
      <c r="AM24" s="23">
        <f t="shared" si="3"/>
        <v>5000</v>
      </c>
      <c r="AN24" s="16">
        <v>46280</v>
      </c>
      <c r="AO24" s="27"/>
      <c r="AP24" s="36"/>
      <c r="AQ24" s="294"/>
      <c r="AS24" s="10"/>
      <c r="AT24" s="22"/>
      <c r="AU24" s="23"/>
      <c r="AV24" s="23">
        <f t="shared" si="4"/>
        <v>0</v>
      </c>
      <c r="AW24" s="16">
        <v>46280</v>
      </c>
      <c r="AX24" s="27"/>
      <c r="AY24" s="36"/>
      <c r="BA24" s="10"/>
      <c r="BB24" s="22"/>
      <c r="BC24" s="23"/>
      <c r="BD24" s="23">
        <f t="shared" si="5"/>
        <v>0</v>
      </c>
      <c r="BE24" s="16">
        <v>46280</v>
      </c>
      <c r="BF24" s="27"/>
      <c r="BG24" s="36"/>
    </row>
    <row r="25" spans="3:59" ht="15.75" thickBot="1" x14ac:dyDescent="0.3">
      <c r="C25" s="10"/>
      <c r="D25" s="22"/>
      <c r="E25" s="23"/>
      <c r="F25" s="23">
        <f t="shared" si="0"/>
        <v>7000</v>
      </c>
      <c r="G25" s="17">
        <v>46295</v>
      </c>
      <c r="H25" s="27"/>
      <c r="I25" s="36"/>
      <c r="J25" s="361"/>
      <c r="K25" s="218"/>
      <c r="L25" s="218"/>
      <c r="M25" s="218"/>
      <c r="N25" s="10"/>
      <c r="O25" s="22"/>
      <c r="P25" s="23"/>
      <c r="Q25" s="23">
        <f t="shared" si="1"/>
        <v>7000</v>
      </c>
      <c r="R25" s="17">
        <v>46295</v>
      </c>
      <c r="S25" s="27"/>
      <c r="T25" s="36"/>
      <c r="U25" s="361"/>
      <c r="V25" s="60"/>
      <c r="W25" s="60"/>
      <c r="X25" s="60"/>
      <c r="Y25" s="10"/>
      <c r="Z25" s="22"/>
      <c r="AA25" s="23"/>
      <c r="AB25" s="23">
        <f t="shared" si="2"/>
        <v>12000</v>
      </c>
      <c r="AC25" s="17">
        <v>46295</v>
      </c>
      <c r="AD25" s="27"/>
      <c r="AE25" s="36"/>
      <c r="AF25" s="361"/>
      <c r="AG25" s="361"/>
      <c r="AH25" s="361"/>
      <c r="AJ25" s="10"/>
      <c r="AK25" s="22"/>
      <c r="AL25" s="23">
        <v>500</v>
      </c>
      <c r="AM25" s="23">
        <f t="shared" si="3"/>
        <v>4500</v>
      </c>
      <c r="AN25" s="17">
        <v>46295</v>
      </c>
      <c r="AO25" s="27"/>
      <c r="AP25" s="36"/>
      <c r="AS25" s="10"/>
      <c r="AT25" s="22"/>
      <c r="AU25" s="23"/>
      <c r="AV25" s="23">
        <f t="shared" si="4"/>
        <v>0</v>
      </c>
      <c r="AW25" s="17">
        <v>46295</v>
      </c>
      <c r="AX25" s="27"/>
      <c r="AY25" s="36"/>
      <c r="BA25" s="10"/>
      <c r="BB25" s="22"/>
      <c r="BC25" s="23"/>
      <c r="BD25" s="23">
        <f t="shared" si="5"/>
        <v>0</v>
      </c>
      <c r="BE25" s="17">
        <v>46295</v>
      </c>
      <c r="BF25" s="27"/>
      <c r="BG25" s="36"/>
    </row>
    <row r="26" spans="3:59" x14ac:dyDescent="0.25">
      <c r="C26" s="10"/>
      <c r="D26" s="22"/>
      <c r="E26" s="23"/>
      <c r="F26" s="23">
        <f t="shared" si="0"/>
        <v>7000</v>
      </c>
      <c r="G26" s="14">
        <v>46310</v>
      </c>
      <c r="H26" s="27"/>
      <c r="I26" s="36"/>
      <c r="J26" s="361"/>
      <c r="K26" s="218"/>
      <c r="M26" s="218"/>
      <c r="N26" s="10"/>
      <c r="O26" s="22"/>
      <c r="P26" s="23"/>
      <c r="Q26" s="23">
        <f t="shared" si="1"/>
        <v>7000</v>
      </c>
      <c r="R26" s="14">
        <v>46310</v>
      </c>
      <c r="S26" s="27"/>
      <c r="T26" s="36"/>
      <c r="U26" s="361"/>
      <c r="V26" s="60"/>
      <c r="W26" s="60"/>
      <c r="X26" s="60"/>
      <c r="Y26" s="10"/>
      <c r="Z26" s="22"/>
      <c r="AA26" s="23"/>
      <c r="AB26" s="23">
        <f t="shared" si="2"/>
        <v>12000</v>
      </c>
      <c r="AC26" s="14">
        <v>46310</v>
      </c>
      <c r="AD26" s="27"/>
      <c r="AE26" s="36"/>
      <c r="AF26" s="361"/>
      <c r="AG26" s="361"/>
      <c r="AH26" s="361"/>
      <c r="AJ26" s="10"/>
      <c r="AK26" s="22"/>
      <c r="AL26" s="23"/>
      <c r="AM26" s="23">
        <f>SUM(AM25,AK26,-AL26)</f>
        <v>4500</v>
      </c>
      <c r="AN26" s="14">
        <v>46310</v>
      </c>
      <c r="AO26" s="27"/>
      <c r="AP26" s="36"/>
      <c r="AS26" s="10"/>
      <c r="AT26" s="22"/>
      <c r="AU26" s="23"/>
      <c r="AV26" s="23">
        <f t="shared" si="4"/>
        <v>0</v>
      </c>
      <c r="AW26" s="14">
        <v>46310</v>
      </c>
      <c r="AX26" s="27"/>
      <c r="AY26" s="36"/>
      <c r="BA26" s="10"/>
      <c r="BB26" s="22"/>
      <c r="BC26" s="23"/>
      <c r="BD26" s="23">
        <f t="shared" si="5"/>
        <v>0</v>
      </c>
      <c r="BE26" s="14">
        <v>46310</v>
      </c>
      <c r="BF26" s="27"/>
      <c r="BG26" s="36"/>
    </row>
    <row r="27" spans="3:59" ht="15.75" thickBot="1" x14ac:dyDescent="0.3">
      <c r="C27" s="10"/>
      <c r="D27" s="22"/>
      <c r="E27" s="23"/>
      <c r="F27" s="23">
        <f t="shared" si="0"/>
        <v>7000</v>
      </c>
      <c r="G27" s="15">
        <v>46325</v>
      </c>
      <c r="H27" s="27"/>
      <c r="I27" s="36"/>
      <c r="J27" s="361"/>
      <c r="K27" s="218"/>
      <c r="L27" s="218"/>
      <c r="M27" s="218"/>
      <c r="N27" s="10"/>
      <c r="O27" s="22"/>
      <c r="P27" s="23"/>
      <c r="Q27" s="23">
        <f t="shared" si="1"/>
        <v>7000</v>
      </c>
      <c r="R27" s="15">
        <v>46325</v>
      </c>
      <c r="S27" s="27"/>
      <c r="T27" s="36"/>
      <c r="U27" s="361"/>
      <c r="V27" s="60"/>
      <c r="X27" s="60"/>
      <c r="Y27" s="10"/>
      <c r="Z27" s="22"/>
      <c r="AA27" s="23"/>
      <c r="AB27" s="23">
        <f t="shared" si="2"/>
        <v>12000</v>
      </c>
      <c r="AC27" s="15">
        <v>46325</v>
      </c>
      <c r="AD27" s="27"/>
      <c r="AE27" s="36"/>
      <c r="AF27" s="361"/>
      <c r="AG27" s="361"/>
      <c r="AH27" s="361"/>
      <c r="AJ27" s="10"/>
      <c r="AK27" s="22"/>
      <c r="AL27" s="23"/>
      <c r="AM27" s="23">
        <f>SUM(AM26,AK27,-AL27)</f>
        <v>4500</v>
      </c>
      <c r="AN27" s="15">
        <v>46325</v>
      </c>
      <c r="AO27" s="27"/>
      <c r="AP27" s="36"/>
      <c r="AS27" s="10"/>
      <c r="AT27" s="22"/>
      <c r="AU27" s="23"/>
      <c r="AV27" s="23">
        <f t="shared" si="4"/>
        <v>0</v>
      </c>
      <c r="AW27" s="15">
        <v>46325</v>
      </c>
      <c r="AX27" s="27"/>
      <c r="AY27" s="36"/>
      <c r="BA27" s="10"/>
      <c r="BB27" s="22"/>
      <c r="BC27" s="23"/>
      <c r="BD27" s="23">
        <f t="shared" si="5"/>
        <v>0</v>
      </c>
      <c r="BE27" s="15">
        <v>46325</v>
      </c>
      <c r="BF27" s="27"/>
      <c r="BG27" s="36"/>
    </row>
    <row r="28" spans="3:59" x14ac:dyDescent="0.25">
      <c r="C28" s="10"/>
      <c r="D28" s="22"/>
      <c r="E28" s="23"/>
      <c r="F28" s="23">
        <f t="shared" si="0"/>
        <v>7000</v>
      </c>
      <c r="G28" s="16">
        <v>46341</v>
      </c>
      <c r="H28" s="27"/>
      <c r="I28" s="36"/>
      <c r="J28" s="361"/>
      <c r="K28" s="218"/>
      <c r="L28" s="218"/>
      <c r="M28" s="218"/>
      <c r="N28" s="10"/>
      <c r="O28" s="22"/>
      <c r="P28" s="23"/>
      <c r="Q28" s="23">
        <f t="shared" si="1"/>
        <v>7000</v>
      </c>
      <c r="R28" s="16">
        <v>46341</v>
      </c>
      <c r="S28" s="27"/>
      <c r="T28" s="36"/>
      <c r="U28" s="361"/>
      <c r="V28" s="60"/>
      <c r="W28" s="60"/>
      <c r="X28" s="60"/>
      <c r="Y28" s="10"/>
      <c r="Z28" s="22"/>
      <c r="AA28" s="23"/>
      <c r="AB28" s="23">
        <f t="shared" si="2"/>
        <v>12000</v>
      </c>
      <c r="AC28" s="16">
        <v>46341</v>
      </c>
      <c r="AD28" s="27"/>
      <c r="AE28" s="36"/>
      <c r="AF28" s="361"/>
      <c r="AG28" s="361"/>
      <c r="AH28" s="361"/>
      <c r="AJ28" s="10"/>
      <c r="AK28" s="22"/>
      <c r="AL28" s="23"/>
      <c r="AM28" s="23">
        <f>SUM(AM27,AK28,-AL28)</f>
        <v>4500</v>
      </c>
      <c r="AN28" s="16">
        <v>46341</v>
      </c>
      <c r="AO28" s="27"/>
      <c r="AP28" s="36"/>
      <c r="AS28" s="10"/>
      <c r="AT28" s="22"/>
      <c r="AU28" s="23"/>
      <c r="AV28" s="23">
        <f t="shared" si="4"/>
        <v>0</v>
      </c>
      <c r="AW28" s="16">
        <v>46341</v>
      </c>
      <c r="AX28" s="27"/>
      <c r="AY28" s="36"/>
      <c r="BA28" s="10"/>
      <c r="BB28" s="22"/>
      <c r="BC28" s="23"/>
      <c r="BD28" s="23">
        <f t="shared" si="5"/>
        <v>0</v>
      </c>
      <c r="BE28" s="16">
        <v>46341</v>
      </c>
      <c r="BF28" s="27"/>
      <c r="BG28" s="36"/>
    </row>
    <row r="29" spans="3:59" ht="15.75" thickBot="1" x14ac:dyDescent="0.3">
      <c r="C29" s="10"/>
      <c r="D29" s="22"/>
      <c r="E29" s="23"/>
      <c r="F29" s="23">
        <f t="shared" si="0"/>
        <v>7000</v>
      </c>
      <c r="G29" s="17">
        <v>46356</v>
      </c>
      <c r="H29" s="27"/>
      <c r="I29" s="36"/>
      <c r="J29" s="361"/>
      <c r="K29" s="218"/>
      <c r="L29" s="218"/>
      <c r="M29" s="218"/>
      <c r="N29" s="10"/>
      <c r="O29" s="22"/>
      <c r="P29" s="23"/>
      <c r="Q29" s="23">
        <f t="shared" si="1"/>
        <v>7000</v>
      </c>
      <c r="R29" s="17">
        <v>46356</v>
      </c>
      <c r="S29" s="27"/>
      <c r="T29" s="36"/>
      <c r="U29" s="361"/>
      <c r="V29" s="60"/>
      <c r="W29" s="60"/>
      <c r="X29" s="60"/>
      <c r="Y29" s="10"/>
      <c r="Z29" s="22"/>
      <c r="AA29" s="23"/>
      <c r="AB29" s="23">
        <f t="shared" si="2"/>
        <v>12000</v>
      </c>
      <c r="AC29" s="17">
        <v>46356</v>
      </c>
      <c r="AD29" s="27"/>
      <c r="AE29" s="36"/>
      <c r="AF29" s="361"/>
      <c r="AG29" s="361"/>
      <c r="AH29" s="361"/>
      <c r="AJ29" s="10"/>
      <c r="AK29" s="22"/>
      <c r="AL29" s="23">
        <v>1500</v>
      </c>
      <c r="AM29" s="23">
        <f t="shared" si="3"/>
        <v>3000</v>
      </c>
      <c r="AN29" s="17">
        <v>46356</v>
      </c>
      <c r="AO29" s="27"/>
      <c r="AP29" s="36"/>
      <c r="AS29" s="10"/>
      <c r="AT29" s="22"/>
      <c r="AU29" s="23"/>
      <c r="AV29" s="23">
        <f t="shared" si="4"/>
        <v>0</v>
      </c>
      <c r="AW29" s="17">
        <v>46356</v>
      </c>
      <c r="AX29" s="27"/>
      <c r="AY29" s="36"/>
      <c r="BA29" s="10"/>
      <c r="BB29" s="22"/>
      <c r="BC29" s="23"/>
      <c r="BD29" s="23">
        <f t="shared" si="5"/>
        <v>0</v>
      </c>
      <c r="BE29" s="17">
        <v>46356</v>
      </c>
      <c r="BF29" s="27"/>
      <c r="BG29" s="36"/>
    </row>
    <row r="30" spans="3:59" x14ac:dyDescent="0.25">
      <c r="C30" s="10"/>
      <c r="D30" s="22"/>
      <c r="E30" s="23"/>
      <c r="F30" s="23">
        <f t="shared" si="0"/>
        <v>7000</v>
      </c>
      <c r="G30" s="14">
        <v>46371</v>
      </c>
      <c r="H30" s="27"/>
      <c r="I30" s="36"/>
      <c r="J30" s="361"/>
      <c r="L30" s="60"/>
      <c r="M30" s="276"/>
      <c r="N30" s="10"/>
      <c r="O30" s="22"/>
      <c r="P30" s="23"/>
      <c r="Q30" s="23">
        <f t="shared" si="1"/>
        <v>7000</v>
      </c>
      <c r="R30" s="14">
        <v>46371</v>
      </c>
      <c r="S30" s="27"/>
      <c r="T30" s="36"/>
      <c r="U30" s="361"/>
      <c r="W30" s="60"/>
      <c r="Y30" s="10"/>
      <c r="Z30" s="22"/>
      <c r="AA30" s="23"/>
      <c r="AB30" s="23">
        <f t="shared" si="2"/>
        <v>12000</v>
      </c>
      <c r="AC30" s="14">
        <v>46371</v>
      </c>
      <c r="AD30" s="27"/>
      <c r="AE30" s="36"/>
      <c r="AF30" s="361"/>
      <c r="AG30" s="361"/>
      <c r="AH30" s="361"/>
      <c r="AJ30" s="10"/>
      <c r="AK30" s="22"/>
      <c r="AL30" s="23"/>
      <c r="AM30" s="23">
        <f t="shared" si="3"/>
        <v>3000</v>
      </c>
      <c r="AN30" s="14">
        <v>46371</v>
      </c>
      <c r="AO30" s="27"/>
      <c r="AP30" s="36"/>
      <c r="AS30" s="10"/>
      <c r="AT30" s="22"/>
      <c r="AU30" s="23"/>
      <c r="AV30" s="23">
        <f t="shared" si="4"/>
        <v>0</v>
      </c>
      <c r="AW30" s="14">
        <v>46371</v>
      </c>
      <c r="AX30" s="27"/>
      <c r="AY30" s="36"/>
      <c r="BA30" s="10"/>
      <c r="BB30" s="22"/>
      <c r="BC30" s="23"/>
      <c r="BD30" s="23">
        <f t="shared" si="5"/>
        <v>0</v>
      </c>
      <c r="BE30" s="14">
        <v>46371</v>
      </c>
      <c r="BF30" s="27"/>
      <c r="BG30" s="36"/>
    </row>
    <row r="31" spans="3:59" x14ac:dyDescent="0.25">
      <c r="C31" s="10"/>
      <c r="D31" s="22"/>
      <c r="E31" s="23"/>
      <c r="F31" s="23">
        <f t="shared" si="0"/>
        <v>7000</v>
      </c>
      <c r="G31" s="15">
        <v>46386</v>
      </c>
      <c r="H31" s="39"/>
      <c r="I31" s="36"/>
      <c r="J31" s="361"/>
      <c r="K31" s="60"/>
      <c r="N31" s="10"/>
      <c r="O31" s="22"/>
      <c r="P31" s="23"/>
      <c r="Q31" s="23">
        <f t="shared" si="1"/>
        <v>7000</v>
      </c>
      <c r="R31" s="15">
        <v>46386</v>
      </c>
      <c r="S31" s="39"/>
      <c r="T31" s="36"/>
      <c r="U31" s="361"/>
      <c r="V31" s="257"/>
      <c r="W31" s="60"/>
      <c r="Y31" s="10"/>
      <c r="Z31" s="22"/>
      <c r="AA31" s="23"/>
      <c r="AB31" s="23">
        <f t="shared" si="2"/>
        <v>12000</v>
      </c>
      <c r="AC31" s="15">
        <v>46386</v>
      </c>
      <c r="AD31" s="39"/>
      <c r="AE31" s="36"/>
      <c r="AF31" s="361"/>
      <c r="AG31" s="361"/>
      <c r="AH31" s="361"/>
      <c r="AJ31" s="10"/>
      <c r="AK31" s="22"/>
      <c r="AL31" s="23"/>
      <c r="AM31" s="23">
        <f t="shared" si="3"/>
        <v>3000</v>
      </c>
      <c r="AN31" s="15">
        <v>46386</v>
      </c>
      <c r="AO31" s="39"/>
      <c r="AP31" s="36"/>
      <c r="AS31" s="10"/>
      <c r="AT31" s="22"/>
      <c r="AU31" s="23"/>
      <c r="AV31" s="23">
        <f t="shared" si="4"/>
        <v>0</v>
      </c>
      <c r="AW31" s="15">
        <v>46386</v>
      </c>
      <c r="AX31" s="39"/>
      <c r="AY31" s="36"/>
      <c r="BA31" s="10"/>
      <c r="BB31" s="22"/>
      <c r="BC31" s="23"/>
      <c r="BD31" s="23">
        <f t="shared" si="5"/>
        <v>0</v>
      </c>
      <c r="BE31" s="15">
        <v>46386</v>
      </c>
      <c r="BF31" s="39"/>
      <c r="BG31" s="36"/>
    </row>
    <row r="32" spans="3:59" x14ac:dyDescent="0.25">
      <c r="C32" s="10"/>
      <c r="D32" s="22"/>
      <c r="E32" s="23"/>
      <c r="F32" s="23">
        <f t="shared" si="0"/>
        <v>7000</v>
      </c>
      <c r="G32" s="11"/>
      <c r="H32" s="39"/>
      <c r="I32" s="36"/>
      <c r="J32" s="361"/>
      <c r="N32" s="10"/>
      <c r="O32" s="22"/>
      <c r="P32" s="23"/>
      <c r="Q32" s="23">
        <f t="shared" si="1"/>
        <v>7000</v>
      </c>
      <c r="R32" s="11"/>
      <c r="S32" s="39"/>
      <c r="T32" s="36"/>
      <c r="U32" s="361"/>
      <c r="V32" s="257"/>
      <c r="Y32" s="10"/>
      <c r="Z32" s="22"/>
      <c r="AA32" s="23"/>
      <c r="AB32" s="23">
        <f t="shared" si="2"/>
        <v>12000</v>
      </c>
      <c r="AC32" s="11"/>
      <c r="AD32" s="39"/>
      <c r="AE32" s="36"/>
      <c r="AF32" s="361"/>
      <c r="AG32" s="361"/>
      <c r="AH32" s="361"/>
      <c r="AJ32" s="10"/>
      <c r="AK32" s="22"/>
      <c r="AL32" s="23"/>
      <c r="AM32" s="23">
        <f t="shared" si="3"/>
        <v>3000</v>
      </c>
      <c r="AN32" s="11"/>
      <c r="AO32" s="39"/>
      <c r="AP32" s="36"/>
      <c r="AS32" s="10"/>
      <c r="AT32" s="22"/>
      <c r="AU32" s="23"/>
      <c r="AV32" s="23">
        <f t="shared" si="4"/>
        <v>0</v>
      </c>
      <c r="AW32" s="11"/>
      <c r="AX32" s="39"/>
      <c r="AY32" s="36"/>
      <c r="BA32" s="10"/>
      <c r="BB32" s="22"/>
      <c r="BC32" s="23"/>
      <c r="BD32" s="23">
        <f t="shared" si="5"/>
        <v>0</v>
      </c>
      <c r="BE32" s="11"/>
      <c r="BF32" s="39"/>
      <c r="BG32" s="36"/>
    </row>
    <row r="33" spans="3:59" x14ac:dyDescent="0.25">
      <c r="C33" s="10"/>
      <c r="D33" s="22"/>
      <c r="E33" s="23"/>
      <c r="F33" s="23">
        <f t="shared" si="0"/>
        <v>7000</v>
      </c>
      <c r="G33" s="11"/>
      <c r="H33" s="39"/>
      <c r="I33" s="36"/>
      <c r="J33" s="361"/>
      <c r="N33" s="10"/>
      <c r="O33" s="22"/>
      <c r="P33" s="23"/>
      <c r="Q33" s="23">
        <f t="shared" si="1"/>
        <v>7000</v>
      </c>
      <c r="R33" s="11"/>
      <c r="S33" s="39"/>
      <c r="T33" s="36"/>
      <c r="U33" s="361"/>
      <c r="Y33" s="10"/>
      <c r="Z33" s="22"/>
      <c r="AA33" s="23"/>
      <c r="AB33" s="23">
        <f t="shared" si="2"/>
        <v>12000</v>
      </c>
      <c r="AC33" s="11"/>
      <c r="AD33" s="39"/>
      <c r="AE33" s="36"/>
      <c r="AF33" s="361"/>
      <c r="AG33" s="361"/>
      <c r="AH33" s="361"/>
      <c r="AJ33" s="10"/>
      <c r="AK33" s="22"/>
      <c r="AL33" s="23"/>
      <c r="AM33" s="23">
        <f t="shared" si="3"/>
        <v>3000</v>
      </c>
      <c r="AN33" s="11"/>
      <c r="AO33" s="39"/>
      <c r="AP33" s="36"/>
      <c r="AS33" s="10"/>
      <c r="AT33" s="22"/>
      <c r="AU33" s="23"/>
      <c r="AV33" s="23">
        <f t="shared" si="4"/>
        <v>0</v>
      </c>
      <c r="AW33" s="11"/>
      <c r="AX33" s="39"/>
      <c r="AY33" s="36"/>
      <c r="BA33" s="10"/>
      <c r="BB33" s="22"/>
      <c r="BC33" s="23"/>
      <c r="BD33" s="23">
        <f t="shared" si="5"/>
        <v>0</v>
      </c>
      <c r="BE33" s="11"/>
      <c r="BF33" s="39"/>
      <c r="BG33" s="36"/>
    </row>
    <row r="34" spans="3:59" x14ac:dyDescent="0.25">
      <c r="C34" s="10"/>
      <c r="D34" s="22"/>
      <c r="E34" s="23"/>
      <c r="F34" s="23">
        <f t="shared" si="0"/>
        <v>7000</v>
      </c>
      <c r="G34" s="11"/>
      <c r="H34" s="39"/>
      <c r="I34" s="36"/>
      <c r="J34" s="361"/>
      <c r="N34" s="10"/>
      <c r="O34" s="22"/>
      <c r="P34" s="23"/>
      <c r="Q34" s="23">
        <f t="shared" si="1"/>
        <v>7000</v>
      </c>
      <c r="R34" s="11"/>
      <c r="S34" s="39"/>
      <c r="T34" s="36"/>
      <c r="U34" s="361"/>
      <c r="Y34" s="10"/>
      <c r="Z34" s="22"/>
      <c r="AA34" s="23"/>
      <c r="AB34" s="23">
        <f t="shared" si="2"/>
        <v>12000</v>
      </c>
      <c r="AC34" s="11"/>
      <c r="AD34" s="39"/>
      <c r="AE34" s="36"/>
      <c r="AF34" s="361"/>
      <c r="AG34" s="361"/>
      <c r="AH34" s="361"/>
      <c r="AJ34" s="10"/>
      <c r="AK34" s="22"/>
      <c r="AL34" s="23">
        <v>200</v>
      </c>
      <c r="AM34" s="23">
        <f t="shared" si="3"/>
        <v>2800</v>
      </c>
      <c r="AN34" s="11"/>
      <c r="AO34" s="39"/>
      <c r="AP34" s="36"/>
      <c r="AS34" s="10"/>
      <c r="AT34" s="22"/>
      <c r="AU34" s="23"/>
      <c r="AV34" s="23">
        <f t="shared" si="4"/>
        <v>0</v>
      </c>
      <c r="AW34" s="11"/>
      <c r="AX34" s="39"/>
      <c r="AY34" s="36"/>
      <c r="BA34" s="10"/>
      <c r="BB34" s="22"/>
      <c r="BC34" s="23"/>
      <c r="BD34" s="23">
        <f t="shared" si="5"/>
        <v>0</v>
      </c>
      <c r="BE34" s="11"/>
      <c r="BF34" s="39"/>
      <c r="BG34" s="36"/>
    </row>
    <row r="35" spans="3:59" x14ac:dyDescent="0.25">
      <c r="C35" s="10"/>
      <c r="D35" s="22"/>
      <c r="E35" s="23"/>
      <c r="F35" s="23">
        <f t="shared" si="0"/>
        <v>7000</v>
      </c>
      <c r="G35" s="11"/>
      <c r="H35" s="39"/>
      <c r="I35" s="36"/>
      <c r="J35" s="361"/>
      <c r="N35" s="10"/>
      <c r="O35" s="22"/>
      <c r="P35" s="23"/>
      <c r="Q35" s="23">
        <f t="shared" si="1"/>
        <v>7000</v>
      </c>
      <c r="R35" s="11"/>
      <c r="S35" s="39"/>
      <c r="T35" s="36"/>
      <c r="U35" s="361"/>
      <c r="Y35" s="10"/>
      <c r="Z35" s="22"/>
      <c r="AA35" s="23"/>
      <c r="AB35" s="23">
        <f t="shared" si="2"/>
        <v>12000</v>
      </c>
      <c r="AC35" s="11"/>
      <c r="AD35" s="39"/>
      <c r="AE35" s="36"/>
      <c r="AF35" s="361"/>
      <c r="AG35" s="361"/>
      <c r="AH35" s="361"/>
      <c r="AJ35" s="10"/>
      <c r="AK35" s="22"/>
      <c r="AL35" s="23"/>
      <c r="AM35" s="23">
        <f t="shared" si="3"/>
        <v>2800</v>
      </c>
      <c r="AN35" s="11"/>
      <c r="AO35" s="39"/>
      <c r="AP35" s="36"/>
      <c r="AS35" s="10"/>
      <c r="AT35" s="22"/>
      <c r="AU35" s="23"/>
      <c r="AV35" s="23">
        <f t="shared" si="4"/>
        <v>0</v>
      </c>
      <c r="AW35" s="11"/>
      <c r="AX35" s="39"/>
      <c r="AY35" s="36"/>
      <c r="BA35" s="10"/>
      <c r="BB35" s="22"/>
      <c r="BC35" s="23"/>
      <c r="BD35" s="23">
        <f t="shared" si="5"/>
        <v>0</v>
      </c>
      <c r="BE35" s="11"/>
      <c r="BF35" s="39"/>
      <c r="BG35" s="36"/>
    </row>
    <row r="36" spans="3:59" x14ac:dyDescent="0.25">
      <c r="C36" s="10"/>
      <c r="D36" s="22"/>
      <c r="E36" s="23"/>
      <c r="F36" s="23">
        <f t="shared" si="0"/>
        <v>7000</v>
      </c>
      <c r="G36" s="11"/>
      <c r="H36" s="39"/>
      <c r="I36" s="36"/>
      <c r="J36" s="361"/>
      <c r="N36" s="10"/>
      <c r="O36" s="22"/>
      <c r="P36" s="23"/>
      <c r="Q36" s="23">
        <f t="shared" si="1"/>
        <v>7000</v>
      </c>
      <c r="R36" s="11"/>
      <c r="S36" s="39"/>
      <c r="T36" s="36"/>
      <c r="U36" s="361"/>
      <c r="Y36" s="10"/>
      <c r="Z36" s="22"/>
      <c r="AA36" s="23"/>
      <c r="AB36" s="23">
        <f t="shared" si="2"/>
        <v>12000</v>
      </c>
      <c r="AC36" s="11"/>
      <c r="AD36" s="39"/>
      <c r="AE36" s="36"/>
      <c r="AF36" s="361" t="s">
        <v>72</v>
      </c>
      <c r="AG36" s="361"/>
      <c r="AH36" s="361"/>
      <c r="AJ36" s="10"/>
      <c r="AK36" s="22"/>
      <c r="AL36" s="23"/>
      <c r="AM36" s="23">
        <f t="shared" si="3"/>
        <v>2800</v>
      </c>
      <c r="AN36" s="11"/>
      <c r="AO36" s="39"/>
      <c r="AP36" s="36"/>
      <c r="AS36" s="10"/>
      <c r="AT36" s="22"/>
      <c r="AU36" s="23"/>
      <c r="AV36" s="23">
        <f t="shared" si="4"/>
        <v>0</v>
      </c>
      <c r="AW36" s="11"/>
      <c r="AX36" s="39"/>
      <c r="AY36" s="36"/>
      <c r="BA36" s="10"/>
      <c r="BB36" s="22"/>
      <c r="BC36" s="23"/>
      <c r="BD36" s="23">
        <f t="shared" si="5"/>
        <v>0</v>
      </c>
      <c r="BE36" s="11"/>
      <c r="BF36" s="39"/>
      <c r="BG36" s="36"/>
    </row>
    <row r="37" spans="3:59" x14ac:dyDescent="0.25">
      <c r="C37" s="10"/>
      <c r="D37" s="22"/>
      <c r="E37" s="23"/>
      <c r="F37" s="23">
        <f t="shared" si="0"/>
        <v>7000</v>
      </c>
      <c r="G37" s="11"/>
      <c r="H37" s="39"/>
      <c r="I37" s="36"/>
      <c r="J37" s="361"/>
      <c r="N37" s="10"/>
      <c r="O37" s="22"/>
      <c r="P37" s="23"/>
      <c r="Q37" s="23">
        <f t="shared" si="1"/>
        <v>7000</v>
      </c>
      <c r="R37" s="11"/>
      <c r="S37" s="39"/>
      <c r="T37" s="36"/>
      <c r="U37" s="361"/>
      <c r="Y37" s="10"/>
      <c r="Z37" s="22"/>
      <c r="AA37" s="23"/>
      <c r="AB37" s="23">
        <f t="shared" si="2"/>
        <v>12000</v>
      </c>
      <c r="AC37" s="11"/>
      <c r="AD37" s="39"/>
      <c r="AE37" s="36"/>
      <c r="AF37" s="361"/>
      <c r="AG37" s="361"/>
      <c r="AH37" s="361"/>
      <c r="AJ37" s="10"/>
      <c r="AK37" s="22"/>
      <c r="AL37" s="23"/>
      <c r="AM37" s="23">
        <f t="shared" si="3"/>
        <v>2800</v>
      </c>
      <c r="AN37" s="11"/>
      <c r="AO37" s="39"/>
      <c r="AP37" s="36"/>
      <c r="AS37" s="10"/>
      <c r="AT37" s="22"/>
      <c r="AU37" s="23"/>
      <c r="AV37" s="23">
        <f t="shared" si="4"/>
        <v>0</v>
      </c>
      <c r="AW37" s="11"/>
      <c r="AX37" s="39"/>
      <c r="AY37" s="36"/>
      <c r="BA37" s="10"/>
      <c r="BB37" s="22"/>
      <c r="BC37" s="23"/>
      <c r="BD37" s="23">
        <f t="shared" si="5"/>
        <v>0</v>
      </c>
      <c r="BE37" s="11"/>
      <c r="BF37" s="39"/>
      <c r="BG37" s="36"/>
    </row>
    <row r="38" spans="3:59" x14ac:dyDescent="0.25">
      <c r="C38" s="10"/>
      <c r="D38" s="22"/>
      <c r="E38" s="23"/>
      <c r="F38" s="23">
        <f t="shared" si="0"/>
        <v>7000</v>
      </c>
      <c r="G38" s="11"/>
      <c r="H38" s="39"/>
      <c r="I38" s="36"/>
      <c r="J38" s="361"/>
      <c r="N38" s="10"/>
      <c r="O38" s="22"/>
      <c r="P38" s="23"/>
      <c r="Q38" s="23">
        <f t="shared" si="1"/>
        <v>7000</v>
      </c>
      <c r="R38" s="11"/>
      <c r="S38" s="39"/>
      <c r="T38" s="36"/>
      <c r="U38" s="361"/>
      <c r="Y38" s="10"/>
      <c r="Z38" s="22"/>
      <c r="AA38" s="23"/>
      <c r="AB38" s="23">
        <f t="shared" si="2"/>
        <v>12000</v>
      </c>
      <c r="AC38" s="11"/>
      <c r="AD38" s="39"/>
      <c r="AE38" s="36"/>
      <c r="AF38" s="361"/>
      <c r="AG38" s="361"/>
      <c r="AH38" s="361"/>
      <c r="AJ38" s="10"/>
      <c r="AK38" s="22"/>
      <c r="AL38" s="23"/>
      <c r="AM38" s="23">
        <f t="shared" si="3"/>
        <v>2800</v>
      </c>
      <c r="AN38" s="11"/>
      <c r="AO38" s="39"/>
      <c r="AP38" s="36"/>
      <c r="AS38" s="10"/>
      <c r="AT38" s="22"/>
      <c r="AU38" s="23"/>
      <c r="AV38" s="23">
        <f t="shared" si="4"/>
        <v>0</v>
      </c>
      <c r="AW38" s="11"/>
      <c r="AX38" s="39"/>
      <c r="AY38" s="36"/>
      <c r="BA38" s="10"/>
      <c r="BB38" s="22"/>
      <c r="BC38" s="23"/>
      <c r="BD38" s="23">
        <f t="shared" si="5"/>
        <v>0</v>
      </c>
      <c r="BE38" s="11"/>
      <c r="BF38" s="39"/>
      <c r="BG38" s="36"/>
    </row>
    <row r="39" spans="3:59" x14ac:dyDescent="0.25">
      <c r="C39" s="10"/>
      <c r="D39" s="22"/>
      <c r="E39" s="23"/>
      <c r="F39" s="23">
        <f t="shared" si="0"/>
        <v>7000</v>
      </c>
      <c r="G39" s="11"/>
      <c r="H39" s="39"/>
      <c r="I39" s="36"/>
      <c r="J39" s="361"/>
      <c r="N39" s="10"/>
      <c r="O39" s="22"/>
      <c r="P39" s="23"/>
      <c r="Q39" s="23">
        <f t="shared" si="1"/>
        <v>7000</v>
      </c>
      <c r="R39" s="11"/>
      <c r="S39" s="39"/>
      <c r="T39" s="36"/>
      <c r="U39" s="361"/>
      <c r="Y39" s="10"/>
      <c r="Z39" s="22"/>
      <c r="AA39" s="23"/>
      <c r="AB39" s="23">
        <f t="shared" si="2"/>
        <v>12000</v>
      </c>
      <c r="AC39" s="11"/>
      <c r="AD39" s="39"/>
      <c r="AE39" s="36"/>
      <c r="AF39" s="361"/>
      <c r="AG39" s="361"/>
      <c r="AH39" s="361"/>
      <c r="AJ39" s="10"/>
      <c r="AK39" s="22"/>
      <c r="AL39" s="23"/>
      <c r="AM39" s="23">
        <f t="shared" si="3"/>
        <v>2800</v>
      </c>
      <c r="AN39" s="11"/>
      <c r="AO39" s="39"/>
      <c r="AP39" s="36"/>
      <c r="AS39" s="10"/>
      <c r="AT39" s="22"/>
      <c r="AU39" s="23"/>
      <c r="AV39" s="23">
        <f t="shared" si="4"/>
        <v>0</v>
      </c>
      <c r="AW39" s="11"/>
      <c r="AX39" s="39"/>
      <c r="AY39" s="36"/>
      <c r="BA39" s="10"/>
      <c r="BB39" s="22"/>
      <c r="BC39" s="23"/>
      <c r="BD39" s="23">
        <f t="shared" si="5"/>
        <v>0</v>
      </c>
      <c r="BE39" s="11"/>
      <c r="BF39" s="39"/>
      <c r="BG39" s="36"/>
    </row>
    <row r="40" spans="3:59" x14ac:dyDescent="0.25">
      <c r="C40" s="10"/>
      <c r="D40" s="22"/>
      <c r="E40" s="23"/>
      <c r="F40" s="23">
        <f t="shared" si="0"/>
        <v>7000</v>
      </c>
      <c r="G40" s="11"/>
      <c r="H40" s="39"/>
      <c r="I40" s="36"/>
      <c r="J40" s="361"/>
      <c r="N40" s="10"/>
      <c r="O40" s="22"/>
      <c r="P40" s="23"/>
      <c r="Q40" s="23">
        <f t="shared" si="1"/>
        <v>7000</v>
      </c>
      <c r="R40" s="11"/>
      <c r="S40" s="39"/>
      <c r="T40" s="36"/>
      <c r="U40" s="361"/>
      <c r="Y40" s="10"/>
      <c r="Z40" s="22"/>
      <c r="AA40" s="23"/>
      <c r="AB40" s="23">
        <f t="shared" si="2"/>
        <v>12000</v>
      </c>
      <c r="AC40" s="11"/>
      <c r="AD40" s="39"/>
      <c r="AE40" s="36"/>
      <c r="AF40" s="361"/>
      <c r="AG40" s="361"/>
      <c r="AH40" s="361"/>
      <c r="AJ40" s="10"/>
      <c r="AK40" s="22"/>
      <c r="AL40" s="23"/>
      <c r="AM40" s="23">
        <f t="shared" si="3"/>
        <v>2800</v>
      </c>
      <c r="AN40" s="11"/>
      <c r="AO40" s="39"/>
      <c r="AP40" s="36"/>
      <c r="AS40" s="10"/>
      <c r="AT40" s="22"/>
      <c r="AU40" s="23"/>
      <c r="AV40" s="23">
        <f t="shared" si="4"/>
        <v>0</v>
      </c>
      <c r="AW40" s="11"/>
      <c r="AX40" s="39"/>
      <c r="AY40" s="36"/>
      <c r="BA40" s="10"/>
      <c r="BB40" s="22"/>
      <c r="BC40" s="23"/>
      <c r="BD40" s="23">
        <f t="shared" si="5"/>
        <v>0</v>
      </c>
      <c r="BE40" s="11"/>
      <c r="BF40" s="39"/>
      <c r="BG40" s="36"/>
    </row>
    <row r="41" spans="3:59" x14ac:dyDescent="0.25">
      <c r="C41" s="10"/>
      <c r="D41" s="22"/>
      <c r="E41" s="23"/>
      <c r="F41" s="23">
        <f t="shared" si="0"/>
        <v>7000</v>
      </c>
      <c r="G41" s="11"/>
      <c r="H41" s="39"/>
      <c r="I41" s="36"/>
      <c r="J41" s="361"/>
      <c r="N41" s="10"/>
      <c r="O41" s="22"/>
      <c r="P41" s="23"/>
      <c r="Q41" s="23">
        <f t="shared" si="1"/>
        <v>7000</v>
      </c>
      <c r="R41" s="11"/>
      <c r="S41" s="39"/>
      <c r="T41" s="36"/>
      <c r="U41" s="361"/>
      <c r="Y41" s="10"/>
      <c r="Z41" s="22"/>
      <c r="AA41" s="23"/>
      <c r="AB41" s="23">
        <f t="shared" si="2"/>
        <v>12000</v>
      </c>
      <c r="AC41" s="11"/>
      <c r="AD41" s="39"/>
      <c r="AE41" s="36"/>
      <c r="AF41" s="361"/>
      <c r="AG41" s="361"/>
      <c r="AH41" s="361"/>
      <c r="AJ41" s="10"/>
      <c r="AK41" s="22"/>
      <c r="AL41" s="23"/>
      <c r="AM41" s="23">
        <f t="shared" si="3"/>
        <v>2800</v>
      </c>
      <c r="AN41" s="11"/>
      <c r="AO41" s="39"/>
      <c r="AP41" s="36"/>
      <c r="AS41" s="10"/>
      <c r="AT41" s="22"/>
      <c r="AU41" s="23"/>
      <c r="AV41" s="23">
        <f t="shared" si="4"/>
        <v>0</v>
      </c>
      <c r="AW41" s="11"/>
      <c r="AX41" s="39"/>
      <c r="AY41" s="36"/>
      <c r="BA41" s="10"/>
      <c r="BB41" s="22"/>
      <c r="BC41" s="23"/>
      <c r="BD41" s="23">
        <f t="shared" si="5"/>
        <v>0</v>
      </c>
      <c r="BE41" s="11"/>
      <c r="BF41" s="39"/>
      <c r="BG41" s="36"/>
    </row>
    <row r="42" spans="3:59" x14ac:dyDescent="0.25">
      <c r="C42" s="10"/>
      <c r="D42" s="22"/>
      <c r="E42" s="23"/>
      <c r="F42" s="23">
        <f t="shared" si="0"/>
        <v>7000</v>
      </c>
      <c r="G42" s="11"/>
      <c r="H42" s="39"/>
      <c r="I42" s="36"/>
      <c r="J42" s="361"/>
      <c r="N42" s="10"/>
      <c r="O42" s="22"/>
      <c r="P42" s="23"/>
      <c r="Q42" s="23">
        <f t="shared" si="1"/>
        <v>7000</v>
      </c>
      <c r="R42" s="11"/>
      <c r="S42" s="39"/>
      <c r="T42" s="36"/>
      <c r="U42" s="361"/>
      <c r="Y42" s="10"/>
      <c r="Z42" s="22"/>
      <c r="AA42" s="23"/>
      <c r="AB42" s="23">
        <f t="shared" si="2"/>
        <v>12000</v>
      </c>
      <c r="AC42" s="11"/>
      <c r="AD42" s="39"/>
      <c r="AE42" s="36"/>
      <c r="AF42" s="361"/>
      <c r="AG42" s="361"/>
      <c r="AH42" s="361"/>
      <c r="AJ42" s="10"/>
      <c r="AK42" s="22"/>
      <c r="AL42" s="23"/>
      <c r="AM42" s="23">
        <f t="shared" si="3"/>
        <v>2800</v>
      </c>
      <c r="AN42" s="11"/>
      <c r="AO42" s="39"/>
      <c r="AP42" s="36"/>
      <c r="AS42" s="10"/>
      <c r="AT42" s="22"/>
      <c r="AU42" s="23"/>
      <c r="AV42" s="23">
        <f t="shared" si="4"/>
        <v>0</v>
      </c>
      <c r="AW42" s="11"/>
      <c r="AX42" s="39"/>
      <c r="AY42" s="36"/>
      <c r="BA42" s="10"/>
      <c r="BB42" s="22"/>
      <c r="BC42" s="23"/>
      <c r="BD42" s="23">
        <f t="shared" si="5"/>
        <v>0</v>
      </c>
      <c r="BE42" s="11"/>
      <c r="BF42" s="39"/>
      <c r="BG42" s="36"/>
    </row>
    <row r="43" spans="3:59" x14ac:dyDescent="0.25">
      <c r="C43" s="10"/>
      <c r="D43" s="22"/>
      <c r="E43" s="23"/>
      <c r="F43" s="23">
        <f t="shared" si="0"/>
        <v>7000</v>
      </c>
      <c r="G43" s="11"/>
      <c r="H43" s="39"/>
      <c r="I43" s="36"/>
      <c r="J43" s="361"/>
      <c r="N43" s="10"/>
      <c r="O43" s="23"/>
      <c r="P43" s="23"/>
      <c r="Q43" s="23">
        <f t="shared" si="1"/>
        <v>7000</v>
      </c>
      <c r="R43" s="11"/>
      <c r="S43" s="39"/>
      <c r="T43" s="36"/>
      <c r="U43" s="361"/>
      <c r="Y43" s="10"/>
      <c r="Z43" s="22"/>
      <c r="AA43" s="23"/>
      <c r="AB43" s="23">
        <f t="shared" si="2"/>
        <v>12000</v>
      </c>
      <c r="AC43" s="11"/>
      <c r="AD43" s="39"/>
      <c r="AE43" s="36"/>
      <c r="AF43" s="361"/>
      <c r="AG43" s="361"/>
      <c r="AH43" s="361"/>
      <c r="AJ43" s="10"/>
      <c r="AK43" s="22"/>
      <c r="AL43" s="23"/>
      <c r="AM43" s="23">
        <f t="shared" si="3"/>
        <v>2800</v>
      </c>
      <c r="AN43" s="11"/>
      <c r="AO43" s="39"/>
      <c r="AP43" s="36"/>
      <c r="AS43" s="10"/>
      <c r="AT43" s="22"/>
      <c r="AU43" s="23"/>
      <c r="AV43" s="23">
        <f t="shared" si="4"/>
        <v>0</v>
      </c>
      <c r="AW43" s="11"/>
      <c r="AX43" s="39"/>
      <c r="AY43" s="36"/>
      <c r="BA43" s="10"/>
      <c r="BB43" s="22"/>
      <c r="BC43" s="23"/>
      <c r="BD43" s="23">
        <f t="shared" si="5"/>
        <v>0</v>
      </c>
      <c r="BE43" s="11"/>
      <c r="BF43" s="39"/>
      <c r="BG43" s="36"/>
    </row>
    <row r="44" spans="3:59" x14ac:dyDescent="0.25">
      <c r="C44" s="10"/>
      <c r="D44" s="22"/>
      <c r="E44" s="23"/>
      <c r="F44" s="23">
        <f t="shared" si="0"/>
        <v>7000</v>
      </c>
      <c r="G44" s="11"/>
      <c r="H44" s="39"/>
      <c r="I44" s="36"/>
      <c r="J44" s="361"/>
      <c r="N44" s="10"/>
      <c r="O44" s="22"/>
      <c r="P44" s="23"/>
      <c r="Q44" s="23">
        <f t="shared" si="1"/>
        <v>7000</v>
      </c>
      <c r="R44" s="11"/>
      <c r="S44" s="39"/>
      <c r="T44" s="36"/>
      <c r="U44" s="361"/>
      <c r="Y44" s="10"/>
      <c r="Z44" s="22"/>
      <c r="AA44" s="23"/>
      <c r="AB44" s="23">
        <f t="shared" si="2"/>
        <v>12000</v>
      </c>
      <c r="AC44" s="11"/>
      <c r="AD44" s="39"/>
      <c r="AE44" s="36"/>
      <c r="AF44" s="361"/>
      <c r="AG44" s="361"/>
      <c r="AH44" s="361"/>
      <c r="AJ44" s="10"/>
      <c r="AK44" s="22"/>
      <c r="AL44" s="23"/>
      <c r="AM44" s="23">
        <f t="shared" si="3"/>
        <v>2800</v>
      </c>
      <c r="AN44" s="11"/>
      <c r="AO44" s="39"/>
      <c r="AP44" s="36"/>
      <c r="AS44" s="10"/>
      <c r="AT44" s="22"/>
      <c r="AU44" s="23"/>
      <c r="AV44" s="23">
        <f t="shared" si="4"/>
        <v>0</v>
      </c>
      <c r="AW44" s="11"/>
      <c r="AX44" s="39"/>
      <c r="AY44" s="36"/>
      <c r="BA44" s="10"/>
      <c r="BB44" s="22"/>
      <c r="BC44" s="23"/>
      <c r="BD44" s="23">
        <f t="shared" si="5"/>
        <v>0</v>
      </c>
      <c r="BE44" s="11"/>
      <c r="BF44" s="39"/>
      <c r="BG44" s="36"/>
    </row>
    <row r="45" spans="3:59" x14ac:dyDescent="0.25">
      <c r="C45" s="10"/>
      <c r="D45" s="22"/>
      <c r="E45" s="23"/>
      <c r="F45" s="23">
        <f t="shared" si="0"/>
        <v>7000</v>
      </c>
      <c r="G45" s="11"/>
      <c r="H45" s="39"/>
      <c r="I45" s="36"/>
      <c r="J45" s="361"/>
      <c r="N45" s="10"/>
      <c r="O45" s="22"/>
      <c r="P45" s="23"/>
      <c r="Q45" s="23">
        <f t="shared" si="1"/>
        <v>7000</v>
      </c>
      <c r="R45" s="11"/>
      <c r="S45" s="39"/>
      <c r="T45" s="36"/>
      <c r="U45" s="361"/>
      <c r="Y45" s="10"/>
      <c r="Z45" s="22"/>
      <c r="AA45" s="23"/>
      <c r="AB45" s="23">
        <f t="shared" si="2"/>
        <v>12000</v>
      </c>
      <c r="AC45" s="11"/>
      <c r="AD45" s="39"/>
      <c r="AE45" s="36"/>
      <c r="AF45" s="361"/>
      <c r="AG45" s="361"/>
      <c r="AH45" s="361"/>
      <c r="AJ45" s="10"/>
      <c r="AK45" s="22"/>
      <c r="AL45" s="23"/>
      <c r="AM45" s="23">
        <f t="shared" si="3"/>
        <v>2800</v>
      </c>
      <c r="AN45" s="11"/>
      <c r="AO45" s="39"/>
      <c r="AP45" s="36"/>
      <c r="AS45" s="10"/>
      <c r="AT45" s="22"/>
      <c r="AU45" s="23"/>
      <c r="AV45" s="23">
        <f t="shared" si="4"/>
        <v>0</v>
      </c>
      <c r="AW45" s="11"/>
      <c r="AX45" s="39"/>
      <c r="AY45" s="36"/>
      <c r="BA45" s="10"/>
      <c r="BB45" s="22"/>
      <c r="BC45" s="23"/>
      <c r="BD45" s="23">
        <f t="shared" si="5"/>
        <v>0</v>
      </c>
      <c r="BE45" s="11"/>
      <c r="BF45" s="39"/>
      <c r="BG45" s="36"/>
    </row>
    <row r="46" spans="3:59" x14ac:dyDescent="0.25">
      <c r="C46" s="10"/>
      <c r="D46" s="22"/>
      <c r="E46" s="23"/>
      <c r="F46" s="23">
        <f t="shared" si="0"/>
        <v>7000</v>
      </c>
      <c r="G46" s="11"/>
      <c r="H46" s="39"/>
      <c r="I46" s="36"/>
      <c r="J46" s="361"/>
      <c r="N46" s="10"/>
      <c r="O46" s="22"/>
      <c r="P46" s="23"/>
      <c r="Q46" s="23">
        <f t="shared" ref="Q46:Q70" si="6">SUM(Q45,O46,-P46)</f>
        <v>7000</v>
      </c>
      <c r="R46" s="11"/>
      <c r="S46" s="39"/>
      <c r="T46" s="36"/>
      <c r="U46" s="361"/>
      <c r="Y46" s="10"/>
      <c r="Z46" s="22"/>
      <c r="AA46" s="23"/>
      <c r="AB46" s="23">
        <f t="shared" si="2"/>
        <v>12000</v>
      </c>
      <c r="AC46" s="11"/>
      <c r="AD46" s="39"/>
      <c r="AE46" s="36"/>
      <c r="AF46" s="361"/>
      <c r="AG46" s="361"/>
      <c r="AH46" s="361"/>
      <c r="AJ46" s="10"/>
      <c r="AK46" s="22"/>
      <c r="AL46" s="23"/>
      <c r="AM46" s="23">
        <f t="shared" si="3"/>
        <v>2800</v>
      </c>
      <c r="AN46" s="11"/>
      <c r="AO46" s="39"/>
      <c r="AP46" s="36"/>
      <c r="AS46" s="10"/>
      <c r="AT46" s="22"/>
      <c r="AU46" s="23"/>
      <c r="AV46" s="23">
        <f t="shared" si="4"/>
        <v>0</v>
      </c>
      <c r="AW46" s="11"/>
      <c r="AX46" s="39"/>
      <c r="AY46" s="36"/>
      <c r="BA46" s="10"/>
      <c r="BB46" s="22"/>
      <c r="BC46" s="23"/>
      <c r="BD46" s="23">
        <f t="shared" si="5"/>
        <v>0</v>
      </c>
      <c r="BE46" s="11"/>
      <c r="BF46" s="39"/>
      <c r="BG46" s="36"/>
    </row>
    <row r="47" spans="3:59" x14ac:dyDescent="0.25">
      <c r="C47" s="10"/>
      <c r="D47" s="22"/>
      <c r="E47" s="23"/>
      <c r="F47" s="23">
        <f t="shared" si="0"/>
        <v>7000</v>
      </c>
      <c r="G47" s="11"/>
      <c r="H47" s="39"/>
      <c r="I47" s="36"/>
      <c r="J47" s="361"/>
      <c r="N47" s="10"/>
      <c r="O47" s="22"/>
      <c r="P47" s="23"/>
      <c r="Q47" s="23">
        <f t="shared" si="6"/>
        <v>7000</v>
      </c>
      <c r="R47" s="11"/>
      <c r="S47" s="39"/>
      <c r="T47" s="36"/>
      <c r="U47" s="361"/>
      <c r="Y47" s="10"/>
      <c r="Z47" s="22"/>
      <c r="AA47" s="23"/>
      <c r="AB47" s="23">
        <f t="shared" si="2"/>
        <v>12000</v>
      </c>
      <c r="AC47" s="11"/>
      <c r="AD47" s="39"/>
      <c r="AE47" s="36"/>
      <c r="AF47" s="361"/>
      <c r="AG47" s="361"/>
      <c r="AH47" s="361"/>
      <c r="AJ47" s="10"/>
      <c r="AK47" s="22"/>
      <c r="AL47" s="23"/>
      <c r="AM47" s="23">
        <f t="shared" si="3"/>
        <v>2800</v>
      </c>
      <c r="AN47" s="11"/>
      <c r="AO47" s="39"/>
      <c r="AP47" s="36"/>
      <c r="AS47" s="10"/>
      <c r="AT47" s="22"/>
      <c r="AU47" s="23"/>
      <c r="AV47" s="23">
        <f t="shared" si="4"/>
        <v>0</v>
      </c>
      <c r="AW47" s="11"/>
      <c r="AX47" s="39"/>
      <c r="AY47" s="36"/>
      <c r="BA47" s="10"/>
      <c r="BB47" s="22"/>
      <c r="BC47" s="23"/>
      <c r="BD47" s="23">
        <f t="shared" si="5"/>
        <v>0</v>
      </c>
      <c r="BE47" s="11"/>
      <c r="BF47" s="39"/>
      <c r="BG47" s="36"/>
    </row>
    <row r="48" spans="3:59" x14ac:dyDescent="0.25">
      <c r="C48" s="10"/>
      <c r="D48" s="22"/>
      <c r="E48" s="23"/>
      <c r="F48" s="23">
        <f t="shared" si="0"/>
        <v>7000</v>
      </c>
      <c r="G48" s="11"/>
      <c r="H48" s="39"/>
      <c r="I48" s="36"/>
      <c r="J48" s="361"/>
      <c r="N48" s="10"/>
      <c r="O48" s="22"/>
      <c r="P48" s="23"/>
      <c r="Q48" s="23">
        <f t="shared" si="6"/>
        <v>7000</v>
      </c>
      <c r="R48" s="11"/>
      <c r="S48" s="39"/>
      <c r="T48" s="36"/>
      <c r="U48" s="361"/>
      <c r="Y48" s="10"/>
      <c r="Z48" s="22"/>
      <c r="AA48" s="23"/>
      <c r="AB48" s="23">
        <f t="shared" si="2"/>
        <v>12000</v>
      </c>
      <c r="AC48" s="11"/>
      <c r="AD48" s="39"/>
      <c r="AE48" s="36"/>
      <c r="AF48" s="361"/>
      <c r="AG48" s="361"/>
      <c r="AH48" s="361"/>
      <c r="AJ48" s="10"/>
      <c r="AK48" s="22"/>
      <c r="AL48" s="23"/>
      <c r="AM48" s="23">
        <f t="shared" si="3"/>
        <v>2800</v>
      </c>
      <c r="AN48" s="11"/>
      <c r="AO48" s="39"/>
      <c r="AP48" s="36"/>
      <c r="AS48" s="10"/>
      <c r="AT48" s="22"/>
      <c r="AU48" s="23"/>
      <c r="AV48" s="23">
        <f t="shared" si="4"/>
        <v>0</v>
      </c>
      <c r="AW48" s="11"/>
      <c r="AX48" s="39"/>
      <c r="AY48" s="36"/>
      <c r="BA48" s="10"/>
      <c r="BB48" s="22"/>
      <c r="BC48" s="23"/>
      <c r="BD48" s="23">
        <f t="shared" si="5"/>
        <v>0</v>
      </c>
      <c r="BE48" s="11"/>
      <c r="BF48" s="39"/>
      <c r="BG48" s="36"/>
    </row>
    <row r="49" spans="3:59" x14ac:dyDescent="0.25">
      <c r="C49" s="10"/>
      <c r="D49" s="22"/>
      <c r="E49" s="23"/>
      <c r="F49" s="23">
        <f t="shared" si="0"/>
        <v>7000</v>
      </c>
      <c r="G49" s="11"/>
      <c r="H49" s="39"/>
      <c r="I49" s="36"/>
      <c r="J49" s="361"/>
      <c r="N49" s="10"/>
      <c r="O49" s="22"/>
      <c r="P49" s="23"/>
      <c r="Q49" s="23">
        <f t="shared" si="6"/>
        <v>7000</v>
      </c>
      <c r="R49" s="11"/>
      <c r="S49" s="39"/>
      <c r="T49" s="36"/>
      <c r="U49" s="361"/>
      <c r="Y49" s="10"/>
      <c r="Z49" s="22"/>
      <c r="AA49" s="23"/>
      <c r="AB49" s="23">
        <f t="shared" si="2"/>
        <v>12000</v>
      </c>
      <c r="AC49" s="11"/>
      <c r="AD49" s="39"/>
      <c r="AE49" s="36"/>
      <c r="AF49" s="361"/>
      <c r="AG49" s="361"/>
      <c r="AH49" s="361"/>
      <c r="AJ49" s="10"/>
      <c r="AK49" s="22"/>
      <c r="AL49" s="23"/>
      <c r="AM49" s="23">
        <f t="shared" si="3"/>
        <v>2800</v>
      </c>
      <c r="AN49" s="11"/>
      <c r="AO49" s="39"/>
      <c r="AP49" s="36"/>
      <c r="AS49" s="10"/>
      <c r="AT49" s="22"/>
      <c r="AU49" s="23"/>
      <c r="AV49" s="23">
        <f t="shared" si="4"/>
        <v>0</v>
      </c>
      <c r="AW49" s="11"/>
      <c r="AX49" s="39"/>
      <c r="AY49" s="36"/>
      <c r="BA49" s="10"/>
      <c r="BB49" s="22"/>
      <c r="BC49" s="23"/>
      <c r="BD49" s="23">
        <f t="shared" si="5"/>
        <v>0</v>
      </c>
      <c r="BE49" s="11"/>
      <c r="BF49" s="39"/>
      <c r="BG49" s="36"/>
    </row>
    <row r="50" spans="3:59" x14ac:dyDescent="0.25">
      <c r="C50" s="19"/>
      <c r="D50" s="22"/>
      <c r="E50" s="23"/>
      <c r="F50" s="23">
        <f t="shared" si="0"/>
        <v>7000</v>
      </c>
      <c r="G50" s="11"/>
      <c r="H50" s="39"/>
      <c r="I50" s="36"/>
      <c r="J50" s="361"/>
      <c r="N50" s="19"/>
      <c r="O50" s="22"/>
      <c r="P50" s="23"/>
      <c r="Q50" s="23">
        <f t="shared" si="6"/>
        <v>7000</v>
      </c>
      <c r="R50" s="11"/>
      <c r="S50" s="39"/>
      <c r="T50" s="36"/>
      <c r="U50" s="361"/>
      <c r="Y50" s="19"/>
      <c r="Z50" s="22"/>
      <c r="AA50" s="23"/>
      <c r="AB50" s="23">
        <f t="shared" si="2"/>
        <v>12000</v>
      </c>
      <c r="AC50" s="11"/>
      <c r="AD50" s="39"/>
      <c r="AE50" s="36"/>
      <c r="AF50" s="361"/>
      <c r="AG50" s="361"/>
      <c r="AH50" s="361"/>
      <c r="AJ50" s="19"/>
      <c r="AK50" s="22"/>
      <c r="AL50" s="23"/>
      <c r="AM50" s="23">
        <f t="shared" si="3"/>
        <v>2800</v>
      </c>
      <c r="AN50" s="11"/>
      <c r="AO50" s="39"/>
      <c r="AP50" s="36"/>
      <c r="AS50" s="19"/>
      <c r="AT50" s="22"/>
      <c r="AU50" s="23"/>
      <c r="AV50" s="23">
        <f t="shared" si="4"/>
        <v>0</v>
      </c>
      <c r="AW50" s="11"/>
      <c r="AX50" s="39"/>
      <c r="AY50" s="36"/>
      <c r="BA50" s="19"/>
      <c r="BB50" s="22"/>
      <c r="BC50" s="23"/>
      <c r="BD50" s="23">
        <f t="shared" si="5"/>
        <v>0</v>
      </c>
      <c r="BE50" s="11"/>
      <c r="BF50" s="39"/>
      <c r="BG50" s="36"/>
    </row>
    <row r="51" spans="3:59" x14ac:dyDescent="0.25">
      <c r="C51" s="10"/>
      <c r="D51" s="22"/>
      <c r="E51" s="23"/>
      <c r="F51" s="23">
        <f t="shared" si="0"/>
        <v>7000</v>
      </c>
      <c r="G51" s="11"/>
      <c r="H51" s="39"/>
      <c r="I51" s="36"/>
      <c r="J51" s="361"/>
      <c r="N51" s="10"/>
      <c r="O51" s="22"/>
      <c r="P51" s="23"/>
      <c r="Q51" s="23">
        <f t="shared" si="6"/>
        <v>7000</v>
      </c>
      <c r="R51" s="11"/>
      <c r="S51" s="39"/>
      <c r="T51" s="36"/>
      <c r="U51" s="361"/>
      <c r="Y51" s="10"/>
      <c r="Z51" s="22"/>
      <c r="AA51" s="23"/>
      <c r="AB51" s="23">
        <f t="shared" si="2"/>
        <v>12000</v>
      </c>
      <c r="AC51" s="11"/>
      <c r="AD51" s="39"/>
      <c r="AE51" s="36"/>
      <c r="AF51" s="361"/>
      <c r="AG51" s="361"/>
      <c r="AH51" s="361"/>
      <c r="AJ51" s="10"/>
      <c r="AK51" s="22"/>
      <c r="AL51" s="23"/>
      <c r="AM51" s="23">
        <f t="shared" si="3"/>
        <v>2800</v>
      </c>
      <c r="AN51" s="11"/>
      <c r="AO51" s="39"/>
      <c r="AP51" s="36"/>
      <c r="AS51" s="10"/>
      <c r="AT51" s="22"/>
      <c r="AU51" s="23"/>
      <c r="AV51" s="23">
        <f t="shared" si="4"/>
        <v>0</v>
      </c>
      <c r="AW51" s="11"/>
      <c r="AX51" s="39"/>
      <c r="AY51" s="36"/>
      <c r="BA51" s="10"/>
      <c r="BB51" s="22"/>
      <c r="BC51" s="23"/>
      <c r="BD51" s="23">
        <f t="shared" si="5"/>
        <v>0</v>
      </c>
      <c r="BE51" s="11"/>
      <c r="BF51" s="39"/>
      <c r="BG51" s="36"/>
    </row>
    <row r="52" spans="3:59" x14ac:dyDescent="0.25">
      <c r="C52" s="10"/>
      <c r="D52" s="22"/>
      <c r="E52" s="23"/>
      <c r="F52" s="23">
        <f t="shared" si="0"/>
        <v>7000</v>
      </c>
      <c r="G52" s="11"/>
      <c r="H52" s="39"/>
      <c r="I52" s="36"/>
      <c r="J52" s="361"/>
      <c r="N52" s="10"/>
      <c r="O52" s="22"/>
      <c r="P52" s="23"/>
      <c r="Q52" s="23">
        <f t="shared" si="6"/>
        <v>7000</v>
      </c>
      <c r="R52" s="11"/>
      <c r="S52" s="39"/>
      <c r="T52" s="36"/>
      <c r="U52" s="361"/>
      <c r="Y52" s="10"/>
      <c r="Z52" s="22"/>
      <c r="AA52" s="23"/>
      <c r="AB52" s="23">
        <f t="shared" si="2"/>
        <v>12000</v>
      </c>
      <c r="AC52" s="11"/>
      <c r="AD52" s="39"/>
      <c r="AE52" s="36"/>
      <c r="AF52" s="361"/>
      <c r="AG52" s="361"/>
      <c r="AH52" s="361"/>
      <c r="AJ52" s="10"/>
      <c r="AK52" s="22"/>
      <c r="AL52" s="23"/>
      <c r="AM52" s="23">
        <f t="shared" si="3"/>
        <v>2800</v>
      </c>
      <c r="AN52" s="11"/>
      <c r="AO52" s="39"/>
      <c r="AP52" s="36"/>
      <c r="AS52" s="10"/>
      <c r="AT52" s="22"/>
      <c r="AU52" s="23"/>
      <c r="AV52" s="23">
        <f t="shared" si="4"/>
        <v>0</v>
      </c>
      <c r="AW52" s="11"/>
      <c r="AX52" s="39"/>
      <c r="AY52" s="36"/>
      <c r="BA52" s="10"/>
      <c r="BB52" s="22"/>
      <c r="BC52" s="23"/>
      <c r="BD52" s="23">
        <f t="shared" si="5"/>
        <v>0</v>
      </c>
      <c r="BE52" s="11"/>
      <c r="BF52" s="39"/>
      <c r="BG52" s="36"/>
    </row>
    <row r="53" spans="3:59" x14ac:dyDescent="0.25">
      <c r="C53" s="10"/>
      <c r="D53" s="22"/>
      <c r="E53" s="23"/>
      <c r="F53" s="23">
        <f t="shared" si="0"/>
        <v>7000</v>
      </c>
      <c r="G53" s="11"/>
      <c r="H53" s="39"/>
      <c r="I53" s="36"/>
      <c r="J53" s="361"/>
      <c r="N53" s="10"/>
      <c r="O53" s="22"/>
      <c r="P53" s="23"/>
      <c r="Q53" s="23">
        <f t="shared" si="6"/>
        <v>7000</v>
      </c>
      <c r="R53" s="11"/>
      <c r="S53" s="39"/>
      <c r="T53" s="36"/>
      <c r="U53" s="361"/>
      <c r="Y53" s="10"/>
      <c r="Z53" s="22"/>
      <c r="AA53" s="23"/>
      <c r="AB53" s="23">
        <f t="shared" si="2"/>
        <v>12000</v>
      </c>
      <c r="AC53" s="11"/>
      <c r="AD53" s="39"/>
      <c r="AE53" s="36"/>
      <c r="AF53" s="361"/>
      <c r="AG53" s="361"/>
      <c r="AH53" s="361"/>
      <c r="AJ53" s="10"/>
      <c r="AK53" s="22"/>
      <c r="AL53" s="23"/>
      <c r="AM53" s="23">
        <f t="shared" si="3"/>
        <v>2800</v>
      </c>
      <c r="AN53" s="11"/>
      <c r="AO53" s="39"/>
      <c r="AP53" s="36"/>
      <c r="AS53" s="10"/>
      <c r="AT53" s="22"/>
      <c r="AU53" s="23"/>
      <c r="AV53" s="23">
        <f t="shared" si="4"/>
        <v>0</v>
      </c>
      <c r="AW53" s="11"/>
      <c r="AX53" s="39"/>
      <c r="AY53" s="36"/>
      <c r="BA53" s="10"/>
      <c r="BB53" s="22"/>
      <c r="BC53" s="23"/>
      <c r="BD53" s="23">
        <f t="shared" si="5"/>
        <v>0</v>
      </c>
      <c r="BE53" s="11"/>
      <c r="BF53" s="39"/>
      <c r="BG53" s="36"/>
    </row>
    <row r="54" spans="3:59" x14ac:dyDescent="0.25">
      <c r="C54" s="10"/>
      <c r="D54" s="22"/>
      <c r="E54" s="23"/>
      <c r="F54" s="23">
        <f t="shared" si="0"/>
        <v>7000</v>
      </c>
      <c r="G54" s="11"/>
      <c r="H54" s="39"/>
      <c r="I54" s="36"/>
      <c r="J54" s="361"/>
      <c r="N54" s="10"/>
      <c r="O54" s="22"/>
      <c r="P54" s="23"/>
      <c r="Q54" s="23">
        <f t="shared" si="6"/>
        <v>7000</v>
      </c>
      <c r="R54" s="11"/>
      <c r="S54" s="39"/>
      <c r="T54" s="36"/>
      <c r="U54" s="361"/>
      <c r="Y54" s="10"/>
      <c r="Z54" s="22"/>
      <c r="AA54" s="23"/>
      <c r="AB54" s="23">
        <f t="shared" si="2"/>
        <v>12000</v>
      </c>
      <c r="AC54" s="11"/>
      <c r="AD54" s="39"/>
      <c r="AE54" s="36"/>
      <c r="AF54" s="361"/>
      <c r="AG54" s="361"/>
      <c r="AH54" s="361"/>
      <c r="AJ54" s="10"/>
      <c r="AK54" s="22"/>
      <c r="AL54" s="23"/>
      <c r="AM54" s="23">
        <f t="shared" si="3"/>
        <v>2800</v>
      </c>
      <c r="AN54" s="11"/>
      <c r="AO54" s="39"/>
      <c r="AP54" s="36"/>
      <c r="AS54" s="10"/>
      <c r="AT54" s="22"/>
      <c r="AU54" s="23"/>
      <c r="AV54" s="23">
        <f t="shared" si="4"/>
        <v>0</v>
      </c>
      <c r="AW54" s="11"/>
      <c r="AX54" s="39"/>
      <c r="AY54" s="36"/>
      <c r="BA54" s="10"/>
      <c r="BB54" s="22"/>
      <c r="BC54" s="23"/>
      <c r="BD54" s="23">
        <f t="shared" si="5"/>
        <v>0</v>
      </c>
      <c r="BE54" s="11"/>
      <c r="BF54" s="39"/>
      <c r="BG54" s="36"/>
    </row>
    <row r="55" spans="3:59" x14ac:dyDescent="0.25">
      <c r="C55" s="46"/>
      <c r="D55" s="47"/>
      <c r="E55" s="48"/>
      <c r="F55" s="23">
        <f t="shared" si="0"/>
        <v>7000</v>
      </c>
      <c r="G55" s="38"/>
      <c r="H55" s="49"/>
      <c r="I55" s="36"/>
      <c r="J55" s="361"/>
      <c r="N55" s="46"/>
      <c r="O55" s="47"/>
      <c r="P55" s="48"/>
      <c r="Q55" s="23">
        <f t="shared" si="6"/>
        <v>7000</v>
      </c>
      <c r="R55" s="38"/>
      <c r="S55" s="49"/>
      <c r="T55" s="36"/>
      <c r="U55" s="361"/>
      <c r="Y55" s="46"/>
      <c r="Z55" s="47"/>
      <c r="AA55" s="48"/>
      <c r="AB55" s="23">
        <f t="shared" si="2"/>
        <v>12000</v>
      </c>
      <c r="AC55" s="38"/>
      <c r="AD55" s="49"/>
      <c r="AE55" s="36"/>
      <c r="AF55" s="361"/>
      <c r="AG55" s="361"/>
      <c r="AH55" s="361"/>
      <c r="AJ55" s="46"/>
      <c r="AK55" s="47"/>
      <c r="AL55" s="48"/>
      <c r="AM55" s="23">
        <f t="shared" si="3"/>
        <v>2800</v>
      </c>
      <c r="AN55" s="38"/>
      <c r="AO55" s="49"/>
      <c r="AP55" s="36"/>
      <c r="AS55" s="46"/>
      <c r="AT55" s="47"/>
      <c r="AU55" s="48"/>
      <c r="AV55" s="23">
        <f t="shared" si="4"/>
        <v>0</v>
      </c>
      <c r="AW55" s="38"/>
      <c r="AX55" s="49"/>
      <c r="AY55" s="36"/>
      <c r="BA55" s="46"/>
      <c r="BB55" s="47"/>
      <c r="BC55" s="48"/>
      <c r="BD55" s="23">
        <f t="shared" si="5"/>
        <v>0</v>
      </c>
      <c r="BE55" s="38"/>
      <c r="BF55" s="49"/>
      <c r="BG55" s="36"/>
    </row>
    <row r="56" spans="3:59" x14ac:dyDescent="0.25">
      <c r="C56" s="46"/>
      <c r="D56" s="47"/>
      <c r="E56" s="48"/>
      <c r="F56" s="23">
        <f t="shared" si="0"/>
        <v>7000</v>
      </c>
      <c r="G56" s="38"/>
      <c r="H56" s="49"/>
      <c r="I56" s="36"/>
      <c r="J56" s="361"/>
      <c r="N56" s="46"/>
      <c r="O56" s="47"/>
      <c r="P56" s="48"/>
      <c r="Q56" s="23">
        <f t="shared" si="6"/>
        <v>7000</v>
      </c>
      <c r="R56" s="38"/>
      <c r="S56" s="49"/>
      <c r="T56" s="36"/>
      <c r="U56" s="361"/>
      <c r="Y56" s="46"/>
      <c r="Z56" s="47"/>
      <c r="AA56" s="48"/>
      <c r="AB56" s="23">
        <f t="shared" si="2"/>
        <v>12000</v>
      </c>
      <c r="AC56" s="38"/>
      <c r="AD56" s="49"/>
      <c r="AE56" s="36"/>
      <c r="AF56" s="361"/>
      <c r="AG56" s="361"/>
      <c r="AH56" s="361"/>
      <c r="AJ56" s="46"/>
      <c r="AK56" s="47"/>
      <c r="AL56" s="48"/>
      <c r="AM56" s="23">
        <f t="shared" si="3"/>
        <v>2800</v>
      </c>
      <c r="AN56" s="38"/>
      <c r="AO56" s="49"/>
      <c r="AP56" s="36"/>
      <c r="AS56" s="46"/>
      <c r="AT56" s="47"/>
      <c r="AU56" s="48"/>
      <c r="AV56" s="23">
        <f t="shared" si="4"/>
        <v>0</v>
      </c>
      <c r="AW56" s="38"/>
      <c r="AX56" s="49"/>
      <c r="AY56" s="36"/>
      <c r="BA56" s="46"/>
      <c r="BB56" s="47"/>
      <c r="BC56" s="48"/>
      <c r="BD56" s="23">
        <f t="shared" si="5"/>
        <v>0</v>
      </c>
      <c r="BE56" s="38"/>
      <c r="BF56" s="49"/>
      <c r="BG56" s="36"/>
    </row>
    <row r="57" spans="3:59" x14ac:dyDescent="0.25">
      <c r="C57" s="46"/>
      <c r="D57" s="47"/>
      <c r="E57" s="48"/>
      <c r="F57" s="23">
        <f t="shared" si="0"/>
        <v>7000</v>
      </c>
      <c r="G57" s="38"/>
      <c r="H57" s="49"/>
      <c r="I57" s="36"/>
      <c r="J57" s="361"/>
      <c r="N57" s="46"/>
      <c r="O57" s="47"/>
      <c r="P57" s="48"/>
      <c r="Q57" s="23">
        <f t="shared" si="6"/>
        <v>7000</v>
      </c>
      <c r="R57" s="38"/>
      <c r="S57" s="49"/>
      <c r="T57" s="36"/>
      <c r="U57" s="361"/>
      <c r="Y57" s="46"/>
      <c r="Z57" s="47"/>
      <c r="AA57" s="48"/>
      <c r="AB57" s="23">
        <f t="shared" si="2"/>
        <v>12000</v>
      </c>
      <c r="AC57" s="38"/>
      <c r="AD57" s="49"/>
      <c r="AE57" s="36"/>
      <c r="AF57" s="361"/>
      <c r="AG57" s="361"/>
      <c r="AH57" s="361"/>
      <c r="AJ57" s="46"/>
      <c r="AK57" s="47"/>
      <c r="AL57" s="48"/>
      <c r="AM57" s="23">
        <f t="shared" si="3"/>
        <v>2800</v>
      </c>
      <c r="AN57" s="38"/>
      <c r="AO57" s="49"/>
      <c r="AP57" s="36"/>
      <c r="AS57" s="46"/>
      <c r="AT57" s="47"/>
      <c r="AU57" s="48"/>
      <c r="AV57" s="23">
        <f t="shared" si="4"/>
        <v>0</v>
      </c>
      <c r="AW57" s="38"/>
      <c r="AX57" s="49"/>
      <c r="AY57" s="36"/>
      <c r="BA57" s="46"/>
      <c r="BB57" s="47"/>
      <c r="BC57" s="48"/>
      <c r="BD57" s="23">
        <f t="shared" si="5"/>
        <v>0</v>
      </c>
      <c r="BE57" s="38"/>
      <c r="BF57" s="49"/>
      <c r="BG57" s="36"/>
    </row>
    <row r="58" spans="3:59" x14ac:dyDescent="0.25">
      <c r="C58" s="46"/>
      <c r="D58" s="47"/>
      <c r="E58" s="48"/>
      <c r="F58" s="23">
        <f t="shared" si="0"/>
        <v>7000</v>
      </c>
      <c r="G58" s="38"/>
      <c r="H58" s="49"/>
      <c r="I58" s="36"/>
      <c r="J58" s="361"/>
      <c r="N58" s="46"/>
      <c r="O58" s="47"/>
      <c r="P58" s="48"/>
      <c r="Q58" s="23">
        <f t="shared" si="6"/>
        <v>7000</v>
      </c>
      <c r="R58" s="38"/>
      <c r="S58" s="49"/>
      <c r="T58" s="36"/>
      <c r="U58" s="361"/>
      <c r="Y58" s="46"/>
      <c r="Z58" s="47"/>
      <c r="AA58" s="48"/>
      <c r="AB58" s="23">
        <f t="shared" si="2"/>
        <v>12000</v>
      </c>
      <c r="AC58" s="38"/>
      <c r="AD58" s="49"/>
      <c r="AE58" s="36"/>
      <c r="AF58" s="361"/>
      <c r="AG58" s="361"/>
      <c r="AH58" s="361"/>
      <c r="AJ58" s="46"/>
      <c r="AK58" s="47"/>
      <c r="AL58" s="48"/>
      <c r="AM58" s="23">
        <f t="shared" si="3"/>
        <v>2800</v>
      </c>
      <c r="AN58" s="38"/>
      <c r="AO58" s="49"/>
      <c r="AP58" s="36"/>
      <c r="AS58" s="46"/>
      <c r="AT58" s="47"/>
      <c r="AU58" s="48"/>
      <c r="AV58" s="23">
        <f t="shared" si="4"/>
        <v>0</v>
      </c>
      <c r="AW58" s="38"/>
      <c r="AX58" s="49"/>
      <c r="AY58" s="36"/>
      <c r="BA58" s="46"/>
      <c r="BB58" s="47"/>
      <c r="BC58" s="48"/>
      <c r="BD58" s="23">
        <f t="shared" si="5"/>
        <v>0</v>
      </c>
      <c r="BE58" s="38"/>
      <c r="BF58" s="49"/>
      <c r="BG58" s="36"/>
    </row>
    <row r="59" spans="3:59" x14ac:dyDescent="0.25">
      <c r="C59" s="46"/>
      <c r="D59" s="47"/>
      <c r="E59" s="48"/>
      <c r="F59" s="23">
        <f t="shared" si="0"/>
        <v>7000</v>
      </c>
      <c r="G59" s="38"/>
      <c r="H59" s="49"/>
      <c r="I59" s="36"/>
      <c r="J59" s="361"/>
      <c r="N59" s="46"/>
      <c r="O59" s="47"/>
      <c r="P59" s="48"/>
      <c r="Q59" s="23">
        <f t="shared" si="6"/>
        <v>7000</v>
      </c>
      <c r="R59" s="38"/>
      <c r="S59" s="49"/>
      <c r="T59" s="36"/>
      <c r="U59" s="361"/>
      <c r="Y59" s="46"/>
      <c r="Z59" s="47"/>
      <c r="AA59" s="48"/>
      <c r="AB59" s="23">
        <f t="shared" si="2"/>
        <v>12000</v>
      </c>
      <c r="AC59" s="38"/>
      <c r="AD59" s="49"/>
      <c r="AE59" s="36"/>
      <c r="AF59" s="361"/>
      <c r="AG59" s="361"/>
      <c r="AH59" s="361"/>
      <c r="AJ59" s="46"/>
      <c r="AK59" s="47"/>
      <c r="AL59" s="48"/>
      <c r="AM59" s="23">
        <f t="shared" si="3"/>
        <v>2800</v>
      </c>
      <c r="AN59" s="38"/>
      <c r="AO59" s="49"/>
      <c r="AP59" s="36"/>
      <c r="AS59" s="46"/>
      <c r="AT59" s="47"/>
      <c r="AU59" s="48"/>
      <c r="AV59" s="23">
        <f t="shared" si="4"/>
        <v>0</v>
      </c>
      <c r="AW59" s="38"/>
      <c r="AX59" s="49"/>
      <c r="AY59" s="36"/>
      <c r="BA59" s="46"/>
      <c r="BB59" s="47"/>
      <c r="BC59" s="48"/>
      <c r="BD59" s="23">
        <f t="shared" si="5"/>
        <v>0</v>
      </c>
      <c r="BE59" s="38"/>
      <c r="BF59" s="49"/>
      <c r="BG59" s="36"/>
    </row>
    <row r="60" spans="3:59" x14ac:dyDescent="0.25">
      <c r="C60" s="46"/>
      <c r="D60" s="47"/>
      <c r="E60" s="48"/>
      <c r="F60" s="23">
        <f t="shared" si="0"/>
        <v>7000</v>
      </c>
      <c r="G60" s="38"/>
      <c r="H60" s="49"/>
      <c r="I60" s="36"/>
      <c r="J60" s="361"/>
      <c r="N60" s="46"/>
      <c r="O60" s="47"/>
      <c r="P60" s="48"/>
      <c r="Q60" s="23">
        <f t="shared" si="6"/>
        <v>7000</v>
      </c>
      <c r="R60" s="38"/>
      <c r="S60" s="49"/>
      <c r="T60" s="36"/>
      <c r="U60" s="361"/>
      <c r="Y60" s="46"/>
      <c r="Z60" s="47"/>
      <c r="AA60" s="48"/>
      <c r="AB60" s="23">
        <f t="shared" si="2"/>
        <v>12000</v>
      </c>
      <c r="AC60" s="38"/>
      <c r="AD60" s="49"/>
      <c r="AE60" s="36"/>
      <c r="AF60" s="361"/>
      <c r="AG60" s="361"/>
      <c r="AH60" s="361"/>
      <c r="AJ60" s="46"/>
      <c r="AK60" s="47"/>
      <c r="AL60" s="48"/>
      <c r="AM60" s="23">
        <f t="shared" si="3"/>
        <v>2800</v>
      </c>
      <c r="AN60" s="38"/>
      <c r="AO60" s="49"/>
      <c r="AP60" s="36"/>
      <c r="AS60" s="46"/>
      <c r="AT60" s="47"/>
      <c r="AU60" s="48"/>
      <c r="AV60" s="23">
        <f t="shared" si="4"/>
        <v>0</v>
      </c>
      <c r="AW60" s="38"/>
      <c r="AX60" s="49"/>
      <c r="AY60" s="36"/>
      <c r="BA60" s="46"/>
      <c r="BB60" s="47"/>
      <c r="BC60" s="48"/>
      <c r="BD60" s="23">
        <f t="shared" si="5"/>
        <v>0</v>
      </c>
      <c r="BE60" s="38"/>
      <c r="BF60" s="49"/>
      <c r="BG60" s="36"/>
    </row>
    <row r="61" spans="3:59" x14ac:dyDescent="0.25">
      <c r="C61" s="46"/>
      <c r="D61" s="47"/>
      <c r="E61" s="48"/>
      <c r="F61" s="23">
        <f t="shared" si="0"/>
        <v>7000</v>
      </c>
      <c r="G61" s="38"/>
      <c r="H61" s="49"/>
      <c r="I61" s="36"/>
      <c r="J61" s="361"/>
      <c r="N61" s="46"/>
      <c r="O61" s="47"/>
      <c r="P61" s="48"/>
      <c r="Q61" s="23">
        <f t="shared" si="6"/>
        <v>7000</v>
      </c>
      <c r="R61" s="38"/>
      <c r="S61" s="49"/>
      <c r="T61" s="36"/>
      <c r="U61" s="361"/>
      <c r="Y61" s="46"/>
      <c r="Z61" s="47"/>
      <c r="AA61" s="48"/>
      <c r="AB61" s="23">
        <f t="shared" si="2"/>
        <v>12000</v>
      </c>
      <c r="AC61" s="38"/>
      <c r="AD61" s="49"/>
      <c r="AE61" s="36"/>
      <c r="AF61" s="361"/>
      <c r="AG61" s="361"/>
      <c r="AH61" s="361"/>
      <c r="AJ61" s="46"/>
      <c r="AK61" s="47"/>
      <c r="AL61" s="48"/>
      <c r="AM61" s="23">
        <f t="shared" si="3"/>
        <v>2800</v>
      </c>
      <c r="AN61" s="38"/>
      <c r="AO61" s="49"/>
      <c r="AP61" s="36"/>
      <c r="AS61" s="46"/>
      <c r="AT61" s="47"/>
      <c r="AU61" s="48"/>
      <c r="AV61" s="23">
        <f t="shared" si="4"/>
        <v>0</v>
      </c>
      <c r="AW61" s="38"/>
      <c r="AX61" s="49"/>
      <c r="AY61" s="36"/>
      <c r="BA61" s="46"/>
      <c r="BB61" s="47"/>
      <c r="BC61" s="48"/>
      <c r="BD61" s="23">
        <f t="shared" si="5"/>
        <v>0</v>
      </c>
      <c r="BE61" s="38"/>
      <c r="BF61" s="49"/>
      <c r="BG61" s="36"/>
    </row>
    <row r="62" spans="3:59" x14ac:dyDescent="0.25">
      <c r="C62" s="46"/>
      <c r="D62" s="47"/>
      <c r="E62" s="48"/>
      <c r="F62" s="23">
        <f t="shared" si="0"/>
        <v>7000</v>
      </c>
      <c r="G62" s="38"/>
      <c r="H62" s="49"/>
      <c r="I62" s="36"/>
      <c r="J62" s="361"/>
      <c r="N62" s="46"/>
      <c r="O62" s="47"/>
      <c r="P62" s="48"/>
      <c r="Q62" s="23">
        <f t="shared" si="6"/>
        <v>7000</v>
      </c>
      <c r="R62" s="38"/>
      <c r="S62" s="49"/>
      <c r="T62" s="36"/>
      <c r="U62" s="361"/>
      <c r="Y62" s="46"/>
      <c r="Z62" s="47"/>
      <c r="AA62" s="48"/>
      <c r="AB62" s="23">
        <f t="shared" si="2"/>
        <v>12000</v>
      </c>
      <c r="AC62" s="38"/>
      <c r="AD62" s="49"/>
      <c r="AE62" s="36"/>
      <c r="AF62" s="361"/>
      <c r="AG62" s="361"/>
      <c r="AH62" s="361"/>
      <c r="AJ62" s="46"/>
      <c r="AK62" s="47"/>
      <c r="AL62" s="48"/>
      <c r="AM62" s="23">
        <f t="shared" si="3"/>
        <v>2800</v>
      </c>
      <c r="AN62" s="38"/>
      <c r="AO62" s="49"/>
      <c r="AP62" s="36"/>
      <c r="AS62" s="46"/>
      <c r="AT62" s="47"/>
      <c r="AU62" s="48"/>
      <c r="AV62" s="23">
        <f t="shared" si="4"/>
        <v>0</v>
      </c>
      <c r="AW62" s="38"/>
      <c r="AX62" s="49"/>
      <c r="AY62" s="36"/>
      <c r="BA62" s="46"/>
      <c r="BB62" s="47"/>
      <c r="BC62" s="48"/>
      <c r="BD62" s="23">
        <f t="shared" si="5"/>
        <v>0</v>
      </c>
      <c r="BE62" s="38"/>
      <c r="BF62" s="49"/>
      <c r="BG62" s="36"/>
    </row>
    <row r="63" spans="3:59" x14ac:dyDescent="0.25">
      <c r="C63" s="46"/>
      <c r="D63" s="47"/>
      <c r="E63" s="48"/>
      <c r="F63" s="23">
        <f t="shared" si="0"/>
        <v>7000</v>
      </c>
      <c r="G63" s="38"/>
      <c r="H63" s="49"/>
      <c r="I63" s="36"/>
      <c r="J63" s="361"/>
      <c r="N63" s="46"/>
      <c r="O63" s="47"/>
      <c r="P63" s="48"/>
      <c r="Q63" s="23">
        <f t="shared" si="6"/>
        <v>7000</v>
      </c>
      <c r="R63" s="38"/>
      <c r="S63" s="49"/>
      <c r="T63" s="36"/>
      <c r="U63" s="361"/>
      <c r="Y63" s="46"/>
      <c r="Z63" s="47"/>
      <c r="AA63" s="48"/>
      <c r="AB63" s="23">
        <f t="shared" si="2"/>
        <v>12000</v>
      </c>
      <c r="AC63" s="38"/>
      <c r="AD63" s="49"/>
      <c r="AE63" s="36"/>
      <c r="AF63" s="361"/>
      <c r="AG63" s="361"/>
      <c r="AH63" s="361"/>
      <c r="AJ63" s="46"/>
      <c r="AK63" s="47"/>
      <c r="AL63" s="48"/>
      <c r="AM63" s="23">
        <f t="shared" si="3"/>
        <v>2800</v>
      </c>
      <c r="AN63" s="38"/>
      <c r="AO63" s="49"/>
      <c r="AP63" s="36"/>
      <c r="AS63" s="46"/>
      <c r="AT63" s="47"/>
      <c r="AU63" s="48"/>
      <c r="AV63" s="23">
        <f t="shared" si="4"/>
        <v>0</v>
      </c>
      <c r="AW63" s="38"/>
      <c r="AX63" s="49"/>
      <c r="AY63" s="36"/>
      <c r="BA63" s="46"/>
      <c r="BB63" s="47"/>
      <c r="BC63" s="48"/>
      <c r="BD63" s="23">
        <f t="shared" si="5"/>
        <v>0</v>
      </c>
      <c r="BE63" s="38"/>
      <c r="BF63" s="49"/>
      <c r="BG63" s="36"/>
    </row>
    <row r="64" spans="3:59" x14ac:dyDescent="0.25">
      <c r="C64" s="46"/>
      <c r="D64" s="47"/>
      <c r="E64" s="48"/>
      <c r="F64" s="23">
        <f t="shared" si="0"/>
        <v>7000</v>
      </c>
      <c r="G64" s="38"/>
      <c r="H64" s="49"/>
      <c r="I64" s="36"/>
      <c r="J64" s="361"/>
      <c r="N64" s="46"/>
      <c r="O64" s="47"/>
      <c r="P64" s="48"/>
      <c r="Q64" s="23">
        <f t="shared" si="6"/>
        <v>7000</v>
      </c>
      <c r="R64" s="38"/>
      <c r="S64" s="49"/>
      <c r="T64" s="36"/>
      <c r="U64" s="361"/>
      <c r="Y64" s="46"/>
      <c r="Z64" s="47"/>
      <c r="AA64" s="48"/>
      <c r="AB64" s="23">
        <f t="shared" si="2"/>
        <v>12000</v>
      </c>
      <c r="AC64" s="38"/>
      <c r="AD64" s="49"/>
      <c r="AE64" s="36"/>
      <c r="AF64" s="361"/>
      <c r="AG64" s="361"/>
      <c r="AH64" s="361"/>
      <c r="AJ64" s="46"/>
      <c r="AK64" s="47"/>
      <c r="AL64" s="48"/>
      <c r="AM64" s="23">
        <f t="shared" si="3"/>
        <v>2800</v>
      </c>
      <c r="AN64" s="38"/>
      <c r="AO64" s="49"/>
      <c r="AP64" s="36"/>
      <c r="AS64" s="46"/>
      <c r="AT64" s="47"/>
      <c r="AU64" s="48"/>
      <c r="AV64" s="23">
        <f t="shared" si="4"/>
        <v>0</v>
      </c>
      <c r="AW64" s="38"/>
      <c r="AX64" s="49"/>
      <c r="AY64" s="36"/>
      <c r="BA64" s="46"/>
      <c r="BB64" s="47"/>
      <c r="BC64" s="48"/>
      <c r="BD64" s="23">
        <f t="shared" si="5"/>
        <v>0</v>
      </c>
      <c r="BE64" s="38"/>
      <c r="BF64" s="49"/>
      <c r="BG64" s="36"/>
    </row>
    <row r="65" spans="3:59" x14ac:dyDescent="0.25">
      <c r="C65" s="46"/>
      <c r="D65" s="47"/>
      <c r="E65" s="48"/>
      <c r="F65" s="23">
        <f t="shared" si="0"/>
        <v>7000</v>
      </c>
      <c r="G65" s="38"/>
      <c r="H65" s="49"/>
      <c r="I65" s="36"/>
      <c r="J65" s="361"/>
      <c r="N65" s="46"/>
      <c r="O65" s="47"/>
      <c r="P65" s="48"/>
      <c r="Q65" s="23">
        <f t="shared" si="6"/>
        <v>7000</v>
      </c>
      <c r="R65" s="38"/>
      <c r="S65" s="49"/>
      <c r="T65" s="36"/>
      <c r="U65" s="361"/>
      <c r="Y65" s="46"/>
      <c r="Z65" s="47"/>
      <c r="AA65" s="48"/>
      <c r="AB65" s="23">
        <f t="shared" si="2"/>
        <v>12000</v>
      </c>
      <c r="AC65" s="38"/>
      <c r="AD65" s="49"/>
      <c r="AE65" s="36"/>
      <c r="AF65" s="361"/>
      <c r="AG65" s="361"/>
      <c r="AH65" s="361"/>
      <c r="AJ65" s="46"/>
      <c r="AK65" s="47"/>
      <c r="AL65" s="48"/>
      <c r="AM65" s="23">
        <f t="shared" si="3"/>
        <v>2800</v>
      </c>
      <c r="AN65" s="38"/>
      <c r="AO65" s="49"/>
      <c r="AP65" s="36"/>
      <c r="AS65" s="46"/>
      <c r="AT65" s="47"/>
      <c r="AU65" s="48"/>
      <c r="AV65" s="23">
        <f t="shared" si="4"/>
        <v>0</v>
      </c>
      <c r="AW65" s="38"/>
      <c r="AX65" s="49"/>
      <c r="AY65" s="36"/>
      <c r="BA65" s="46"/>
      <c r="BB65" s="47"/>
      <c r="BC65" s="48"/>
      <c r="BD65" s="23">
        <f t="shared" si="5"/>
        <v>0</v>
      </c>
      <c r="BE65" s="38"/>
      <c r="BF65" s="49"/>
      <c r="BG65" s="36"/>
    </row>
    <row r="66" spans="3:59" x14ac:dyDescent="0.25">
      <c r="C66" s="46"/>
      <c r="D66" s="47"/>
      <c r="E66" s="48"/>
      <c r="F66" s="23">
        <f t="shared" si="0"/>
        <v>7000</v>
      </c>
      <c r="G66" s="38"/>
      <c r="H66" s="49"/>
      <c r="I66" s="36"/>
      <c r="J66" s="361"/>
      <c r="N66" s="46"/>
      <c r="O66" s="47"/>
      <c r="P66" s="48"/>
      <c r="Q66" s="23">
        <f t="shared" si="6"/>
        <v>7000</v>
      </c>
      <c r="R66" s="38"/>
      <c r="S66" s="49"/>
      <c r="T66" s="36"/>
      <c r="U66" s="361"/>
      <c r="Y66" s="46"/>
      <c r="Z66" s="47"/>
      <c r="AA66" s="48"/>
      <c r="AB66" s="23">
        <f t="shared" si="2"/>
        <v>12000</v>
      </c>
      <c r="AC66" s="38"/>
      <c r="AD66" s="49"/>
      <c r="AE66" s="36"/>
      <c r="AF66" s="361"/>
      <c r="AG66" s="361"/>
      <c r="AH66" s="361"/>
      <c r="AJ66" s="46"/>
      <c r="AK66" s="47"/>
      <c r="AL66" s="48"/>
      <c r="AM66" s="23">
        <f t="shared" si="3"/>
        <v>2800</v>
      </c>
      <c r="AN66" s="38"/>
      <c r="AO66" s="49"/>
      <c r="AP66" s="36"/>
      <c r="AS66" s="46"/>
      <c r="AT66" s="47"/>
      <c r="AU66" s="48"/>
      <c r="AV66" s="23">
        <f t="shared" si="4"/>
        <v>0</v>
      </c>
      <c r="AW66" s="38"/>
      <c r="AX66" s="49"/>
      <c r="AY66" s="36"/>
      <c r="BA66" s="46"/>
      <c r="BB66" s="47"/>
      <c r="BC66" s="48"/>
      <c r="BD66" s="23">
        <f t="shared" si="5"/>
        <v>0</v>
      </c>
      <c r="BE66" s="38"/>
      <c r="BF66" s="49"/>
      <c r="BG66" s="36"/>
    </row>
    <row r="67" spans="3:59" x14ac:dyDescent="0.25">
      <c r="C67" s="46"/>
      <c r="D67" s="47"/>
      <c r="E67" s="48"/>
      <c r="F67" s="23">
        <f t="shared" si="0"/>
        <v>7000</v>
      </c>
      <c r="G67" s="38"/>
      <c r="H67" s="49"/>
      <c r="I67" s="36"/>
      <c r="J67" s="361"/>
      <c r="N67" s="46"/>
      <c r="O67" s="47"/>
      <c r="P67" s="48"/>
      <c r="Q67" s="23">
        <f t="shared" si="6"/>
        <v>7000</v>
      </c>
      <c r="R67" s="38"/>
      <c r="S67" s="49"/>
      <c r="T67" s="36"/>
      <c r="U67" s="361"/>
      <c r="Y67" s="46"/>
      <c r="Z67" s="47"/>
      <c r="AA67" s="48"/>
      <c r="AB67" s="23">
        <f t="shared" si="2"/>
        <v>12000</v>
      </c>
      <c r="AC67" s="38"/>
      <c r="AD67" s="49"/>
      <c r="AE67" s="36"/>
      <c r="AF67" s="361"/>
      <c r="AG67" s="361"/>
      <c r="AH67" s="361"/>
      <c r="AJ67" s="46"/>
      <c r="AK67" s="47"/>
      <c r="AL67" s="48"/>
      <c r="AM67" s="23">
        <f t="shared" si="3"/>
        <v>2800</v>
      </c>
      <c r="AN67" s="38"/>
      <c r="AO67" s="49"/>
      <c r="AP67" s="36"/>
      <c r="AS67" s="46"/>
      <c r="AT67" s="47"/>
      <c r="AU67" s="48"/>
      <c r="AV67" s="23">
        <f t="shared" si="4"/>
        <v>0</v>
      </c>
      <c r="AW67" s="38"/>
      <c r="AX67" s="49"/>
      <c r="AY67" s="36"/>
      <c r="BA67" s="46"/>
      <c r="BB67" s="47"/>
      <c r="BC67" s="48"/>
      <c r="BD67" s="23">
        <f t="shared" si="5"/>
        <v>0</v>
      </c>
      <c r="BE67" s="38"/>
      <c r="BF67" s="49"/>
      <c r="BG67" s="36"/>
    </row>
    <row r="68" spans="3:59" x14ac:dyDescent="0.25">
      <c r="C68" s="46"/>
      <c r="D68" s="47"/>
      <c r="E68" s="48"/>
      <c r="F68" s="23">
        <f t="shared" si="0"/>
        <v>7000</v>
      </c>
      <c r="G68" s="38"/>
      <c r="H68" s="49"/>
      <c r="I68" s="36"/>
      <c r="J68" s="361"/>
      <c r="N68" s="46"/>
      <c r="O68" s="47"/>
      <c r="P68" s="48"/>
      <c r="Q68" s="23">
        <f t="shared" si="6"/>
        <v>7000</v>
      </c>
      <c r="R68" s="38"/>
      <c r="S68" s="49"/>
      <c r="T68" s="36"/>
      <c r="U68" s="361"/>
      <c r="Y68" s="46"/>
      <c r="Z68" s="47"/>
      <c r="AA68" s="48"/>
      <c r="AB68" s="23">
        <f t="shared" si="2"/>
        <v>12000</v>
      </c>
      <c r="AC68" s="38"/>
      <c r="AD68" s="49"/>
      <c r="AE68" s="36"/>
      <c r="AF68" s="361"/>
      <c r="AG68" s="361"/>
      <c r="AH68" s="361"/>
      <c r="AJ68" s="46"/>
      <c r="AK68" s="47"/>
      <c r="AL68" s="48"/>
      <c r="AM68" s="23">
        <f t="shared" si="3"/>
        <v>2800</v>
      </c>
      <c r="AN68" s="38"/>
      <c r="AO68" s="49"/>
      <c r="AP68" s="36"/>
      <c r="AS68" s="46"/>
      <c r="AT68" s="47"/>
      <c r="AU68" s="48"/>
      <c r="AV68" s="23">
        <f t="shared" si="4"/>
        <v>0</v>
      </c>
      <c r="AW68" s="38"/>
      <c r="AX68" s="49"/>
      <c r="AY68" s="36"/>
      <c r="BA68" s="46"/>
      <c r="BB68" s="47"/>
      <c r="BC68" s="48"/>
      <c r="BD68" s="23">
        <f t="shared" si="5"/>
        <v>0</v>
      </c>
      <c r="BE68" s="38"/>
      <c r="BF68" s="49"/>
      <c r="BG68" s="36"/>
    </row>
    <row r="69" spans="3:59" x14ac:dyDescent="0.25">
      <c r="C69" s="46"/>
      <c r="D69" s="47"/>
      <c r="E69" s="48"/>
      <c r="F69" s="23">
        <f t="shared" si="0"/>
        <v>7000</v>
      </c>
      <c r="G69" s="38"/>
      <c r="H69" s="49"/>
      <c r="I69" s="36"/>
      <c r="J69" s="361"/>
      <c r="N69" s="46"/>
      <c r="O69" s="47"/>
      <c r="P69" s="48"/>
      <c r="Q69" s="23">
        <f t="shared" si="6"/>
        <v>7000</v>
      </c>
      <c r="R69" s="38"/>
      <c r="S69" s="49"/>
      <c r="T69" s="36"/>
      <c r="U69" s="361"/>
      <c r="Y69" s="46"/>
      <c r="Z69" s="47"/>
      <c r="AA69" s="48"/>
      <c r="AB69" s="23">
        <f t="shared" si="2"/>
        <v>12000</v>
      </c>
      <c r="AC69" s="38"/>
      <c r="AD69" s="49"/>
      <c r="AE69" s="36"/>
      <c r="AF69" s="361"/>
      <c r="AG69" s="361"/>
      <c r="AH69" s="361"/>
      <c r="AJ69" s="46"/>
      <c r="AK69" s="47"/>
      <c r="AL69" s="48"/>
      <c r="AM69" s="23">
        <f t="shared" si="3"/>
        <v>2800</v>
      </c>
      <c r="AN69" s="38"/>
      <c r="AO69" s="49"/>
      <c r="AP69" s="36"/>
      <c r="AS69" s="46"/>
      <c r="AT69" s="47"/>
      <c r="AU69" s="48"/>
      <c r="AV69" s="23">
        <f t="shared" si="4"/>
        <v>0</v>
      </c>
      <c r="AW69" s="38"/>
      <c r="AX69" s="49"/>
      <c r="AY69" s="36"/>
      <c r="BA69" s="46"/>
      <c r="BB69" s="47"/>
      <c r="BC69" s="48"/>
      <c r="BD69" s="23">
        <f t="shared" si="5"/>
        <v>0</v>
      </c>
      <c r="BE69" s="38"/>
      <c r="BF69" s="49"/>
      <c r="BG69" s="36"/>
    </row>
    <row r="70" spans="3:59" ht="15.75" thickBot="1" x14ac:dyDescent="0.3">
      <c r="C70" s="18"/>
      <c r="D70" s="24"/>
      <c r="E70" s="25"/>
      <c r="F70" s="23">
        <f t="shared" si="0"/>
        <v>7000</v>
      </c>
      <c r="G70" s="12"/>
      <c r="H70" s="28"/>
      <c r="I70" s="36"/>
      <c r="J70" s="361"/>
      <c r="N70" s="18"/>
      <c r="O70" s="24"/>
      <c r="P70" s="25"/>
      <c r="Q70" s="23">
        <f t="shared" si="6"/>
        <v>7000</v>
      </c>
      <c r="R70" s="12"/>
      <c r="S70" s="28"/>
      <c r="T70" s="36"/>
      <c r="U70" s="361"/>
      <c r="Y70" s="18"/>
      <c r="Z70" s="24"/>
      <c r="AA70" s="25"/>
      <c r="AB70" s="23">
        <f t="shared" si="2"/>
        <v>12000</v>
      </c>
      <c r="AC70" s="12"/>
      <c r="AD70" s="28"/>
      <c r="AE70" s="36"/>
      <c r="AF70" s="361"/>
      <c r="AG70" s="361"/>
      <c r="AH70" s="361"/>
      <c r="AJ70" s="18"/>
      <c r="AK70" s="24"/>
      <c r="AL70" s="25"/>
      <c r="AM70" s="23">
        <f t="shared" si="3"/>
        <v>2800</v>
      </c>
      <c r="AN70" s="12"/>
      <c r="AO70" s="28"/>
      <c r="AP70" s="36"/>
      <c r="AS70" s="18"/>
      <c r="AT70" s="24"/>
      <c r="AU70" s="25"/>
      <c r="AV70" s="23">
        <f t="shared" si="4"/>
        <v>0</v>
      </c>
      <c r="AW70" s="12"/>
      <c r="AX70" s="28"/>
      <c r="AY70" s="36"/>
      <c r="BA70" s="18"/>
      <c r="BB70" s="24"/>
      <c r="BC70" s="25"/>
      <c r="BD70" s="23">
        <f t="shared" si="5"/>
        <v>0</v>
      </c>
      <c r="BE70" s="12"/>
      <c r="BF70" s="28"/>
      <c r="BG70" s="36"/>
    </row>
    <row r="71" spans="3:59" ht="15.75" thickBot="1" x14ac:dyDescent="0.3">
      <c r="E71" t="s">
        <v>23</v>
      </c>
      <c r="F71" s="29">
        <f>F70</f>
        <v>7000</v>
      </c>
      <c r="G71" s="13"/>
      <c r="H71" s="31">
        <f>SUM(H8:H70)</f>
        <v>72.5</v>
      </c>
      <c r="I71" s="30">
        <f>SUM(I8:I70)</f>
        <v>0</v>
      </c>
      <c r="J71" s="362"/>
      <c r="P71" t="s">
        <v>23</v>
      </c>
      <c r="Q71" s="29">
        <f>Q70</f>
        <v>7000</v>
      </c>
      <c r="R71" s="13"/>
      <c r="S71" s="31">
        <f>SUM(S8:S70)</f>
        <v>0</v>
      </c>
      <c r="T71" s="30">
        <f>SUM(T8:T70)</f>
        <v>89</v>
      </c>
      <c r="U71" s="362"/>
      <c r="AA71" t="s">
        <v>23</v>
      </c>
      <c r="AB71" s="29">
        <f>AB70</f>
        <v>12000</v>
      </c>
      <c r="AC71" s="13"/>
      <c r="AD71" s="31">
        <f>SUM(AD8:AD70)</f>
        <v>0</v>
      </c>
      <c r="AE71" s="30">
        <f>SUM(AE8:AE70)</f>
        <v>150</v>
      </c>
      <c r="AF71" s="362"/>
      <c r="AG71" s="362"/>
      <c r="AH71" s="362"/>
      <c r="AL71" t="s">
        <v>23</v>
      </c>
      <c r="AM71" s="29">
        <f>AM70</f>
        <v>2800</v>
      </c>
      <c r="AN71" s="13"/>
      <c r="AO71" s="31">
        <f>SUM(AO8:AO70)</f>
        <v>75</v>
      </c>
      <c r="AP71" s="30">
        <f>SUM(AP8:AP70)</f>
        <v>0</v>
      </c>
      <c r="AU71" t="s">
        <v>23</v>
      </c>
      <c r="AV71" s="29">
        <f>AV70</f>
        <v>0</v>
      </c>
      <c r="AW71" s="13"/>
      <c r="AX71" s="31">
        <f>SUM(AX8:AX70)</f>
        <v>0</v>
      </c>
      <c r="AY71" s="30">
        <f>SUM(AY8:AY70)</f>
        <v>0</v>
      </c>
      <c r="BC71" t="s">
        <v>23</v>
      </c>
      <c r="BD71" s="29">
        <f>BD70</f>
        <v>0</v>
      </c>
      <c r="BE71" s="13"/>
      <c r="BF71" s="31">
        <f>SUM(BF8:BF70)</f>
        <v>0</v>
      </c>
      <c r="BG71" s="30">
        <f>SUM(BG8:BG70)</f>
        <v>0</v>
      </c>
    </row>
    <row r="74" spans="3:59" ht="21" x14ac:dyDescent="0.35">
      <c r="C74" s="255" t="s">
        <v>56</v>
      </c>
      <c r="F74" s="256">
        <f>H71+S71+AD71+AO71+AX71+BF71</f>
        <v>147.5</v>
      </c>
    </row>
    <row r="75" spans="3:59" x14ac:dyDescent="0.25">
      <c r="C75" s="45"/>
    </row>
  </sheetData>
  <mergeCells count="20">
    <mergeCell ref="AO1:AO4"/>
    <mergeCell ref="J6:M6"/>
    <mergeCell ref="U8:U9"/>
    <mergeCell ref="BA5:BG5"/>
    <mergeCell ref="C5:I5"/>
    <mergeCell ref="AS5:AY5"/>
    <mergeCell ref="AJ5:AP5"/>
    <mergeCell ref="Y5:AE5"/>
    <mergeCell ref="N5:T5"/>
    <mergeCell ref="U6:X6"/>
    <mergeCell ref="AI7:AI9"/>
    <mergeCell ref="AF5:AI5"/>
    <mergeCell ref="AF7:AF9"/>
    <mergeCell ref="AG7:AG9"/>
    <mergeCell ref="AH7:AH9"/>
    <mergeCell ref="AF4:AI4"/>
    <mergeCell ref="AK1:AK3"/>
    <mergeCell ref="AL1:AL3"/>
    <mergeCell ref="AM1:AM3"/>
    <mergeCell ref="AN1:AN3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H23"/>
  <sheetViews>
    <sheetView workbookViewId="0">
      <selection activeCell="J9" sqref="J9"/>
    </sheetView>
  </sheetViews>
  <sheetFormatPr baseColWidth="10" defaultColWidth="11.42578125" defaultRowHeight="15" x14ac:dyDescent="0.25"/>
  <cols>
    <col min="2" max="2" width="11.85546875" customWidth="1"/>
    <col min="3" max="3" width="14" customWidth="1"/>
  </cols>
  <sheetData>
    <row r="2" spans="1:3" ht="23.25" x14ac:dyDescent="0.35">
      <c r="A2" s="8" t="s">
        <v>8</v>
      </c>
    </row>
    <row r="3" spans="1:3" ht="15.75" thickBot="1" x14ac:dyDescent="0.3"/>
    <row r="4" spans="1:3" ht="24.75" customHeight="1" thickBot="1" x14ac:dyDescent="0.35">
      <c r="B4" s="55" t="s">
        <v>9</v>
      </c>
      <c r="C4" s="55" t="s">
        <v>10</v>
      </c>
    </row>
    <row r="5" spans="1:3" x14ac:dyDescent="0.25">
      <c r="B5" s="53" t="s">
        <v>22</v>
      </c>
      <c r="C5" s="54">
        <v>2.7</v>
      </c>
    </row>
    <row r="6" spans="1:3" x14ac:dyDescent="0.25">
      <c r="B6" s="50" t="s">
        <v>11</v>
      </c>
      <c r="C6" s="51">
        <v>1.25</v>
      </c>
    </row>
    <row r="7" spans="1:3" x14ac:dyDescent="0.25">
      <c r="B7" s="34" t="s">
        <v>12</v>
      </c>
      <c r="C7" s="51">
        <v>3</v>
      </c>
    </row>
    <row r="8" spans="1:3" x14ac:dyDescent="0.25">
      <c r="B8" s="34" t="s">
        <v>13</v>
      </c>
      <c r="C8" s="51">
        <v>16.670000000000002</v>
      </c>
    </row>
    <row r="9" spans="1:3" x14ac:dyDescent="0.25">
      <c r="B9" s="34" t="s">
        <v>14</v>
      </c>
      <c r="C9" s="51"/>
    </row>
    <row r="10" spans="1:3" x14ac:dyDescent="0.25">
      <c r="B10" s="34" t="s">
        <v>15</v>
      </c>
      <c r="C10" s="51"/>
    </row>
    <row r="11" spans="1:3" x14ac:dyDescent="0.25">
      <c r="B11" s="34" t="s">
        <v>16</v>
      </c>
      <c r="C11" s="51"/>
    </row>
    <row r="12" spans="1:3" x14ac:dyDescent="0.25">
      <c r="B12" s="34" t="s">
        <v>17</v>
      </c>
      <c r="C12" s="52"/>
    </row>
    <row r="13" spans="1:3" x14ac:dyDescent="0.25">
      <c r="B13" s="34" t="s">
        <v>18</v>
      </c>
      <c r="C13" s="51"/>
    </row>
    <row r="14" spans="1:3" x14ac:dyDescent="0.25">
      <c r="B14" s="34" t="s">
        <v>19</v>
      </c>
      <c r="C14" s="51"/>
    </row>
    <row r="15" spans="1:3" x14ac:dyDescent="0.25">
      <c r="B15" s="34" t="s">
        <v>20</v>
      </c>
      <c r="C15" s="51"/>
    </row>
    <row r="16" spans="1:3" x14ac:dyDescent="0.25">
      <c r="B16" s="34" t="s">
        <v>21</v>
      </c>
      <c r="C16" s="51"/>
    </row>
    <row r="17" spans="2:346" ht="15.75" thickBot="1" x14ac:dyDescent="0.3">
      <c r="B17" s="37" t="s">
        <v>22</v>
      </c>
      <c r="C17" s="56"/>
    </row>
    <row r="18" spans="2:346" ht="21.75" thickBot="1" x14ac:dyDescent="0.4">
      <c r="B18" s="57" t="s">
        <v>23</v>
      </c>
      <c r="C18" s="58">
        <f>SUM(C5:C17)</f>
        <v>23.62</v>
      </c>
    </row>
    <row r="20" spans="2:346" x14ac:dyDescent="0.25">
      <c r="LR20">
        <v>200</v>
      </c>
      <c r="MC20" s="41">
        <v>42565</v>
      </c>
      <c r="ME20">
        <v>278.14999999999998</v>
      </c>
      <c r="MH20">
        <v>21.85</v>
      </c>
    </row>
    <row r="23" spans="2:346" x14ac:dyDescent="0.25">
      <c r="M23" s="4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23A1-FC3E-4A18-AA1F-9431A9855313}">
  <sheetPr>
    <tabColor rgb="FFFF0000"/>
  </sheetPr>
  <dimension ref="A2:BD58"/>
  <sheetViews>
    <sheetView topLeftCell="A51" zoomScale="85" zoomScaleNormal="85" workbookViewId="0">
      <selection activeCell="J61" sqref="J61"/>
    </sheetView>
  </sheetViews>
  <sheetFormatPr baseColWidth="10" defaultRowHeight="15" x14ac:dyDescent="0.25"/>
  <cols>
    <col min="5" max="5" width="16.42578125" bestFit="1" customWidth="1"/>
    <col min="11" max="11" width="12.7109375" customWidth="1"/>
    <col min="13" max="13" width="13.140625" customWidth="1"/>
    <col min="16" max="16" width="13.85546875" customWidth="1"/>
    <col min="19" max="19" width="12.5703125" bestFit="1" customWidth="1"/>
    <col min="21" max="21" width="18.5703125" bestFit="1" customWidth="1"/>
    <col min="24" max="25" width="12.5703125" bestFit="1" customWidth="1"/>
    <col min="27" max="27" width="12.5703125" bestFit="1" customWidth="1"/>
    <col min="29" max="29" width="12.7109375" bestFit="1" customWidth="1"/>
    <col min="35" max="35" width="12.5703125" bestFit="1" customWidth="1"/>
    <col min="37" max="37" width="12.5703125" bestFit="1" customWidth="1"/>
    <col min="43" max="43" width="12.5703125" bestFit="1" customWidth="1"/>
    <col min="45" max="45" width="12.85546875" customWidth="1"/>
  </cols>
  <sheetData>
    <row r="2" spans="1:56" x14ac:dyDescent="0.25">
      <c r="A2" s="230"/>
      <c r="B2" s="63"/>
      <c r="C2" s="63"/>
      <c r="D2" s="431" t="s">
        <v>102</v>
      </c>
      <c r="E2" s="432"/>
      <c r="F2" s="432"/>
      <c r="G2" s="63"/>
      <c r="H2" s="63"/>
      <c r="J2" s="63"/>
      <c r="K2" s="63"/>
      <c r="L2" s="431" t="s">
        <v>103</v>
      </c>
      <c r="M2" s="432"/>
      <c r="N2" s="432"/>
      <c r="P2" s="63"/>
      <c r="R2" s="230"/>
      <c r="S2" s="230"/>
      <c r="T2" s="230"/>
      <c r="U2" s="431" t="s">
        <v>104</v>
      </c>
      <c r="V2" s="432"/>
      <c r="W2" s="432"/>
      <c r="X2" s="231"/>
      <c r="Z2" s="322"/>
      <c r="AA2" s="322"/>
      <c r="AB2" s="322"/>
      <c r="AC2" s="13" t="s">
        <v>105</v>
      </c>
      <c r="AD2" s="322"/>
      <c r="AE2" s="322"/>
      <c r="AF2" s="325"/>
      <c r="AH2" s="230"/>
      <c r="AI2" s="230"/>
      <c r="AJ2" s="431" t="s">
        <v>106</v>
      </c>
      <c r="AK2" s="468"/>
      <c r="AL2" s="468"/>
      <c r="AM2" s="230"/>
      <c r="AN2" s="230"/>
      <c r="AP2" s="63"/>
      <c r="AQ2" s="63"/>
      <c r="AR2" s="431" t="s">
        <v>107</v>
      </c>
      <c r="AS2" s="432"/>
      <c r="AT2" s="432"/>
      <c r="AU2" s="63"/>
      <c r="AV2" s="63"/>
      <c r="AX2" s="63"/>
      <c r="AY2" s="63"/>
      <c r="AZ2" s="431">
        <v>0</v>
      </c>
      <c r="BA2" s="431"/>
      <c r="BB2" s="431"/>
      <c r="BC2" s="63"/>
      <c r="BD2" s="63"/>
    </row>
    <row r="3" spans="1:56" ht="15.75" thickBot="1" x14ac:dyDescent="0.3">
      <c r="A3" s="230"/>
      <c r="B3" s="439" t="str">
        <f>D2</f>
        <v>DEUDOR 1</v>
      </c>
      <c r="C3" s="439"/>
      <c r="D3" s="439"/>
      <c r="E3" s="439"/>
      <c r="F3" s="439"/>
      <c r="G3" s="439"/>
      <c r="H3" s="439"/>
      <c r="J3" s="439" t="str">
        <f>L2</f>
        <v>DEUDOR 2</v>
      </c>
      <c r="K3" s="439"/>
      <c r="L3" s="439"/>
      <c r="M3" s="439"/>
      <c r="N3" s="439"/>
      <c r="O3" s="439"/>
      <c r="P3" s="439"/>
      <c r="R3" s="440" t="str">
        <f>U2</f>
        <v>DEUDOR 3</v>
      </c>
      <c r="S3" s="440"/>
      <c r="T3" s="440"/>
      <c r="U3" s="440"/>
      <c r="V3" s="440"/>
      <c r="W3" s="440"/>
      <c r="X3" s="440"/>
      <c r="Z3" s="440" t="str">
        <f>AC2</f>
        <v>DEUDOR 4</v>
      </c>
      <c r="AA3" s="440"/>
      <c r="AB3" s="440"/>
      <c r="AC3" s="440"/>
      <c r="AD3" s="440"/>
      <c r="AE3" s="440"/>
      <c r="AF3" s="440"/>
      <c r="AH3" s="440" t="str">
        <f>AJ2</f>
        <v>DEUDOR 5</v>
      </c>
      <c r="AI3" s="440"/>
      <c r="AJ3" s="440"/>
      <c r="AK3" s="440"/>
      <c r="AL3" s="440"/>
      <c r="AM3" s="440"/>
      <c r="AN3" s="440"/>
      <c r="AP3" s="439" t="str">
        <f>AR2</f>
        <v>DEUDOR 6</v>
      </c>
      <c r="AQ3" s="439"/>
      <c r="AR3" s="439"/>
      <c r="AS3" s="439"/>
      <c r="AT3" s="439"/>
      <c r="AU3" s="439"/>
      <c r="AV3" s="439"/>
      <c r="AX3" s="439">
        <f>AZ2</f>
        <v>0</v>
      </c>
      <c r="AY3" s="439"/>
      <c r="AZ3" s="439"/>
      <c r="BA3" s="439"/>
      <c r="BB3" s="439"/>
      <c r="BC3" s="439"/>
      <c r="BD3" s="439"/>
    </row>
    <row r="4" spans="1:56" x14ac:dyDescent="0.25">
      <c r="A4" s="230"/>
      <c r="B4" s="68" t="s">
        <v>5</v>
      </c>
      <c r="C4" s="69" t="s">
        <v>0</v>
      </c>
      <c r="D4" s="68" t="s">
        <v>2</v>
      </c>
      <c r="E4" s="68" t="s">
        <v>3</v>
      </c>
      <c r="F4" s="70" t="s">
        <v>27</v>
      </c>
      <c r="G4" s="68" t="s">
        <v>7</v>
      </c>
      <c r="H4" s="68" t="s">
        <v>29</v>
      </c>
      <c r="J4" s="68" t="s">
        <v>5</v>
      </c>
      <c r="K4" s="69" t="s">
        <v>0</v>
      </c>
      <c r="L4" s="68" t="s">
        <v>2</v>
      </c>
      <c r="M4" s="68" t="s">
        <v>3</v>
      </c>
      <c r="N4" s="70" t="s">
        <v>27</v>
      </c>
      <c r="O4" s="68" t="s">
        <v>7</v>
      </c>
      <c r="P4" s="68" t="s">
        <v>29</v>
      </c>
      <c r="R4" s="232" t="s">
        <v>5</v>
      </c>
      <c r="S4" s="233" t="s">
        <v>0</v>
      </c>
      <c r="T4" s="232" t="s">
        <v>2</v>
      </c>
      <c r="U4" s="232" t="s">
        <v>3</v>
      </c>
      <c r="V4" s="234" t="s">
        <v>27</v>
      </c>
      <c r="W4" s="232" t="s">
        <v>7</v>
      </c>
      <c r="X4" s="232" t="s">
        <v>29</v>
      </c>
      <c r="Z4" s="232" t="s">
        <v>5</v>
      </c>
      <c r="AA4" s="233" t="s">
        <v>0</v>
      </c>
      <c r="AB4" s="232" t="s">
        <v>2</v>
      </c>
      <c r="AC4" s="232" t="s">
        <v>3</v>
      </c>
      <c r="AD4" s="234" t="s">
        <v>27</v>
      </c>
      <c r="AE4" s="232" t="s">
        <v>7</v>
      </c>
      <c r="AF4" s="232" t="s">
        <v>29</v>
      </c>
      <c r="AH4" s="232" t="s">
        <v>5</v>
      </c>
      <c r="AI4" s="233" t="s">
        <v>0</v>
      </c>
      <c r="AJ4" s="232" t="s">
        <v>2</v>
      </c>
      <c r="AK4" s="232" t="s">
        <v>3</v>
      </c>
      <c r="AL4" s="234" t="s">
        <v>27</v>
      </c>
      <c r="AM4" s="232" t="s">
        <v>7</v>
      </c>
      <c r="AN4" s="232" t="s">
        <v>29</v>
      </c>
      <c r="AP4" s="68" t="s">
        <v>5</v>
      </c>
      <c r="AQ4" s="69" t="s">
        <v>0</v>
      </c>
      <c r="AR4" s="68" t="s">
        <v>2</v>
      </c>
      <c r="AS4" s="68" t="s">
        <v>3</v>
      </c>
      <c r="AT4" s="70" t="s">
        <v>27</v>
      </c>
      <c r="AU4" s="68" t="s">
        <v>7</v>
      </c>
      <c r="AV4" s="68" t="s">
        <v>29</v>
      </c>
      <c r="AX4" s="68" t="s">
        <v>5</v>
      </c>
      <c r="AY4" s="69" t="s">
        <v>0</v>
      </c>
      <c r="AZ4" s="68" t="s">
        <v>2</v>
      </c>
      <c r="BA4" s="68" t="s">
        <v>3</v>
      </c>
      <c r="BB4" s="70" t="s">
        <v>27</v>
      </c>
      <c r="BC4" s="68" t="s">
        <v>7</v>
      </c>
      <c r="BD4" s="68" t="s">
        <v>29</v>
      </c>
    </row>
    <row r="5" spans="1:56" ht="15.75" thickBot="1" x14ac:dyDescent="0.3">
      <c r="A5" s="230"/>
      <c r="B5" s="73"/>
      <c r="C5" s="73" t="s">
        <v>1</v>
      </c>
      <c r="D5" s="73"/>
      <c r="E5" s="75" t="s">
        <v>4</v>
      </c>
      <c r="F5" s="74" t="s">
        <v>28</v>
      </c>
      <c r="G5" s="75" t="s">
        <v>6</v>
      </c>
      <c r="H5" s="76" t="s">
        <v>30</v>
      </c>
      <c r="J5" s="73"/>
      <c r="K5" s="73" t="s">
        <v>1</v>
      </c>
      <c r="L5" s="73"/>
      <c r="M5" s="75" t="s">
        <v>4</v>
      </c>
      <c r="N5" s="74" t="s">
        <v>28</v>
      </c>
      <c r="O5" s="75" t="s">
        <v>6</v>
      </c>
      <c r="P5" s="76" t="s">
        <v>30</v>
      </c>
      <c r="R5" s="235"/>
      <c r="S5" s="235" t="s">
        <v>1</v>
      </c>
      <c r="T5" s="235"/>
      <c r="U5" s="236" t="s">
        <v>4</v>
      </c>
      <c r="V5" s="237" t="s">
        <v>28</v>
      </c>
      <c r="W5" s="236" t="s">
        <v>6</v>
      </c>
      <c r="X5" s="238" t="s">
        <v>30</v>
      </c>
      <c r="Z5" s="235"/>
      <c r="AA5" s="235" t="s">
        <v>1</v>
      </c>
      <c r="AB5" s="235"/>
      <c r="AC5" s="236" t="s">
        <v>4</v>
      </c>
      <c r="AD5" s="237" t="s">
        <v>28</v>
      </c>
      <c r="AE5" s="236" t="s">
        <v>6</v>
      </c>
      <c r="AF5" s="238" t="s">
        <v>30</v>
      </c>
      <c r="AH5" s="235"/>
      <c r="AI5" s="235" t="s">
        <v>1</v>
      </c>
      <c r="AJ5" s="235"/>
      <c r="AK5" s="236" t="s">
        <v>4</v>
      </c>
      <c r="AL5" s="237" t="s">
        <v>28</v>
      </c>
      <c r="AM5" s="236" t="s">
        <v>6</v>
      </c>
      <c r="AN5" s="238" t="s">
        <v>30</v>
      </c>
      <c r="AP5" s="73"/>
      <c r="AQ5" s="73" t="s">
        <v>1</v>
      </c>
      <c r="AR5" s="73"/>
      <c r="AS5" s="75" t="s">
        <v>4</v>
      </c>
      <c r="AT5" s="74" t="s">
        <v>28</v>
      </c>
      <c r="AU5" s="75" t="s">
        <v>6</v>
      </c>
      <c r="AV5" s="76" t="s">
        <v>30</v>
      </c>
      <c r="AX5" s="73"/>
      <c r="AY5" s="73" t="s">
        <v>1</v>
      </c>
      <c r="AZ5" s="73"/>
      <c r="BA5" s="75" t="s">
        <v>4</v>
      </c>
      <c r="BB5" s="74" t="s">
        <v>28</v>
      </c>
      <c r="BC5" s="75" t="s">
        <v>6</v>
      </c>
      <c r="BD5" s="76" t="s">
        <v>30</v>
      </c>
    </row>
    <row r="6" spans="1:56" x14ac:dyDescent="0.25">
      <c r="A6" s="230"/>
      <c r="B6" s="77">
        <v>46037</v>
      </c>
      <c r="C6" s="79">
        <v>500</v>
      </c>
      <c r="D6" s="79"/>
      <c r="E6" s="79">
        <f>C6</f>
        <v>500</v>
      </c>
      <c r="F6" s="80">
        <v>46037</v>
      </c>
      <c r="G6" s="81"/>
      <c r="H6" s="82"/>
      <c r="J6" s="9">
        <v>46037</v>
      </c>
      <c r="K6" s="79">
        <v>700</v>
      </c>
      <c r="L6" s="79"/>
      <c r="M6" s="79">
        <f>K6</f>
        <v>700</v>
      </c>
      <c r="N6" s="80">
        <v>46037</v>
      </c>
      <c r="O6" s="283"/>
      <c r="P6" s="82"/>
      <c r="R6" s="9">
        <v>46023</v>
      </c>
      <c r="S6" s="240">
        <v>2000</v>
      </c>
      <c r="T6" s="240"/>
      <c r="U6" s="240">
        <f>S6</f>
        <v>2000</v>
      </c>
      <c r="V6" s="16">
        <v>46037</v>
      </c>
      <c r="W6" s="241"/>
      <c r="X6" s="242"/>
      <c r="Y6" s="60"/>
      <c r="Z6" s="9">
        <v>46023</v>
      </c>
      <c r="AA6" s="240">
        <v>3000</v>
      </c>
      <c r="AB6" s="240"/>
      <c r="AC6" s="240">
        <f>AA6</f>
        <v>3000</v>
      </c>
      <c r="AD6" s="16">
        <v>46037</v>
      </c>
      <c r="AE6" s="241"/>
      <c r="AF6" s="242"/>
      <c r="AH6" s="239">
        <v>46023</v>
      </c>
      <c r="AI6" s="327">
        <v>500</v>
      </c>
      <c r="AJ6" s="327"/>
      <c r="AK6" s="240">
        <f>AI6</f>
        <v>500</v>
      </c>
      <c r="AL6" s="16">
        <v>46037</v>
      </c>
      <c r="AM6" s="241"/>
      <c r="AN6" s="242"/>
      <c r="AP6" s="77">
        <v>46023</v>
      </c>
      <c r="AQ6" s="79">
        <v>1000</v>
      </c>
      <c r="AR6" s="79"/>
      <c r="AS6" s="79">
        <f>AQ6</f>
        <v>1000</v>
      </c>
      <c r="AT6" s="80">
        <v>46037</v>
      </c>
      <c r="AU6" s="81"/>
      <c r="AV6" s="82"/>
      <c r="AX6" s="77"/>
      <c r="AY6" s="79"/>
      <c r="AZ6" s="79"/>
      <c r="BA6" s="79">
        <f>AY6</f>
        <v>0</v>
      </c>
      <c r="BB6" s="80">
        <v>46037</v>
      </c>
      <c r="BC6" s="81"/>
      <c r="BD6" s="82"/>
    </row>
    <row r="7" spans="1:56" ht="15.75" thickBot="1" x14ac:dyDescent="0.3">
      <c r="A7" s="230"/>
      <c r="B7" s="10"/>
      <c r="C7" s="87"/>
      <c r="D7" s="87"/>
      <c r="E7" s="87">
        <f>SUM(E6,C7,-D7)</f>
        <v>500</v>
      </c>
      <c r="F7" s="88">
        <v>46052</v>
      </c>
      <c r="G7" s="89"/>
      <c r="H7" s="82"/>
      <c r="J7" s="10">
        <v>46052</v>
      </c>
      <c r="K7" s="87"/>
      <c r="L7" s="87">
        <v>300</v>
      </c>
      <c r="M7" s="87">
        <f t="shared" ref="M7:M50" si="0">SUM(M6,K7,-L7)</f>
        <v>400</v>
      </c>
      <c r="N7" s="88">
        <v>46052</v>
      </c>
      <c r="O7" s="220"/>
      <c r="P7" s="82"/>
      <c r="R7" s="243">
        <v>46037</v>
      </c>
      <c r="S7" s="221"/>
      <c r="T7" s="297">
        <v>100</v>
      </c>
      <c r="U7" s="221">
        <f>SUM(U6,S7,-T7)</f>
        <v>1900</v>
      </c>
      <c r="V7" s="17">
        <v>46052</v>
      </c>
      <c r="W7" s="244"/>
      <c r="X7" s="242"/>
      <c r="Y7" s="60"/>
      <c r="Z7" s="243">
        <v>46051</v>
      </c>
      <c r="AA7" s="221"/>
      <c r="AB7" s="221">
        <v>200</v>
      </c>
      <c r="AC7" s="221">
        <f>SUM(AC6,AA7,-AB7)</f>
        <v>2800</v>
      </c>
      <c r="AD7" s="17">
        <v>46052</v>
      </c>
      <c r="AE7" s="315"/>
      <c r="AF7" s="242"/>
      <c r="AH7" s="328"/>
      <c r="AI7" s="316"/>
      <c r="AJ7" s="297"/>
      <c r="AK7" s="221">
        <f>SUM(AK6,AI7,-AJ7)</f>
        <v>500</v>
      </c>
      <c r="AL7" s="17">
        <v>46052</v>
      </c>
      <c r="AM7" s="244"/>
      <c r="AN7" s="242"/>
      <c r="AP7" s="10"/>
      <c r="AQ7" s="87"/>
      <c r="AR7" s="87"/>
      <c r="AS7" s="87">
        <f>SUM(AS6,AQ7,-AR7)</f>
        <v>1000</v>
      </c>
      <c r="AT7" s="88">
        <v>46052</v>
      </c>
      <c r="AU7" s="89"/>
      <c r="AV7" s="82"/>
      <c r="AX7" s="10"/>
      <c r="AY7" s="87"/>
      <c r="AZ7" s="87"/>
      <c r="BA7" s="87">
        <f>SUM(BA6,AY7,-AZ7)</f>
        <v>0</v>
      </c>
      <c r="BB7" s="88">
        <v>46052</v>
      </c>
      <c r="BC7" s="89"/>
      <c r="BD7" s="82"/>
    </row>
    <row r="8" spans="1:56" x14ac:dyDescent="0.25">
      <c r="A8" s="230"/>
      <c r="B8" s="84"/>
      <c r="C8" s="87"/>
      <c r="D8" s="87"/>
      <c r="E8" s="87">
        <f t="shared" ref="E8:E50" si="1">SUM(E7,C8,-D8)</f>
        <v>500</v>
      </c>
      <c r="F8" s="93">
        <v>46068</v>
      </c>
      <c r="G8" s="89"/>
      <c r="H8" s="82"/>
      <c r="J8" s="84"/>
      <c r="K8" s="87"/>
      <c r="L8" s="222"/>
      <c r="M8" s="87">
        <f t="shared" si="0"/>
        <v>400</v>
      </c>
      <c r="N8" s="93">
        <v>46068</v>
      </c>
      <c r="O8" s="220"/>
      <c r="P8" s="82"/>
      <c r="R8" s="243"/>
      <c r="S8" s="221"/>
      <c r="T8" s="221"/>
      <c r="U8" s="221">
        <f t="shared" ref="U8:U53" si="2">SUM(U7,S8,-T8)</f>
        <v>1900</v>
      </c>
      <c r="V8" s="245">
        <v>46068</v>
      </c>
      <c r="W8" s="244"/>
      <c r="X8" s="242"/>
      <c r="Z8" s="243">
        <v>46126</v>
      </c>
      <c r="AA8" s="289"/>
      <c r="AB8" s="221">
        <v>200</v>
      </c>
      <c r="AC8" s="221">
        <f t="shared" ref="AC8:AC50" si="3">SUM(AC7,AA8,-AB8)</f>
        <v>2600</v>
      </c>
      <c r="AD8" s="245">
        <v>46068</v>
      </c>
      <c r="AE8" s="315"/>
      <c r="AF8" s="242"/>
      <c r="AH8" s="328"/>
      <c r="AI8" s="316"/>
      <c r="AJ8" s="316"/>
      <c r="AK8" s="221">
        <f>SUM(AK7,AI8,-AJ8)</f>
        <v>500</v>
      </c>
      <c r="AL8" s="245">
        <v>46068</v>
      </c>
      <c r="AM8" s="244"/>
      <c r="AN8" s="242"/>
      <c r="AP8" s="84"/>
      <c r="AQ8" s="87"/>
      <c r="AR8" s="87"/>
      <c r="AS8" s="87">
        <f t="shared" ref="AS8:AS50" si="4">SUM(AS7,AQ8,-AR8)</f>
        <v>1000</v>
      </c>
      <c r="AT8" s="93">
        <v>46068</v>
      </c>
      <c r="AU8" s="89"/>
      <c r="AV8" s="82"/>
      <c r="AX8" s="84"/>
      <c r="AY8" s="87"/>
      <c r="AZ8" s="87"/>
      <c r="BA8" s="87">
        <f t="shared" ref="BA8:BA50" si="5">SUM(BA7,AY8,-AZ8)</f>
        <v>0</v>
      </c>
      <c r="BB8" s="93">
        <v>46068</v>
      </c>
      <c r="BC8" s="89"/>
      <c r="BD8" s="82"/>
    </row>
    <row r="9" spans="1:56" ht="15.75" thickBot="1" x14ac:dyDescent="0.3">
      <c r="A9" s="230"/>
      <c r="B9" s="10"/>
      <c r="C9" s="87"/>
      <c r="D9" s="87"/>
      <c r="E9" s="87">
        <f t="shared" si="1"/>
        <v>500</v>
      </c>
      <c r="F9" s="96">
        <v>46081</v>
      </c>
      <c r="G9" s="89"/>
      <c r="H9" s="82"/>
      <c r="J9" s="84"/>
      <c r="K9" s="87"/>
      <c r="L9" s="87"/>
      <c r="M9" s="87">
        <f t="shared" si="0"/>
        <v>400</v>
      </c>
      <c r="N9" s="96">
        <v>46081</v>
      </c>
      <c r="O9" s="220"/>
      <c r="P9" s="82"/>
      <c r="R9" s="243"/>
      <c r="S9" s="221"/>
      <c r="T9" s="221"/>
      <c r="U9" s="221">
        <f t="shared" si="2"/>
        <v>1900</v>
      </c>
      <c r="V9" s="246">
        <v>46081</v>
      </c>
      <c r="W9" s="244"/>
      <c r="X9" s="242"/>
      <c r="Z9" s="243">
        <v>46141</v>
      </c>
      <c r="AA9" s="221"/>
      <c r="AB9" s="221">
        <v>200</v>
      </c>
      <c r="AC9" s="221">
        <f t="shared" si="3"/>
        <v>2400</v>
      </c>
      <c r="AD9" s="246">
        <v>46081</v>
      </c>
      <c r="AE9" s="315"/>
      <c r="AF9" s="242"/>
      <c r="AH9" s="328"/>
      <c r="AI9" s="316"/>
      <c r="AJ9" s="316"/>
      <c r="AK9" s="221">
        <f t="shared" ref="AK9:AK50" si="6">SUM(AK8,AI9,-AJ9)</f>
        <v>500</v>
      </c>
      <c r="AL9" s="246">
        <v>46081</v>
      </c>
      <c r="AM9" s="244"/>
      <c r="AN9" s="242"/>
      <c r="AP9" s="10"/>
      <c r="AQ9" s="87"/>
      <c r="AR9" s="87"/>
      <c r="AS9" s="87">
        <f t="shared" si="4"/>
        <v>1000</v>
      </c>
      <c r="AT9" s="96">
        <v>46081</v>
      </c>
      <c r="AU9" s="89"/>
      <c r="AV9" s="82"/>
      <c r="AX9" s="10"/>
      <c r="AY9" s="87"/>
      <c r="AZ9" s="87"/>
      <c r="BA9" s="87">
        <f t="shared" si="5"/>
        <v>0</v>
      </c>
      <c r="BB9" s="96">
        <v>46081</v>
      </c>
      <c r="BC9" s="89"/>
      <c r="BD9" s="82"/>
    </row>
    <row r="10" spans="1:56" x14ac:dyDescent="0.25">
      <c r="A10" s="230"/>
      <c r="B10" s="84"/>
      <c r="C10" s="87"/>
      <c r="D10" s="87"/>
      <c r="E10" s="87">
        <f t="shared" si="1"/>
        <v>500</v>
      </c>
      <c r="F10" s="80">
        <v>46096</v>
      </c>
      <c r="G10" s="89"/>
      <c r="H10" s="82"/>
      <c r="J10" s="84"/>
      <c r="K10" s="87"/>
      <c r="L10" s="87"/>
      <c r="M10" s="87">
        <f t="shared" si="0"/>
        <v>400</v>
      </c>
      <c r="N10" s="80">
        <v>46096</v>
      </c>
      <c r="O10" s="220"/>
      <c r="P10" s="82"/>
      <c r="R10" s="243"/>
      <c r="S10" s="221"/>
      <c r="T10" s="221"/>
      <c r="U10" s="221">
        <f t="shared" si="2"/>
        <v>1900</v>
      </c>
      <c r="V10" s="16">
        <v>46096</v>
      </c>
      <c r="W10" s="244"/>
      <c r="X10" s="242"/>
      <c r="Z10" s="10">
        <v>46185</v>
      </c>
      <c r="AA10" s="221"/>
      <c r="AB10" s="297">
        <v>200</v>
      </c>
      <c r="AC10" s="221">
        <f t="shared" si="3"/>
        <v>2200</v>
      </c>
      <c r="AD10" s="16">
        <v>46096</v>
      </c>
      <c r="AE10" s="315"/>
      <c r="AF10" s="242"/>
      <c r="AH10" s="328"/>
      <c r="AI10" s="316"/>
      <c r="AJ10" s="316"/>
      <c r="AK10" s="221">
        <f t="shared" si="6"/>
        <v>500</v>
      </c>
      <c r="AL10" s="16">
        <v>46096</v>
      </c>
      <c r="AM10" s="315"/>
      <c r="AN10" s="242"/>
      <c r="AP10" s="84"/>
      <c r="AQ10" s="87"/>
      <c r="AR10" s="87"/>
      <c r="AS10" s="87">
        <f t="shared" si="4"/>
        <v>1000</v>
      </c>
      <c r="AT10" s="80">
        <v>46096</v>
      </c>
      <c r="AU10" s="89"/>
      <c r="AV10" s="82"/>
      <c r="AX10" s="84"/>
      <c r="AY10" s="87"/>
      <c r="AZ10" s="87"/>
      <c r="BA10" s="87">
        <f t="shared" si="5"/>
        <v>0</v>
      </c>
      <c r="BB10" s="80">
        <v>46096</v>
      </c>
      <c r="BC10" s="89"/>
      <c r="BD10" s="82"/>
    </row>
    <row r="11" spans="1:56" ht="15.75" thickBot="1" x14ac:dyDescent="0.3">
      <c r="A11" s="230"/>
      <c r="B11" s="84"/>
      <c r="C11" s="87"/>
      <c r="D11" s="161"/>
      <c r="E11" s="87">
        <f t="shared" si="1"/>
        <v>500</v>
      </c>
      <c r="F11" s="88">
        <v>46111</v>
      </c>
      <c r="G11" s="89"/>
      <c r="H11" s="82"/>
      <c r="J11" s="84"/>
      <c r="K11" s="87"/>
      <c r="L11" s="87"/>
      <c r="M11" s="87">
        <f t="shared" si="0"/>
        <v>400</v>
      </c>
      <c r="N11" s="88">
        <v>46111</v>
      </c>
      <c r="O11" s="220"/>
      <c r="P11" s="82"/>
      <c r="R11" s="243"/>
      <c r="S11" s="221"/>
      <c r="T11" s="221"/>
      <c r="U11" s="221">
        <f t="shared" si="2"/>
        <v>1900</v>
      </c>
      <c r="V11" s="17">
        <v>46111</v>
      </c>
      <c r="W11" s="244"/>
      <c r="X11" s="242"/>
      <c r="Z11" s="243">
        <v>46217</v>
      </c>
      <c r="AA11" s="221"/>
      <c r="AB11" s="221">
        <v>200</v>
      </c>
      <c r="AC11" s="221">
        <f t="shared" si="3"/>
        <v>2000</v>
      </c>
      <c r="AD11" s="17">
        <v>46111</v>
      </c>
      <c r="AE11" s="315"/>
      <c r="AF11" s="242"/>
      <c r="AH11" s="243"/>
      <c r="AI11" s="221"/>
      <c r="AJ11" s="221"/>
      <c r="AK11" s="221">
        <f t="shared" si="6"/>
        <v>500</v>
      </c>
      <c r="AL11" s="17">
        <v>46111</v>
      </c>
      <c r="AM11" s="315"/>
      <c r="AN11" s="242"/>
      <c r="AP11" s="84"/>
      <c r="AQ11" s="87"/>
      <c r="AR11" s="161"/>
      <c r="AS11" s="87">
        <f t="shared" si="4"/>
        <v>1000</v>
      </c>
      <c r="AT11" s="88">
        <v>46111</v>
      </c>
      <c r="AU11" s="89"/>
      <c r="AV11" s="82"/>
      <c r="AX11" s="84"/>
      <c r="AY11" s="87"/>
      <c r="AZ11" s="161"/>
      <c r="BA11" s="87">
        <f t="shared" si="5"/>
        <v>0</v>
      </c>
      <c r="BB11" s="88">
        <v>46111</v>
      </c>
      <c r="BC11" s="89"/>
      <c r="BD11" s="82"/>
    </row>
    <row r="12" spans="1:56" x14ac:dyDescent="0.25">
      <c r="A12" s="230"/>
      <c r="B12" s="84"/>
      <c r="C12" s="87"/>
      <c r="D12" s="87"/>
      <c r="E12" s="221">
        <f t="shared" si="1"/>
        <v>500</v>
      </c>
      <c r="F12" s="93">
        <v>46127</v>
      </c>
      <c r="G12" s="89"/>
      <c r="H12" s="82"/>
      <c r="J12" s="84"/>
      <c r="K12" s="87"/>
      <c r="L12" s="87"/>
      <c r="M12" s="87">
        <f t="shared" si="0"/>
        <v>400</v>
      </c>
      <c r="N12" s="93">
        <v>46127</v>
      </c>
      <c r="O12" s="220"/>
      <c r="P12" s="82"/>
      <c r="R12" s="243"/>
      <c r="S12" s="221"/>
      <c r="T12" s="221"/>
      <c r="U12" s="221">
        <f t="shared" si="2"/>
        <v>1900</v>
      </c>
      <c r="V12" s="245">
        <v>46127</v>
      </c>
      <c r="W12" s="315"/>
      <c r="X12" s="242"/>
      <c r="Z12" s="243"/>
      <c r="AA12" s="221"/>
      <c r="AB12" s="221"/>
      <c r="AC12" s="221">
        <f t="shared" si="3"/>
        <v>2000</v>
      </c>
      <c r="AD12" s="245">
        <v>46127</v>
      </c>
      <c r="AE12" s="315"/>
      <c r="AF12" s="242"/>
      <c r="AH12" s="243"/>
      <c r="AI12" s="221"/>
      <c r="AJ12" s="221"/>
      <c r="AK12" s="221">
        <f t="shared" si="6"/>
        <v>500</v>
      </c>
      <c r="AL12" s="245">
        <v>46127</v>
      </c>
      <c r="AM12" s="315"/>
      <c r="AN12" s="242"/>
      <c r="AP12" s="84"/>
      <c r="AQ12" s="87"/>
      <c r="AR12" s="87"/>
      <c r="AS12" s="221">
        <f t="shared" si="4"/>
        <v>1000</v>
      </c>
      <c r="AT12" s="93">
        <v>46127</v>
      </c>
      <c r="AU12" s="89"/>
      <c r="AV12" s="82"/>
      <c r="AX12" s="84"/>
      <c r="AY12" s="87"/>
      <c r="AZ12" s="87"/>
      <c r="BA12" s="221">
        <f t="shared" si="5"/>
        <v>0</v>
      </c>
      <c r="BB12" s="93">
        <v>46127</v>
      </c>
      <c r="BC12" s="89"/>
      <c r="BD12" s="82"/>
    </row>
    <row r="13" spans="1:56" ht="15.75" thickBot="1" x14ac:dyDescent="0.3">
      <c r="A13" s="230"/>
      <c r="B13" s="84"/>
      <c r="C13" s="87"/>
      <c r="D13" s="87"/>
      <c r="E13" s="87">
        <f t="shared" si="1"/>
        <v>500</v>
      </c>
      <c r="F13" s="96">
        <v>46142</v>
      </c>
      <c r="G13" s="89"/>
      <c r="H13" s="82"/>
      <c r="J13" s="84"/>
      <c r="K13" s="87"/>
      <c r="L13" s="87"/>
      <c r="M13" s="87">
        <f t="shared" si="0"/>
        <v>400</v>
      </c>
      <c r="N13" s="96">
        <v>46142</v>
      </c>
      <c r="O13" s="220"/>
      <c r="P13" s="82"/>
      <c r="R13" s="243"/>
      <c r="S13" s="221"/>
      <c r="T13" s="221"/>
      <c r="U13" s="221">
        <f t="shared" si="2"/>
        <v>1900</v>
      </c>
      <c r="V13" s="246">
        <v>46142</v>
      </c>
      <c r="W13" s="315"/>
      <c r="X13" s="242"/>
      <c r="Z13" s="243"/>
      <c r="AA13" s="221"/>
      <c r="AB13" s="221"/>
      <c r="AC13" s="221">
        <f t="shared" si="3"/>
        <v>2000</v>
      </c>
      <c r="AD13" s="246">
        <v>46142</v>
      </c>
      <c r="AE13" s="315"/>
      <c r="AF13" s="242"/>
      <c r="AH13" s="243"/>
      <c r="AI13" s="221"/>
      <c r="AJ13" s="221"/>
      <c r="AK13" s="221">
        <f t="shared" si="6"/>
        <v>500</v>
      </c>
      <c r="AL13" s="246">
        <v>46142</v>
      </c>
      <c r="AM13" s="315"/>
      <c r="AN13" s="242"/>
      <c r="AP13" s="84"/>
      <c r="AQ13" s="87"/>
      <c r="AR13" s="87"/>
      <c r="AS13" s="87">
        <f t="shared" si="4"/>
        <v>1000</v>
      </c>
      <c r="AT13" s="96">
        <v>46142</v>
      </c>
      <c r="AU13" s="89"/>
      <c r="AV13" s="82"/>
      <c r="AX13" s="84"/>
      <c r="AY13" s="87"/>
      <c r="AZ13" s="87"/>
      <c r="BA13" s="87">
        <f t="shared" si="5"/>
        <v>0</v>
      </c>
      <c r="BB13" s="96">
        <v>46142</v>
      </c>
      <c r="BC13" s="89"/>
      <c r="BD13" s="82"/>
    </row>
    <row r="14" spans="1:56" x14ac:dyDescent="0.25">
      <c r="A14" s="230"/>
      <c r="B14" s="10"/>
      <c r="C14" s="87"/>
      <c r="D14" s="87"/>
      <c r="E14" s="87">
        <f t="shared" si="1"/>
        <v>500</v>
      </c>
      <c r="F14" s="80">
        <v>46157</v>
      </c>
      <c r="G14" s="89"/>
      <c r="H14" s="82"/>
      <c r="J14" s="84"/>
      <c r="K14" s="87"/>
      <c r="L14" s="87"/>
      <c r="M14" s="87">
        <f t="shared" si="0"/>
        <v>400</v>
      </c>
      <c r="N14" s="80">
        <v>46157</v>
      </c>
      <c r="O14" s="220"/>
      <c r="P14" s="82"/>
      <c r="R14" s="243"/>
      <c r="S14" s="221"/>
      <c r="T14" s="316"/>
      <c r="U14" s="221">
        <f t="shared" si="2"/>
        <v>1900</v>
      </c>
      <c r="V14" s="16">
        <v>46157</v>
      </c>
      <c r="W14" s="315"/>
      <c r="X14" s="242"/>
      <c r="Z14" s="243"/>
      <c r="AA14" s="221"/>
      <c r="AB14" s="221"/>
      <c r="AC14" s="221">
        <f t="shared" si="3"/>
        <v>2000</v>
      </c>
      <c r="AD14" s="16">
        <v>46157</v>
      </c>
      <c r="AE14" s="314"/>
      <c r="AF14" s="242"/>
      <c r="AH14" s="243"/>
      <c r="AI14" s="221"/>
      <c r="AJ14" s="221"/>
      <c r="AK14" s="221">
        <f t="shared" si="6"/>
        <v>500</v>
      </c>
      <c r="AL14" s="16">
        <v>46157</v>
      </c>
      <c r="AM14" s="315"/>
      <c r="AN14" s="242"/>
      <c r="AP14" s="10"/>
      <c r="AQ14" s="87"/>
      <c r="AR14" s="87"/>
      <c r="AS14" s="87">
        <f t="shared" si="4"/>
        <v>1000</v>
      </c>
      <c r="AT14" s="80">
        <v>46157</v>
      </c>
      <c r="AU14" s="89"/>
      <c r="AV14" s="82"/>
      <c r="AX14" s="10"/>
      <c r="AY14" s="87"/>
      <c r="AZ14" s="87"/>
      <c r="BA14" s="87">
        <f t="shared" si="5"/>
        <v>0</v>
      </c>
      <c r="BB14" s="80">
        <v>46157</v>
      </c>
      <c r="BC14" s="89"/>
      <c r="BD14" s="82"/>
    </row>
    <row r="15" spans="1:56" ht="15.75" thickBot="1" x14ac:dyDescent="0.3">
      <c r="A15" s="230"/>
      <c r="B15" s="84"/>
      <c r="C15" s="87"/>
      <c r="D15" s="87"/>
      <c r="E15" s="87">
        <f t="shared" si="1"/>
        <v>500</v>
      </c>
      <c r="F15" s="88">
        <v>46172</v>
      </c>
      <c r="G15" s="89"/>
      <c r="H15" s="82"/>
      <c r="J15" s="84"/>
      <c r="K15" s="87"/>
      <c r="L15" s="87"/>
      <c r="M15" s="87">
        <f t="shared" si="0"/>
        <v>400</v>
      </c>
      <c r="N15" s="88">
        <v>46172</v>
      </c>
      <c r="O15" s="89"/>
      <c r="P15" s="82"/>
      <c r="R15" s="243"/>
      <c r="S15" s="221"/>
      <c r="T15" s="221"/>
      <c r="U15" s="221">
        <f t="shared" si="2"/>
        <v>1900</v>
      </c>
      <c r="V15" s="17">
        <v>46172</v>
      </c>
      <c r="W15" s="315"/>
      <c r="X15" s="242"/>
      <c r="Z15" s="243"/>
      <c r="AA15" s="221"/>
      <c r="AB15" s="221"/>
      <c r="AC15" s="221">
        <f t="shared" si="3"/>
        <v>2000</v>
      </c>
      <c r="AD15" s="17">
        <v>46172</v>
      </c>
      <c r="AE15" s="314"/>
      <c r="AF15" s="242"/>
      <c r="AH15" s="243"/>
      <c r="AI15" s="221"/>
      <c r="AJ15" s="221"/>
      <c r="AK15" s="221">
        <f t="shared" si="6"/>
        <v>500</v>
      </c>
      <c r="AL15" s="17">
        <v>46172</v>
      </c>
      <c r="AM15" s="315"/>
      <c r="AN15" s="242"/>
      <c r="AP15" s="84"/>
      <c r="AQ15" s="87"/>
      <c r="AR15" s="87"/>
      <c r="AS15" s="87">
        <f t="shared" si="4"/>
        <v>1000</v>
      </c>
      <c r="AT15" s="88">
        <v>46172</v>
      </c>
      <c r="AU15" s="89"/>
      <c r="AV15" s="82"/>
      <c r="AX15" s="84"/>
      <c r="AY15" s="87"/>
      <c r="AZ15" s="87"/>
      <c r="BA15" s="87">
        <f t="shared" si="5"/>
        <v>0</v>
      </c>
      <c r="BB15" s="88">
        <v>46172</v>
      </c>
      <c r="BC15" s="89"/>
      <c r="BD15" s="82"/>
    </row>
    <row r="16" spans="1:56" x14ac:dyDescent="0.25">
      <c r="A16" s="230"/>
      <c r="B16" s="84"/>
      <c r="C16" s="87"/>
      <c r="D16" s="87"/>
      <c r="E16" s="87">
        <f t="shared" si="1"/>
        <v>500</v>
      </c>
      <c r="F16" s="93">
        <v>46188</v>
      </c>
      <c r="G16" s="89"/>
      <c r="H16" s="82"/>
      <c r="J16" s="84"/>
      <c r="K16" s="87"/>
      <c r="L16" s="87"/>
      <c r="M16" s="87">
        <f t="shared" si="0"/>
        <v>400</v>
      </c>
      <c r="N16" s="93">
        <v>46188</v>
      </c>
      <c r="O16" s="89"/>
      <c r="P16" s="82"/>
      <c r="R16" s="243"/>
      <c r="S16" s="221"/>
      <c r="T16" s="221"/>
      <c r="U16" s="221">
        <f t="shared" si="2"/>
        <v>1900</v>
      </c>
      <c r="V16" s="245">
        <v>46188</v>
      </c>
      <c r="W16" s="244"/>
      <c r="X16" s="242"/>
      <c r="Z16" s="243"/>
      <c r="AA16" s="221"/>
      <c r="AB16" s="221"/>
      <c r="AC16" s="221">
        <f t="shared" si="3"/>
        <v>2000</v>
      </c>
      <c r="AD16" s="245">
        <v>46188</v>
      </c>
      <c r="AE16" s="314"/>
      <c r="AF16" s="242"/>
      <c r="AH16" s="243"/>
      <c r="AI16" s="221"/>
      <c r="AJ16" s="221"/>
      <c r="AK16" s="221">
        <f t="shared" si="6"/>
        <v>500</v>
      </c>
      <c r="AL16" s="245">
        <v>46188</v>
      </c>
      <c r="AM16" s="315"/>
      <c r="AN16" s="242"/>
      <c r="AP16" s="84"/>
      <c r="AQ16" s="87"/>
      <c r="AR16" s="87"/>
      <c r="AS16" s="87">
        <f t="shared" si="4"/>
        <v>1000</v>
      </c>
      <c r="AT16" s="93">
        <v>46188</v>
      </c>
      <c r="AU16" s="89"/>
      <c r="AV16" s="82"/>
      <c r="AX16" s="84"/>
      <c r="AY16" s="87"/>
      <c r="AZ16" s="87"/>
      <c r="BA16" s="87">
        <f t="shared" si="5"/>
        <v>0</v>
      </c>
      <c r="BB16" s="93">
        <v>46188</v>
      </c>
      <c r="BC16" s="89"/>
      <c r="BD16" s="82"/>
    </row>
    <row r="17" spans="1:56" ht="15.75" thickBot="1" x14ac:dyDescent="0.3">
      <c r="A17" s="230"/>
      <c r="B17" s="84"/>
      <c r="C17" s="87"/>
      <c r="D17" s="87"/>
      <c r="E17" s="87">
        <f t="shared" si="1"/>
        <v>500</v>
      </c>
      <c r="F17" s="96">
        <v>46203</v>
      </c>
      <c r="G17" s="89"/>
      <c r="H17" s="82"/>
      <c r="J17" s="84"/>
      <c r="K17" s="87"/>
      <c r="L17" s="87"/>
      <c r="M17" s="87">
        <f t="shared" si="0"/>
        <v>400</v>
      </c>
      <c r="N17" s="96">
        <v>46203</v>
      </c>
      <c r="O17" s="89"/>
      <c r="P17" s="82"/>
      <c r="R17" s="243"/>
      <c r="S17" s="221"/>
      <c r="T17" s="221"/>
      <c r="U17" s="221">
        <f t="shared" si="2"/>
        <v>1900</v>
      </c>
      <c r="V17" s="246">
        <v>46203</v>
      </c>
      <c r="W17" s="244"/>
      <c r="X17" s="242"/>
      <c r="Z17" s="243"/>
      <c r="AA17" s="221"/>
      <c r="AB17" s="221"/>
      <c r="AC17" s="221">
        <f t="shared" si="3"/>
        <v>2000</v>
      </c>
      <c r="AD17" s="246">
        <v>46203</v>
      </c>
      <c r="AE17" s="315"/>
      <c r="AF17" s="242"/>
      <c r="AH17" s="243"/>
      <c r="AI17" s="221"/>
      <c r="AJ17" s="221"/>
      <c r="AK17" s="221">
        <f t="shared" si="6"/>
        <v>500</v>
      </c>
      <c r="AL17" s="246">
        <v>46203</v>
      </c>
      <c r="AM17" s="315"/>
      <c r="AN17" s="242"/>
      <c r="AP17" s="84"/>
      <c r="AQ17" s="87"/>
      <c r="AR17" s="87"/>
      <c r="AS17" s="87">
        <f t="shared" si="4"/>
        <v>1000</v>
      </c>
      <c r="AT17" s="96">
        <v>46203</v>
      </c>
      <c r="AU17" s="89"/>
      <c r="AV17" s="82"/>
      <c r="AX17" s="84"/>
      <c r="AY17" s="87"/>
      <c r="AZ17" s="87"/>
      <c r="BA17" s="87">
        <f t="shared" si="5"/>
        <v>0</v>
      </c>
      <c r="BB17" s="96">
        <v>46203</v>
      </c>
      <c r="BC17" s="89"/>
      <c r="BD17" s="82"/>
    </row>
    <row r="18" spans="1:56" x14ac:dyDescent="0.25">
      <c r="A18" s="230"/>
      <c r="B18" s="84"/>
      <c r="C18" s="87"/>
      <c r="D18" s="87"/>
      <c r="E18" s="87">
        <f t="shared" si="1"/>
        <v>500</v>
      </c>
      <c r="F18" s="80">
        <v>46218</v>
      </c>
      <c r="G18" s="89"/>
      <c r="H18" s="82"/>
      <c r="J18" s="84"/>
      <c r="K18" s="87"/>
      <c r="L18" s="87"/>
      <c r="M18" s="87">
        <f t="shared" si="0"/>
        <v>400</v>
      </c>
      <c r="N18" s="80">
        <v>46218</v>
      </c>
      <c r="O18" s="89"/>
      <c r="P18" s="82"/>
      <c r="R18" s="243"/>
      <c r="S18" s="221"/>
      <c r="T18" s="221"/>
      <c r="U18" s="221">
        <f t="shared" si="2"/>
        <v>1900</v>
      </c>
      <c r="V18" s="16">
        <v>46218</v>
      </c>
      <c r="W18" s="244"/>
      <c r="X18" s="242"/>
      <c r="Z18" s="243"/>
      <c r="AA18" s="221"/>
      <c r="AB18" s="221"/>
      <c r="AC18" s="221">
        <f t="shared" si="3"/>
        <v>2000</v>
      </c>
      <c r="AD18" s="16">
        <v>46218</v>
      </c>
      <c r="AE18" s="315"/>
      <c r="AF18" s="242"/>
      <c r="AH18" s="243"/>
      <c r="AI18" s="221"/>
      <c r="AJ18" s="221"/>
      <c r="AK18" s="221">
        <f t="shared" si="6"/>
        <v>500</v>
      </c>
      <c r="AL18" s="16">
        <v>46218</v>
      </c>
      <c r="AM18" s="315"/>
      <c r="AN18" s="242"/>
      <c r="AP18" s="84"/>
      <c r="AQ18" s="87"/>
      <c r="AR18" s="87"/>
      <c r="AS18" s="87">
        <f t="shared" si="4"/>
        <v>1000</v>
      </c>
      <c r="AT18" s="80">
        <v>46218</v>
      </c>
      <c r="AU18" s="89"/>
      <c r="AV18" s="82"/>
      <c r="AX18" s="84"/>
      <c r="AY18" s="87"/>
      <c r="AZ18" s="87"/>
      <c r="BA18" s="87">
        <f t="shared" si="5"/>
        <v>0</v>
      </c>
      <c r="BB18" s="80">
        <v>46218</v>
      </c>
      <c r="BC18" s="89"/>
      <c r="BD18" s="82"/>
    </row>
    <row r="19" spans="1:56" ht="15.75" thickBot="1" x14ac:dyDescent="0.3">
      <c r="A19" s="230"/>
      <c r="B19" s="84"/>
      <c r="C19" s="87"/>
      <c r="D19" s="87"/>
      <c r="E19" s="87">
        <f t="shared" si="1"/>
        <v>500</v>
      </c>
      <c r="F19" s="88">
        <v>46233</v>
      </c>
      <c r="G19" s="89"/>
      <c r="H19" s="82"/>
      <c r="J19" s="84"/>
      <c r="K19" s="87"/>
      <c r="L19" s="87"/>
      <c r="M19" s="87">
        <f t="shared" si="0"/>
        <v>400</v>
      </c>
      <c r="N19" s="88">
        <v>46233</v>
      </c>
      <c r="O19" s="89"/>
      <c r="P19" s="82"/>
      <c r="R19" s="243"/>
      <c r="S19" s="221"/>
      <c r="T19" s="221"/>
      <c r="U19" s="221">
        <f t="shared" si="2"/>
        <v>1900</v>
      </c>
      <c r="V19" s="17">
        <v>46233</v>
      </c>
      <c r="W19" s="315"/>
      <c r="X19" s="242"/>
      <c r="Z19" s="243"/>
      <c r="AA19" s="221"/>
      <c r="AB19" s="221"/>
      <c r="AC19" s="221">
        <f t="shared" si="3"/>
        <v>2000</v>
      </c>
      <c r="AD19" s="17">
        <v>46233</v>
      </c>
      <c r="AE19" s="315"/>
      <c r="AF19" s="242"/>
      <c r="AH19" s="243"/>
      <c r="AI19" s="221"/>
      <c r="AJ19" s="221"/>
      <c r="AK19" s="221">
        <f t="shared" si="6"/>
        <v>500</v>
      </c>
      <c r="AL19" s="17">
        <v>46233</v>
      </c>
      <c r="AM19" s="314"/>
      <c r="AN19" s="242"/>
      <c r="AP19" s="84"/>
      <c r="AQ19" s="87"/>
      <c r="AR19" s="87"/>
      <c r="AS19" s="87">
        <f t="shared" si="4"/>
        <v>1000</v>
      </c>
      <c r="AT19" s="88">
        <v>46233</v>
      </c>
      <c r="AU19" s="89"/>
      <c r="AV19" s="82"/>
      <c r="AX19" s="84"/>
      <c r="AY19" s="87"/>
      <c r="AZ19" s="87"/>
      <c r="BA19" s="87">
        <f t="shared" si="5"/>
        <v>0</v>
      </c>
      <c r="BB19" s="88">
        <v>46233</v>
      </c>
      <c r="BC19" s="89"/>
      <c r="BD19" s="82"/>
    </row>
    <row r="20" spans="1:56" x14ac:dyDescent="0.25">
      <c r="A20" s="230"/>
      <c r="B20" s="84"/>
      <c r="C20" s="87"/>
      <c r="D20" s="87"/>
      <c r="E20" s="87">
        <f t="shared" si="1"/>
        <v>500</v>
      </c>
      <c r="F20" s="93">
        <v>46249</v>
      </c>
      <c r="G20" s="89"/>
      <c r="H20" s="82"/>
      <c r="J20" s="84"/>
      <c r="K20" s="87"/>
      <c r="L20" s="87"/>
      <c r="M20" s="87">
        <f t="shared" si="0"/>
        <v>400</v>
      </c>
      <c r="N20" s="93">
        <v>46249</v>
      </c>
      <c r="O20" s="89"/>
      <c r="P20" s="82"/>
      <c r="R20" s="243"/>
      <c r="S20" s="221"/>
      <c r="T20" s="221"/>
      <c r="U20" s="221">
        <f t="shared" si="2"/>
        <v>1900</v>
      </c>
      <c r="V20" s="245">
        <v>46249</v>
      </c>
      <c r="W20" s="315"/>
      <c r="X20" s="242"/>
      <c r="Z20" s="243"/>
      <c r="AA20" s="221"/>
      <c r="AB20" s="221"/>
      <c r="AC20" s="221">
        <f t="shared" si="3"/>
        <v>2000</v>
      </c>
      <c r="AD20" s="245">
        <v>46249</v>
      </c>
      <c r="AE20" s="315"/>
      <c r="AF20" s="242"/>
      <c r="AH20" s="243"/>
      <c r="AI20" s="221"/>
      <c r="AJ20" s="221"/>
      <c r="AK20" s="221">
        <f t="shared" si="6"/>
        <v>500</v>
      </c>
      <c r="AL20" s="245">
        <v>46249</v>
      </c>
      <c r="AM20" s="314"/>
      <c r="AN20" s="242"/>
      <c r="AP20" s="84"/>
      <c r="AQ20" s="87"/>
      <c r="AR20" s="87"/>
      <c r="AS20" s="87">
        <f t="shared" si="4"/>
        <v>1000</v>
      </c>
      <c r="AT20" s="93">
        <v>46249</v>
      </c>
      <c r="AU20" s="89"/>
      <c r="AV20" s="82"/>
      <c r="AX20" s="84"/>
      <c r="AY20" s="87"/>
      <c r="AZ20" s="87"/>
      <c r="BA20" s="87">
        <f t="shared" si="5"/>
        <v>0</v>
      </c>
      <c r="BB20" s="93">
        <v>46249</v>
      </c>
      <c r="BC20" s="89"/>
      <c r="BD20" s="82"/>
    </row>
    <row r="21" spans="1:56" ht="15.75" thickBot="1" x14ac:dyDescent="0.3">
      <c r="A21" s="230"/>
      <c r="B21" s="84"/>
      <c r="C21" s="87"/>
      <c r="D21" s="87"/>
      <c r="E21" s="87">
        <f t="shared" si="1"/>
        <v>500</v>
      </c>
      <c r="F21" s="96">
        <v>46264</v>
      </c>
      <c r="G21" s="89"/>
      <c r="H21" s="82"/>
      <c r="J21" s="84"/>
      <c r="K21" s="87"/>
      <c r="L21" s="87"/>
      <c r="M21" s="87">
        <f t="shared" si="0"/>
        <v>400</v>
      </c>
      <c r="N21" s="96">
        <v>46264</v>
      </c>
      <c r="O21" s="89"/>
      <c r="P21" s="82"/>
      <c r="R21" s="243"/>
      <c r="S21" s="221"/>
      <c r="T21" s="221"/>
      <c r="U21" s="221">
        <f t="shared" si="2"/>
        <v>1900</v>
      </c>
      <c r="V21" s="246">
        <v>46264</v>
      </c>
      <c r="W21" s="315"/>
      <c r="X21" s="242"/>
      <c r="Z21" s="243"/>
      <c r="AA21" s="221"/>
      <c r="AB21" s="221"/>
      <c r="AC21" s="221">
        <f t="shared" si="3"/>
        <v>2000</v>
      </c>
      <c r="AD21" s="246">
        <v>46264</v>
      </c>
      <c r="AE21" s="315"/>
      <c r="AF21" s="242"/>
      <c r="AH21" s="243"/>
      <c r="AI21" s="221"/>
      <c r="AJ21" s="221"/>
      <c r="AK21" s="221">
        <f t="shared" si="6"/>
        <v>500</v>
      </c>
      <c r="AL21" s="246">
        <v>46264</v>
      </c>
      <c r="AM21" s="314"/>
      <c r="AN21" s="242"/>
      <c r="AP21" s="84"/>
      <c r="AQ21" s="87"/>
      <c r="AR21" s="87"/>
      <c r="AS21" s="87">
        <f t="shared" si="4"/>
        <v>1000</v>
      </c>
      <c r="AT21" s="96">
        <v>46264</v>
      </c>
      <c r="AU21" s="89"/>
      <c r="AV21" s="82"/>
      <c r="AX21" s="84"/>
      <c r="AY21" s="87"/>
      <c r="AZ21" s="87"/>
      <c r="BA21" s="87">
        <f t="shared" si="5"/>
        <v>0</v>
      </c>
      <c r="BB21" s="96">
        <v>46264</v>
      </c>
      <c r="BC21" s="89"/>
      <c r="BD21" s="82"/>
    </row>
    <row r="22" spans="1:56" x14ac:dyDescent="0.25">
      <c r="A22" s="230"/>
      <c r="B22" s="84"/>
      <c r="C22" s="87"/>
      <c r="D22" s="87"/>
      <c r="E22" s="87">
        <f t="shared" si="1"/>
        <v>500</v>
      </c>
      <c r="F22" s="80">
        <v>46280</v>
      </c>
      <c r="G22" s="89"/>
      <c r="H22" s="82"/>
      <c r="J22" s="84"/>
      <c r="K22" s="87"/>
      <c r="L22" s="87"/>
      <c r="M22" s="87">
        <f t="shared" si="0"/>
        <v>400</v>
      </c>
      <c r="N22" s="80">
        <v>46280</v>
      </c>
      <c r="O22" s="89"/>
      <c r="P22" s="82"/>
      <c r="R22" s="243"/>
      <c r="S22" s="221"/>
      <c r="T22" s="221"/>
      <c r="U22" s="221">
        <f t="shared" si="2"/>
        <v>1900</v>
      </c>
      <c r="V22" s="16">
        <v>46280</v>
      </c>
      <c r="W22" s="315"/>
      <c r="X22" s="242"/>
      <c r="Z22" s="326"/>
      <c r="AA22" s="221"/>
      <c r="AB22" s="221"/>
      <c r="AC22" s="221">
        <f t="shared" si="3"/>
        <v>2000</v>
      </c>
      <c r="AD22" s="16">
        <v>46280</v>
      </c>
      <c r="AE22" s="315"/>
      <c r="AF22" s="242"/>
      <c r="AH22" s="243"/>
      <c r="AI22" s="221"/>
      <c r="AJ22" s="221"/>
      <c r="AK22" s="221">
        <f t="shared" si="6"/>
        <v>500</v>
      </c>
      <c r="AL22" s="16">
        <v>46280</v>
      </c>
      <c r="AM22" s="315"/>
      <c r="AN22" s="242"/>
      <c r="AP22" s="84"/>
      <c r="AQ22" s="87"/>
      <c r="AR22" s="87"/>
      <c r="AS22" s="87">
        <f t="shared" si="4"/>
        <v>1000</v>
      </c>
      <c r="AT22" s="80">
        <v>46280</v>
      </c>
      <c r="AU22" s="89"/>
      <c r="AV22" s="82"/>
      <c r="AX22" s="84"/>
      <c r="AY22" s="87"/>
      <c r="AZ22" s="87"/>
      <c r="BA22" s="87">
        <f t="shared" si="5"/>
        <v>0</v>
      </c>
      <c r="BB22" s="80">
        <v>46280</v>
      </c>
      <c r="BC22" s="89"/>
      <c r="BD22" s="82"/>
    </row>
    <row r="23" spans="1:56" ht="15.75" thickBot="1" x14ac:dyDescent="0.3">
      <c r="A23" s="230"/>
      <c r="B23" s="84"/>
      <c r="C23" s="87"/>
      <c r="D23" s="87"/>
      <c r="E23" s="87">
        <f t="shared" si="1"/>
        <v>500</v>
      </c>
      <c r="F23" s="88">
        <v>46295</v>
      </c>
      <c r="G23" s="89"/>
      <c r="H23" s="82"/>
      <c r="J23" s="84"/>
      <c r="K23" s="87"/>
      <c r="L23" s="87"/>
      <c r="M23" s="87">
        <f t="shared" si="0"/>
        <v>400</v>
      </c>
      <c r="N23" s="88">
        <v>46295</v>
      </c>
      <c r="O23" s="89"/>
      <c r="P23" s="82"/>
      <c r="R23" s="243"/>
      <c r="S23" s="221"/>
      <c r="T23" s="221"/>
      <c r="U23" s="221">
        <f t="shared" si="2"/>
        <v>1900</v>
      </c>
      <c r="V23" s="17">
        <v>46295</v>
      </c>
      <c r="W23" s="315"/>
      <c r="X23" s="242"/>
      <c r="Z23" s="243"/>
      <c r="AA23" s="221"/>
      <c r="AB23" s="221"/>
      <c r="AC23" s="221">
        <f t="shared" si="3"/>
        <v>2000</v>
      </c>
      <c r="AD23" s="17">
        <v>46295</v>
      </c>
      <c r="AE23" s="315"/>
      <c r="AF23" s="242"/>
      <c r="AH23" s="243"/>
      <c r="AI23" s="221"/>
      <c r="AJ23" s="221"/>
      <c r="AK23" s="221">
        <f t="shared" si="6"/>
        <v>500</v>
      </c>
      <c r="AL23" s="17">
        <v>46295</v>
      </c>
      <c r="AM23" s="315"/>
      <c r="AN23" s="242"/>
      <c r="AP23" s="84"/>
      <c r="AQ23" s="87"/>
      <c r="AR23" s="87"/>
      <c r="AS23" s="87">
        <f t="shared" si="4"/>
        <v>1000</v>
      </c>
      <c r="AT23" s="88">
        <v>46295</v>
      </c>
      <c r="AU23" s="89"/>
      <c r="AV23" s="82"/>
      <c r="AX23" s="84"/>
      <c r="AY23" s="87"/>
      <c r="AZ23" s="87"/>
      <c r="BA23" s="87">
        <f t="shared" si="5"/>
        <v>0</v>
      </c>
      <c r="BB23" s="88">
        <v>46295</v>
      </c>
      <c r="BC23" s="89"/>
      <c r="BD23" s="82"/>
    </row>
    <row r="24" spans="1:56" x14ac:dyDescent="0.25">
      <c r="A24" s="230"/>
      <c r="B24" s="84"/>
      <c r="C24" s="87"/>
      <c r="D24" s="87"/>
      <c r="E24" s="87">
        <f t="shared" si="1"/>
        <v>500</v>
      </c>
      <c r="F24" s="93">
        <v>46310</v>
      </c>
      <c r="G24" s="89"/>
      <c r="H24" s="82"/>
      <c r="J24" s="90"/>
      <c r="K24" s="87"/>
      <c r="L24" s="87"/>
      <c r="M24" s="87">
        <f t="shared" si="0"/>
        <v>400</v>
      </c>
      <c r="N24" s="93">
        <v>46310</v>
      </c>
      <c r="O24" s="89"/>
      <c r="P24" s="82"/>
      <c r="R24" s="243"/>
      <c r="S24" s="221"/>
      <c r="T24" s="221"/>
      <c r="U24" s="221">
        <f t="shared" si="2"/>
        <v>1900</v>
      </c>
      <c r="V24" s="245">
        <v>46310</v>
      </c>
      <c r="W24" s="315"/>
      <c r="X24" s="242"/>
      <c r="Z24" s="243"/>
      <c r="AA24" s="221"/>
      <c r="AB24" s="221"/>
      <c r="AC24" s="221">
        <f t="shared" si="3"/>
        <v>2000</v>
      </c>
      <c r="AD24" s="245">
        <v>46310</v>
      </c>
      <c r="AE24" s="315"/>
      <c r="AF24" s="242"/>
      <c r="AH24" s="243"/>
      <c r="AI24" s="221"/>
      <c r="AJ24" s="221"/>
      <c r="AK24" s="221">
        <f t="shared" si="6"/>
        <v>500</v>
      </c>
      <c r="AL24" s="245">
        <v>46310</v>
      </c>
      <c r="AM24" s="315"/>
      <c r="AN24" s="242"/>
      <c r="AP24" s="84"/>
      <c r="AQ24" s="87"/>
      <c r="AR24" s="87"/>
      <c r="AS24" s="87">
        <f t="shared" si="4"/>
        <v>1000</v>
      </c>
      <c r="AT24" s="93">
        <v>46310</v>
      </c>
      <c r="AU24" s="89"/>
      <c r="AV24" s="82"/>
      <c r="AX24" s="84"/>
      <c r="AY24" s="87"/>
      <c r="AZ24" s="87"/>
      <c r="BA24" s="87">
        <f t="shared" si="5"/>
        <v>0</v>
      </c>
      <c r="BB24" s="93">
        <v>46310</v>
      </c>
      <c r="BC24" s="89"/>
      <c r="BD24" s="82"/>
    </row>
    <row r="25" spans="1:56" ht="15.75" thickBot="1" x14ac:dyDescent="0.3">
      <c r="A25" s="230"/>
      <c r="B25" s="84"/>
      <c r="C25" s="87"/>
      <c r="D25" s="87"/>
      <c r="E25" s="87">
        <f t="shared" si="1"/>
        <v>500</v>
      </c>
      <c r="F25" s="96">
        <v>46325</v>
      </c>
      <c r="G25" s="89"/>
      <c r="H25" s="82"/>
      <c r="J25" s="90"/>
      <c r="K25" s="87"/>
      <c r="L25" s="87"/>
      <c r="M25" s="87">
        <f t="shared" si="0"/>
        <v>400</v>
      </c>
      <c r="N25" s="96">
        <v>46325</v>
      </c>
      <c r="O25" s="89"/>
      <c r="P25" s="82"/>
      <c r="R25" s="243"/>
      <c r="S25" s="221"/>
      <c r="T25" s="221"/>
      <c r="U25" s="221">
        <f t="shared" si="2"/>
        <v>1900</v>
      </c>
      <c r="V25" s="246">
        <v>46325</v>
      </c>
      <c r="W25" s="315"/>
      <c r="X25" s="242"/>
      <c r="Z25" s="243"/>
      <c r="AA25" s="221"/>
      <c r="AB25" s="221"/>
      <c r="AC25" s="221">
        <f t="shared" si="3"/>
        <v>2000</v>
      </c>
      <c r="AD25" s="246">
        <v>46325</v>
      </c>
      <c r="AE25" s="315"/>
      <c r="AF25" s="242"/>
      <c r="AH25" s="10"/>
      <c r="AI25" s="221"/>
      <c r="AJ25" s="221"/>
      <c r="AK25" s="221">
        <f t="shared" si="6"/>
        <v>500</v>
      </c>
      <c r="AL25" s="246">
        <v>46325</v>
      </c>
      <c r="AM25" s="315"/>
      <c r="AN25" s="242"/>
      <c r="AP25" s="84"/>
      <c r="AQ25" s="87"/>
      <c r="AR25" s="87"/>
      <c r="AS25" s="87">
        <f t="shared" si="4"/>
        <v>1000</v>
      </c>
      <c r="AT25" s="96">
        <v>46325</v>
      </c>
      <c r="AU25" s="89"/>
      <c r="AV25" s="82"/>
      <c r="AX25" s="84"/>
      <c r="AY25" s="87"/>
      <c r="AZ25" s="87"/>
      <c r="BA25" s="87">
        <f t="shared" si="5"/>
        <v>0</v>
      </c>
      <c r="BB25" s="96">
        <v>46325</v>
      </c>
      <c r="BC25" s="89"/>
      <c r="BD25" s="82"/>
    </row>
    <row r="26" spans="1:56" x14ac:dyDescent="0.25">
      <c r="A26" s="230"/>
      <c r="B26" s="84"/>
      <c r="C26" s="87"/>
      <c r="D26" s="87"/>
      <c r="E26" s="87">
        <f t="shared" si="1"/>
        <v>500</v>
      </c>
      <c r="F26" s="80">
        <v>46341</v>
      </c>
      <c r="G26" s="89"/>
      <c r="H26" s="82"/>
      <c r="J26" s="90"/>
      <c r="K26" s="87"/>
      <c r="L26" s="87"/>
      <c r="M26" s="87">
        <f t="shared" si="0"/>
        <v>400</v>
      </c>
      <c r="N26" s="80">
        <v>46341</v>
      </c>
      <c r="O26" s="89"/>
      <c r="P26" s="82"/>
      <c r="R26" s="243"/>
      <c r="S26" s="221"/>
      <c r="T26" s="221"/>
      <c r="U26" s="221">
        <f t="shared" si="2"/>
        <v>1900</v>
      </c>
      <c r="V26" s="16">
        <v>46341</v>
      </c>
      <c r="W26" s="315"/>
      <c r="X26" s="242"/>
      <c r="Z26" s="243"/>
      <c r="AA26" s="221"/>
      <c r="AB26" s="221"/>
      <c r="AC26" s="221">
        <f t="shared" si="3"/>
        <v>2000</v>
      </c>
      <c r="AD26" s="16">
        <v>46341</v>
      </c>
      <c r="AE26" s="315"/>
      <c r="AF26" s="242"/>
      <c r="AH26" s="243"/>
      <c r="AI26" s="221"/>
      <c r="AJ26" s="221"/>
      <c r="AK26" s="221">
        <f t="shared" si="6"/>
        <v>500</v>
      </c>
      <c r="AL26" s="16">
        <v>46341</v>
      </c>
      <c r="AM26" s="315"/>
      <c r="AN26" s="242"/>
      <c r="AP26" s="84"/>
      <c r="AQ26" s="87"/>
      <c r="AR26" s="87"/>
      <c r="AS26" s="87">
        <f t="shared" si="4"/>
        <v>1000</v>
      </c>
      <c r="AT26" s="80">
        <v>46341</v>
      </c>
      <c r="AU26" s="89"/>
      <c r="AV26" s="82"/>
      <c r="AX26" s="84"/>
      <c r="AY26" s="87"/>
      <c r="AZ26" s="87"/>
      <c r="BA26" s="87">
        <f t="shared" si="5"/>
        <v>0</v>
      </c>
      <c r="BB26" s="80">
        <v>46341</v>
      </c>
      <c r="BC26" s="89"/>
      <c r="BD26" s="82"/>
    </row>
    <row r="27" spans="1:56" ht="15.75" thickBot="1" x14ac:dyDescent="0.3">
      <c r="B27" s="84"/>
      <c r="C27" s="87"/>
      <c r="D27" s="87"/>
      <c r="E27" s="87">
        <f t="shared" si="1"/>
        <v>500</v>
      </c>
      <c r="F27" s="88">
        <v>46356</v>
      </c>
      <c r="G27" s="91"/>
      <c r="H27" s="82"/>
      <c r="J27" s="90"/>
      <c r="K27" s="87"/>
      <c r="L27" s="87"/>
      <c r="M27" s="87">
        <f t="shared" si="0"/>
        <v>400</v>
      </c>
      <c r="N27" s="88">
        <v>46356</v>
      </c>
      <c r="O27" s="89"/>
      <c r="P27" s="82"/>
      <c r="R27" s="243"/>
      <c r="S27" s="221"/>
      <c r="T27" s="221"/>
      <c r="U27" s="221">
        <f t="shared" si="2"/>
        <v>1900</v>
      </c>
      <c r="V27" s="17">
        <v>46356</v>
      </c>
      <c r="W27" s="315"/>
      <c r="X27" s="242"/>
      <c r="Z27" s="243"/>
      <c r="AA27" s="221"/>
      <c r="AB27" s="221"/>
      <c r="AC27" s="221">
        <f t="shared" si="3"/>
        <v>2000</v>
      </c>
      <c r="AD27" s="17">
        <v>46356</v>
      </c>
      <c r="AE27" s="315"/>
      <c r="AF27" s="242"/>
      <c r="AH27" s="243"/>
      <c r="AI27" s="221"/>
      <c r="AJ27" s="221"/>
      <c r="AK27" s="221">
        <f t="shared" si="6"/>
        <v>500</v>
      </c>
      <c r="AL27" s="17">
        <v>46356</v>
      </c>
      <c r="AM27" s="315"/>
      <c r="AN27" s="242"/>
      <c r="AP27" s="84"/>
      <c r="AQ27" s="87"/>
      <c r="AR27" s="87"/>
      <c r="AS27" s="87">
        <f t="shared" si="4"/>
        <v>1000</v>
      </c>
      <c r="AT27" s="88">
        <v>46356</v>
      </c>
      <c r="AU27" s="91"/>
      <c r="AV27" s="82"/>
      <c r="AX27" s="84"/>
      <c r="AY27" s="87"/>
      <c r="AZ27" s="87"/>
      <c r="BA27" s="87">
        <f t="shared" si="5"/>
        <v>0</v>
      </c>
      <c r="BB27" s="88">
        <v>46356</v>
      </c>
      <c r="BC27" s="91"/>
      <c r="BD27" s="82"/>
    </row>
    <row r="28" spans="1:56" x14ac:dyDescent="0.25">
      <c r="A28" s="230"/>
      <c r="B28" s="90"/>
      <c r="C28" s="87"/>
      <c r="D28" s="87"/>
      <c r="E28" s="87">
        <f t="shared" si="1"/>
        <v>500</v>
      </c>
      <c r="F28" s="93">
        <v>46371</v>
      </c>
      <c r="G28" s="89"/>
      <c r="H28" s="82"/>
      <c r="J28" s="90"/>
      <c r="K28" s="87"/>
      <c r="L28" s="87"/>
      <c r="M28" s="87">
        <f t="shared" si="0"/>
        <v>400</v>
      </c>
      <c r="N28" s="93">
        <v>46371</v>
      </c>
      <c r="O28" s="89"/>
      <c r="P28" s="82"/>
      <c r="R28" s="247"/>
      <c r="S28" s="221"/>
      <c r="T28" s="221"/>
      <c r="U28" s="221">
        <f t="shared" si="2"/>
        <v>1900</v>
      </c>
      <c r="V28" s="245">
        <v>46371</v>
      </c>
      <c r="W28" s="244"/>
      <c r="X28" s="242"/>
      <c r="Z28" s="243"/>
      <c r="AA28" s="221"/>
      <c r="AB28" s="221"/>
      <c r="AC28" s="221">
        <f t="shared" si="3"/>
        <v>2000</v>
      </c>
      <c r="AD28" s="245">
        <v>46371</v>
      </c>
      <c r="AE28" s="315"/>
      <c r="AF28" s="242"/>
      <c r="AH28" s="247"/>
      <c r="AI28" s="221"/>
      <c r="AJ28" s="221"/>
      <c r="AK28" s="221">
        <f t="shared" si="6"/>
        <v>500</v>
      </c>
      <c r="AL28" s="245">
        <v>46371</v>
      </c>
      <c r="AM28" s="244"/>
      <c r="AN28" s="242"/>
      <c r="AP28" s="90"/>
      <c r="AQ28" s="87"/>
      <c r="AR28" s="87"/>
      <c r="AS28" s="87">
        <f t="shared" si="4"/>
        <v>1000</v>
      </c>
      <c r="AT28" s="93">
        <v>46371</v>
      </c>
      <c r="AU28" s="89"/>
      <c r="AV28" s="82"/>
      <c r="AX28" s="90"/>
      <c r="AY28" s="87"/>
      <c r="AZ28" s="87"/>
      <c r="BA28" s="87">
        <f t="shared" si="5"/>
        <v>0</v>
      </c>
      <c r="BB28" s="93">
        <v>46371</v>
      </c>
      <c r="BC28" s="89"/>
      <c r="BD28" s="82"/>
    </row>
    <row r="29" spans="1:56" x14ac:dyDescent="0.25">
      <c r="B29" s="90"/>
      <c r="C29" s="87"/>
      <c r="D29" s="87"/>
      <c r="E29" s="87">
        <f t="shared" si="1"/>
        <v>500</v>
      </c>
      <c r="F29" s="96">
        <v>46386</v>
      </c>
      <c r="G29" s="89"/>
      <c r="H29" s="82"/>
      <c r="J29" s="90"/>
      <c r="K29" s="87"/>
      <c r="L29" s="87"/>
      <c r="M29" s="87">
        <f t="shared" si="0"/>
        <v>400</v>
      </c>
      <c r="N29" s="96">
        <v>46386</v>
      </c>
      <c r="O29" s="89"/>
      <c r="P29" s="82"/>
      <c r="R29" s="247"/>
      <c r="S29" s="221"/>
      <c r="T29" s="221"/>
      <c r="U29" s="221">
        <f t="shared" si="2"/>
        <v>1900</v>
      </c>
      <c r="V29" s="246">
        <v>46386</v>
      </c>
      <c r="W29" s="244"/>
      <c r="X29" s="242"/>
      <c r="Z29" s="243"/>
      <c r="AA29" s="221"/>
      <c r="AB29" s="221"/>
      <c r="AC29" s="221">
        <f t="shared" si="3"/>
        <v>2000</v>
      </c>
      <c r="AD29" s="246">
        <v>46386</v>
      </c>
      <c r="AE29" s="315"/>
      <c r="AF29" s="242"/>
      <c r="AH29" s="247"/>
      <c r="AI29" s="221"/>
      <c r="AJ29" s="221"/>
      <c r="AK29" s="221">
        <f t="shared" si="6"/>
        <v>500</v>
      </c>
      <c r="AL29" s="246">
        <v>46386</v>
      </c>
      <c r="AM29" s="244"/>
      <c r="AN29" s="242"/>
      <c r="AP29" s="90"/>
      <c r="AQ29" s="87"/>
      <c r="AR29" s="87"/>
      <c r="AS29" s="87">
        <f t="shared" si="4"/>
        <v>1000</v>
      </c>
      <c r="AT29" s="96">
        <v>46386</v>
      </c>
      <c r="AU29" s="89"/>
      <c r="AV29" s="82"/>
      <c r="AX29" s="90"/>
      <c r="AY29" s="87"/>
      <c r="AZ29" s="87"/>
      <c r="BA29" s="87">
        <f t="shared" si="5"/>
        <v>0</v>
      </c>
      <c r="BB29" s="96">
        <v>46386</v>
      </c>
      <c r="BC29" s="89"/>
      <c r="BD29" s="82"/>
    </row>
    <row r="30" spans="1:56" x14ac:dyDescent="0.25">
      <c r="A30" s="230"/>
      <c r="B30" s="90"/>
      <c r="C30" s="87"/>
      <c r="D30" s="87"/>
      <c r="E30" s="87">
        <f t="shared" si="1"/>
        <v>500</v>
      </c>
      <c r="F30" s="114"/>
      <c r="G30" s="89"/>
      <c r="H30" s="82"/>
      <c r="J30" s="90"/>
      <c r="K30" s="87"/>
      <c r="L30" s="87"/>
      <c r="M30" s="87">
        <f t="shared" si="0"/>
        <v>400</v>
      </c>
      <c r="N30" s="114"/>
      <c r="O30" s="89"/>
      <c r="P30" s="82"/>
      <c r="R30" s="247"/>
      <c r="S30" s="221"/>
      <c r="T30" s="221"/>
      <c r="U30" s="221">
        <f t="shared" si="2"/>
        <v>1900</v>
      </c>
      <c r="V30" s="248"/>
      <c r="W30" s="244"/>
      <c r="X30" s="242"/>
      <c r="Z30" s="243"/>
      <c r="AA30" s="221"/>
      <c r="AB30" s="221"/>
      <c r="AC30" s="221">
        <f t="shared" si="3"/>
        <v>2000</v>
      </c>
      <c r="AD30" s="248"/>
      <c r="AE30" s="315"/>
      <c r="AF30" s="242"/>
      <c r="AH30" s="247"/>
      <c r="AI30" s="221"/>
      <c r="AJ30" s="221"/>
      <c r="AK30" s="221">
        <f t="shared" si="6"/>
        <v>500</v>
      </c>
      <c r="AL30" s="248"/>
      <c r="AM30" s="244"/>
      <c r="AN30" s="242"/>
      <c r="AP30" s="90"/>
      <c r="AQ30" s="87"/>
      <c r="AR30" s="87"/>
      <c r="AS30" s="87">
        <f t="shared" si="4"/>
        <v>1000</v>
      </c>
      <c r="AT30" s="114"/>
      <c r="AU30" s="89"/>
      <c r="AV30" s="82"/>
      <c r="AX30" s="90"/>
      <c r="AY30" s="87"/>
      <c r="AZ30" s="87"/>
      <c r="BA30" s="87">
        <f t="shared" si="5"/>
        <v>0</v>
      </c>
      <c r="BB30" s="114"/>
      <c r="BC30" s="89"/>
      <c r="BD30" s="82"/>
    </row>
    <row r="31" spans="1:56" x14ac:dyDescent="0.25">
      <c r="B31" s="90"/>
      <c r="C31" s="87"/>
      <c r="D31" s="87"/>
      <c r="E31" s="87">
        <f t="shared" si="1"/>
        <v>500</v>
      </c>
      <c r="F31" s="114"/>
      <c r="G31" s="89"/>
      <c r="H31" s="82"/>
      <c r="J31" s="90"/>
      <c r="K31" s="87"/>
      <c r="L31" s="87"/>
      <c r="M31" s="87">
        <f t="shared" si="0"/>
        <v>400</v>
      </c>
      <c r="N31" s="114"/>
      <c r="O31" s="89"/>
      <c r="P31" s="82"/>
      <c r="R31" s="247"/>
      <c r="S31" s="221"/>
      <c r="T31" s="221"/>
      <c r="U31" s="221">
        <f t="shared" si="2"/>
        <v>1900</v>
      </c>
      <c r="V31" s="248"/>
      <c r="W31" s="244"/>
      <c r="X31" s="242"/>
      <c r="Z31" s="243"/>
      <c r="AA31" s="221"/>
      <c r="AB31" s="221"/>
      <c r="AC31" s="221">
        <f t="shared" si="3"/>
        <v>2000</v>
      </c>
      <c r="AD31" s="248"/>
      <c r="AE31" s="315"/>
      <c r="AF31" s="242"/>
      <c r="AH31" s="247"/>
      <c r="AI31" s="221"/>
      <c r="AJ31" s="221"/>
      <c r="AK31" s="221">
        <f t="shared" si="6"/>
        <v>500</v>
      </c>
      <c r="AL31" s="248"/>
      <c r="AM31" s="244"/>
      <c r="AN31" s="242"/>
      <c r="AP31" s="90"/>
      <c r="AQ31" s="87"/>
      <c r="AR31" s="87"/>
      <c r="AS31" s="87">
        <f t="shared" si="4"/>
        <v>1000</v>
      </c>
      <c r="AT31" s="114"/>
      <c r="AU31" s="89"/>
      <c r="AV31" s="82"/>
      <c r="AX31" s="90"/>
      <c r="AY31" s="87"/>
      <c r="AZ31" s="87"/>
      <c r="BA31" s="87">
        <f t="shared" si="5"/>
        <v>0</v>
      </c>
      <c r="BB31" s="114"/>
      <c r="BC31" s="89"/>
      <c r="BD31" s="82"/>
    </row>
    <row r="32" spans="1:56" x14ac:dyDescent="0.25">
      <c r="B32" s="90"/>
      <c r="C32" s="87"/>
      <c r="D32" s="87"/>
      <c r="E32" s="87">
        <f t="shared" si="1"/>
        <v>500</v>
      </c>
      <c r="F32" s="114"/>
      <c r="G32" s="89"/>
      <c r="H32" s="82"/>
      <c r="J32" s="90"/>
      <c r="K32" s="87"/>
      <c r="L32" s="87"/>
      <c r="M32" s="87">
        <f t="shared" si="0"/>
        <v>400</v>
      </c>
      <c r="N32" s="114"/>
      <c r="O32" s="89"/>
      <c r="P32" s="82"/>
      <c r="R32" s="247"/>
      <c r="S32" s="221"/>
      <c r="T32" s="221"/>
      <c r="U32" s="221">
        <f t="shared" si="2"/>
        <v>1900</v>
      </c>
      <c r="V32" s="248"/>
      <c r="W32" s="244"/>
      <c r="X32" s="242"/>
      <c r="Z32" s="243"/>
      <c r="AA32" s="221"/>
      <c r="AB32" s="221"/>
      <c r="AC32" s="221">
        <f t="shared" si="3"/>
        <v>2000</v>
      </c>
      <c r="AD32" s="248"/>
      <c r="AE32" s="315"/>
      <c r="AF32" s="242"/>
      <c r="AH32" s="247"/>
      <c r="AI32" s="221"/>
      <c r="AJ32" s="221"/>
      <c r="AK32" s="221">
        <f t="shared" si="6"/>
        <v>500</v>
      </c>
      <c r="AL32" s="248"/>
      <c r="AM32" s="244"/>
      <c r="AN32" s="242"/>
      <c r="AP32" s="90"/>
      <c r="AQ32" s="87"/>
      <c r="AR32" s="87"/>
      <c r="AS32" s="87">
        <f t="shared" si="4"/>
        <v>1000</v>
      </c>
      <c r="AT32" s="114"/>
      <c r="AU32" s="89"/>
      <c r="AV32" s="82"/>
      <c r="AX32" s="90"/>
      <c r="AY32" s="87"/>
      <c r="AZ32" s="87"/>
      <c r="BA32" s="87">
        <f t="shared" si="5"/>
        <v>0</v>
      </c>
      <c r="BB32" s="114"/>
      <c r="BC32" s="89"/>
      <c r="BD32" s="82"/>
    </row>
    <row r="33" spans="2:56" x14ac:dyDescent="0.25">
      <c r="B33" s="90"/>
      <c r="C33" s="87"/>
      <c r="D33" s="87"/>
      <c r="E33" s="87">
        <f t="shared" si="1"/>
        <v>500</v>
      </c>
      <c r="F33" s="114"/>
      <c r="G33" s="89"/>
      <c r="H33" s="82"/>
      <c r="J33" s="90"/>
      <c r="K33" s="87"/>
      <c r="L33" s="87"/>
      <c r="M33" s="87">
        <f t="shared" si="0"/>
        <v>400</v>
      </c>
      <c r="N33" s="114"/>
      <c r="O33" s="89"/>
      <c r="P33" s="82"/>
      <c r="R33" s="247"/>
      <c r="S33" s="221"/>
      <c r="T33" s="221"/>
      <c r="U33" s="221">
        <f t="shared" si="2"/>
        <v>1900</v>
      </c>
      <c r="V33" s="248"/>
      <c r="W33" s="244"/>
      <c r="X33" s="242"/>
      <c r="Z33" s="243"/>
      <c r="AA33" s="221"/>
      <c r="AB33" s="221"/>
      <c r="AC33" s="221">
        <f t="shared" si="3"/>
        <v>2000</v>
      </c>
      <c r="AD33" s="248"/>
      <c r="AE33" s="315"/>
      <c r="AF33" s="242"/>
      <c r="AH33" s="247"/>
      <c r="AI33" s="221"/>
      <c r="AJ33" s="221"/>
      <c r="AK33" s="221">
        <f t="shared" si="6"/>
        <v>500</v>
      </c>
      <c r="AL33" s="248"/>
      <c r="AM33" s="244"/>
      <c r="AN33" s="242"/>
      <c r="AP33" s="90"/>
      <c r="AQ33" s="87"/>
      <c r="AR33" s="87"/>
      <c r="AS33" s="87">
        <f t="shared" si="4"/>
        <v>1000</v>
      </c>
      <c r="AT33" s="114"/>
      <c r="AU33" s="89"/>
      <c r="AV33" s="82"/>
      <c r="AX33" s="90"/>
      <c r="AY33" s="87"/>
      <c r="AZ33" s="87"/>
      <c r="BA33" s="87">
        <f t="shared" si="5"/>
        <v>0</v>
      </c>
      <c r="BB33" s="114"/>
      <c r="BC33" s="89"/>
      <c r="BD33" s="82"/>
    </row>
    <row r="34" spans="2:56" x14ac:dyDescent="0.25">
      <c r="B34" s="90"/>
      <c r="C34" s="87"/>
      <c r="D34" s="87"/>
      <c r="E34" s="87">
        <f t="shared" si="1"/>
        <v>500</v>
      </c>
      <c r="F34" s="114"/>
      <c r="G34" s="89"/>
      <c r="H34" s="82"/>
      <c r="J34" s="90"/>
      <c r="K34" s="87"/>
      <c r="L34" s="87"/>
      <c r="M34" s="87">
        <f t="shared" si="0"/>
        <v>400</v>
      </c>
      <c r="N34" s="114"/>
      <c r="O34" s="89"/>
      <c r="P34" s="82"/>
      <c r="R34" s="247"/>
      <c r="S34" s="221"/>
      <c r="T34" s="221"/>
      <c r="U34" s="221">
        <f t="shared" si="2"/>
        <v>1900</v>
      </c>
      <c r="V34" s="248"/>
      <c r="W34" s="244"/>
      <c r="X34" s="242"/>
      <c r="Z34" s="247"/>
      <c r="AA34" s="221"/>
      <c r="AB34" s="221"/>
      <c r="AC34" s="221">
        <f t="shared" si="3"/>
        <v>2000</v>
      </c>
      <c r="AD34" s="248"/>
      <c r="AE34" s="315"/>
      <c r="AF34" s="242"/>
      <c r="AH34" s="247"/>
      <c r="AI34" s="221"/>
      <c r="AJ34" s="221"/>
      <c r="AK34" s="221">
        <f t="shared" si="6"/>
        <v>500</v>
      </c>
      <c r="AL34" s="248"/>
      <c r="AM34" s="244"/>
      <c r="AN34" s="242"/>
      <c r="AP34" s="90"/>
      <c r="AQ34" s="87"/>
      <c r="AR34" s="87"/>
      <c r="AS34" s="87">
        <f t="shared" si="4"/>
        <v>1000</v>
      </c>
      <c r="AT34" s="114"/>
      <c r="AU34" s="89"/>
      <c r="AV34" s="82"/>
      <c r="AX34" s="90"/>
      <c r="AY34" s="87"/>
      <c r="AZ34" s="87"/>
      <c r="BA34" s="87">
        <f t="shared" si="5"/>
        <v>0</v>
      </c>
      <c r="BB34" s="114"/>
      <c r="BC34" s="89"/>
      <c r="BD34" s="82"/>
    </row>
    <row r="35" spans="2:56" x14ac:dyDescent="0.25">
      <c r="B35" s="90"/>
      <c r="C35" s="87"/>
      <c r="D35" s="87"/>
      <c r="E35" s="87">
        <f t="shared" si="1"/>
        <v>500</v>
      </c>
      <c r="F35" s="114"/>
      <c r="G35" s="89"/>
      <c r="H35" s="82"/>
      <c r="J35" s="90"/>
      <c r="K35" s="87"/>
      <c r="L35" s="87"/>
      <c r="M35" s="87">
        <f t="shared" si="0"/>
        <v>400</v>
      </c>
      <c r="N35" s="114"/>
      <c r="O35" s="89"/>
      <c r="P35" s="82"/>
      <c r="R35" s="247"/>
      <c r="S35" s="221"/>
      <c r="T35" s="221"/>
      <c r="U35" s="221">
        <f t="shared" si="2"/>
        <v>1900</v>
      </c>
      <c r="V35" s="248"/>
      <c r="W35" s="244"/>
      <c r="X35" s="242"/>
      <c r="Z35" s="247"/>
      <c r="AA35" s="221"/>
      <c r="AB35" s="221"/>
      <c r="AC35" s="221">
        <f t="shared" si="3"/>
        <v>2000</v>
      </c>
      <c r="AD35" s="248"/>
      <c r="AE35" s="315"/>
      <c r="AF35" s="242"/>
      <c r="AH35" s="247"/>
      <c r="AI35" s="221"/>
      <c r="AJ35" s="221"/>
      <c r="AK35" s="221">
        <f t="shared" si="6"/>
        <v>500</v>
      </c>
      <c r="AL35" s="248"/>
      <c r="AM35" s="244"/>
      <c r="AN35" s="242"/>
      <c r="AP35" s="90"/>
      <c r="AQ35" s="87"/>
      <c r="AR35" s="87"/>
      <c r="AS35" s="87">
        <f t="shared" si="4"/>
        <v>1000</v>
      </c>
      <c r="AT35" s="114"/>
      <c r="AU35" s="89"/>
      <c r="AV35" s="82"/>
      <c r="AX35" s="90"/>
      <c r="AY35" s="87"/>
      <c r="AZ35" s="87"/>
      <c r="BA35" s="87">
        <f t="shared" si="5"/>
        <v>0</v>
      </c>
      <c r="BB35" s="114"/>
      <c r="BC35" s="89"/>
      <c r="BD35" s="82"/>
    </row>
    <row r="36" spans="2:56" x14ac:dyDescent="0.25">
      <c r="B36" s="90"/>
      <c r="C36" s="87"/>
      <c r="D36" s="87"/>
      <c r="E36" s="87">
        <f t="shared" si="1"/>
        <v>500</v>
      </c>
      <c r="F36" s="114"/>
      <c r="G36" s="89"/>
      <c r="H36" s="82"/>
      <c r="J36" s="90"/>
      <c r="K36" s="87"/>
      <c r="L36" s="87"/>
      <c r="M36" s="87">
        <f t="shared" si="0"/>
        <v>400</v>
      </c>
      <c r="N36" s="114"/>
      <c r="O36" s="89"/>
      <c r="P36" s="82"/>
      <c r="R36" s="247"/>
      <c r="S36" s="221"/>
      <c r="T36" s="221"/>
      <c r="U36" s="221">
        <f t="shared" si="2"/>
        <v>1900</v>
      </c>
      <c r="V36" s="248"/>
      <c r="W36" s="244"/>
      <c r="X36" s="242"/>
      <c r="Z36" s="247"/>
      <c r="AA36" s="221"/>
      <c r="AB36" s="221"/>
      <c r="AC36" s="221">
        <f t="shared" si="3"/>
        <v>2000</v>
      </c>
      <c r="AD36" s="248"/>
      <c r="AE36" s="315"/>
      <c r="AF36" s="242"/>
      <c r="AH36" s="247"/>
      <c r="AI36" s="221"/>
      <c r="AJ36" s="221"/>
      <c r="AK36" s="221">
        <f t="shared" si="6"/>
        <v>500</v>
      </c>
      <c r="AL36" s="248"/>
      <c r="AM36" s="244"/>
      <c r="AN36" s="242"/>
      <c r="AP36" s="90"/>
      <c r="AQ36" s="87"/>
      <c r="AR36" s="87"/>
      <c r="AS36" s="87">
        <f t="shared" si="4"/>
        <v>1000</v>
      </c>
      <c r="AT36" s="114"/>
      <c r="AU36" s="89"/>
      <c r="AV36" s="82"/>
      <c r="AX36" s="90"/>
      <c r="AY36" s="87"/>
      <c r="AZ36" s="87"/>
      <c r="BA36" s="87">
        <f t="shared" si="5"/>
        <v>0</v>
      </c>
      <c r="BB36" s="114"/>
      <c r="BC36" s="89"/>
      <c r="BD36" s="82"/>
    </row>
    <row r="37" spans="2:56" x14ac:dyDescent="0.25">
      <c r="B37" s="90"/>
      <c r="C37" s="87"/>
      <c r="D37" s="87"/>
      <c r="E37" s="87">
        <f t="shared" si="1"/>
        <v>500</v>
      </c>
      <c r="F37" s="114"/>
      <c r="G37" s="89"/>
      <c r="H37" s="82"/>
      <c r="J37" s="90"/>
      <c r="K37" s="87"/>
      <c r="L37" s="87"/>
      <c r="M37" s="87">
        <f t="shared" si="0"/>
        <v>400</v>
      </c>
      <c r="N37" s="114"/>
      <c r="O37" s="89"/>
      <c r="P37" s="82"/>
      <c r="R37" s="247"/>
      <c r="S37" s="221"/>
      <c r="T37" s="221"/>
      <c r="U37" s="221">
        <f t="shared" si="2"/>
        <v>1900</v>
      </c>
      <c r="V37" s="248"/>
      <c r="W37" s="244"/>
      <c r="X37" s="242"/>
      <c r="Z37" s="247"/>
      <c r="AA37" s="221"/>
      <c r="AB37" s="221"/>
      <c r="AC37" s="221">
        <f t="shared" si="3"/>
        <v>2000</v>
      </c>
      <c r="AD37" s="248"/>
      <c r="AE37" s="244"/>
      <c r="AF37" s="242"/>
      <c r="AH37" s="247"/>
      <c r="AI37" s="221"/>
      <c r="AJ37" s="221"/>
      <c r="AK37" s="221">
        <f t="shared" si="6"/>
        <v>500</v>
      </c>
      <c r="AL37" s="248"/>
      <c r="AM37" s="244"/>
      <c r="AN37" s="242"/>
      <c r="AP37" s="90"/>
      <c r="AQ37" s="87"/>
      <c r="AR37" s="87"/>
      <c r="AS37" s="87">
        <f t="shared" si="4"/>
        <v>1000</v>
      </c>
      <c r="AT37" s="114"/>
      <c r="AU37" s="89"/>
      <c r="AV37" s="82"/>
      <c r="AX37" s="90"/>
      <c r="AY37" s="87"/>
      <c r="AZ37" s="87"/>
      <c r="BA37" s="87">
        <f t="shared" si="5"/>
        <v>0</v>
      </c>
      <c r="BB37" s="114"/>
      <c r="BC37" s="89"/>
      <c r="BD37" s="82"/>
    </row>
    <row r="38" spans="2:56" x14ac:dyDescent="0.25">
      <c r="B38" s="90"/>
      <c r="C38" s="87"/>
      <c r="D38" s="87"/>
      <c r="E38" s="87">
        <f t="shared" si="1"/>
        <v>500</v>
      </c>
      <c r="F38" s="114"/>
      <c r="G38" s="89"/>
      <c r="H38" s="82"/>
      <c r="J38" s="90"/>
      <c r="K38" s="87"/>
      <c r="L38" s="87"/>
      <c r="M38" s="87">
        <f t="shared" si="0"/>
        <v>400</v>
      </c>
      <c r="N38" s="114"/>
      <c r="O38" s="89"/>
      <c r="P38" s="82"/>
      <c r="R38" s="247"/>
      <c r="S38" s="221"/>
      <c r="T38" s="221"/>
      <c r="U38" s="221">
        <f t="shared" si="2"/>
        <v>1900</v>
      </c>
      <c r="V38" s="248"/>
      <c r="W38" s="244"/>
      <c r="X38" s="242"/>
      <c r="Z38" s="247"/>
      <c r="AA38" s="221"/>
      <c r="AB38" s="221"/>
      <c r="AC38" s="221">
        <f t="shared" si="3"/>
        <v>2000</v>
      </c>
      <c r="AD38" s="248"/>
      <c r="AE38" s="244"/>
      <c r="AF38" s="242"/>
      <c r="AH38" s="247"/>
      <c r="AI38" s="221"/>
      <c r="AJ38" s="221"/>
      <c r="AK38" s="221">
        <f t="shared" si="6"/>
        <v>500</v>
      </c>
      <c r="AL38" s="248"/>
      <c r="AM38" s="244"/>
      <c r="AN38" s="242"/>
      <c r="AP38" s="90"/>
      <c r="AQ38" s="87"/>
      <c r="AR38" s="87"/>
      <c r="AS38" s="87">
        <f t="shared" si="4"/>
        <v>1000</v>
      </c>
      <c r="AT38" s="114"/>
      <c r="AU38" s="89"/>
      <c r="AV38" s="82"/>
      <c r="AX38" s="90"/>
      <c r="AY38" s="87"/>
      <c r="AZ38" s="87"/>
      <c r="BA38" s="87">
        <f t="shared" si="5"/>
        <v>0</v>
      </c>
      <c r="BB38" s="114"/>
      <c r="BC38" s="89"/>
      <c r="BD38" s="82"/>
    </row>
    <row r="39" spans="2:56" x14ac:dyDescent="0.25">
      <c r="B39" s="90"/>
      <c r="C39" s="87"/>
      <c r="D39" s="87"/>
      <c r="E39" s="87">
        <f t="shared" si="1"/>
        <v>500</v>
      </c>
      <c r="F39" s="114"/>
      <c r="G39" s="89"/>
      <c r="H39" s="82"/>
      <c r="J39" s="90"/>
      <c r="K39" s="87"/>
      <c r="L39" s="87"/>
      <c r="M39" s="87">
        <f t="shared" si="0"/>
        <v>400</v>
      </c>
      <c r="N39" s="114"/>
      <c r="O39" s="89"/>
      <c r="P39" s="82"/>
      <c r="R39" s="247"/>
      <c r="S39" s="221"/>
      <c r="T39" s="221"/>
      <c r="U39" s="221">
        <f t="shared" si="2"/>
        <v>1900</v>
      </c>
      <c r="V39" s="248"/>
      <c r="W39" s="244"/>
      <c r="X39" s="242"/>
      <c r="Z39" s="247"/>
      <c r="AA39" s="221"/>
      <c r="AB39" s="221"/>
      <c r="AC39" s="221">
        <f t="shared" si="3"/>
        <v>2000</v>
      </c>
      <c r="AD39" s="248"/>
      <c r="AE39" s="244"/>
      <c r="AF39" s="242"/>
      <c r="AH39" s="247"/>
      <c r="AI39" s="221"/>
      <c r="AJ39" s="221"/>
      <c r="AK39" s="221">
        <f t="shared" si="6"/>
        <v>500</v>
      </c>
      <c r="AL39" s="248"/>
      <c r="AM39" s="244"/>
      <c r="AN39" s="242"/>
      <c r="AP39" s="90"/>
      <c r="AQ39" s="87"/>
      <c r="AR39" s="87"/>
      <c r="AS39" s="87">
        <f t="shared" si="4"/>
        <v>1000</v>
      </c>
      <c r="AT39" s="114"/>
      <c r="AU39" s="89"/>
      <c r="AV39" s="82"/>
      <c r="AX39" s="90"/>
      <c r="AY39" s="87"/>
      <c r="AZ39" s="87"/>
      <c r="BA39" s="87">
        <f t="shared" si="5"/>
        <v>0</v>
      </c>
      <c r="BB39" s="114"/>
      <c r="BC39" s="89"/>
      <c r="BD39" s="82"/>
    </row>
    <row r="40" spans="2:56" x14ac:dyDescent="0.25">
      <c r="B40" s="90"/>
      <c r="C40" s="87"/>
      <c r="D40" s="87"/>
      <c r="E40" s="87">
        <f t="shared" si="1"/>
        <v>500</v>
      </c>
      <c r="F40" s="114"/>
      <c r="G40" s="89"/>
      <c r="H40" s="82"/>
      <c r="J40" s="90"/>
      <c r="K40" s="87"/>
      <c r="L40" s="87"/>
      <c r="M40" s="87">
        <f t="shared" si="0"/>
        <v>400</v>
      </c>
      <c r="N40" s="114"/>
      <c r="O40" s="89"/>
      <c r="P40" s="82"/>
      <c r="R40" s="247"/>
      <c r="S40" s="221"/>
      <c r="T40" s="221"/>
      <c r="U40" s="221">
        <f t="shared" si="2"/>
        <v>1900</v>
      </c>
      <c r="V40" s="248"/>
      <c r="W40" s="244"/>
      <c r="X40" s="242"/>
      <c r="Z40" s="247"/>
      <c r="AA40" s="221"/>
      <c r="AB40" s="221"/>
      <c r="AC40" s="221">
        <f t="shared" si="3"/>
        <v>2000</v>
      </c>
      <c r="AD40" s="248"/>
      <c r="AE40" s="244"/>
      <c r="AF40" s="242"/>
      <c r="AH40" s="247"/>
      <c r="AI40" s="221"/>
      <c r="AJ40" s="221"/>
      <c r="AK40" s="221">
        <f t="shared" si="6"/>
        <v>500</v>
      </c>
      <c r="AL40" s="248"/>
      <c r="AM40" s="244"/>
      <c r="AN40" s="242"/>
      <c r="AP40" s="90"/>
      <c r="AQ40" s="87"/>
      <c r="AR40" s="87"/>
      <c r="AS40" s="87">
        <f t="shared" si="4"/>
        <v>1000</v>
      </c>
      <c r="AT40" s="114"/>
      <c r="AU40" s="89"/>
      <c r="AV40" s="82"/>
      <c r="AX40" s="90"/>
      <c r="AY40" s="87"/>
      <c r="AZ40" s="87"/>
      <c r="BA40" s="87">
        <f t="shared" si="5"/>
        <v>0</v>
      </c>
      <c r="BB40" s="114"/>
      <c r="BC40" s="89"/>
      <c r="BD40" s="82"/>
    </row>
    <row r="41" spans="2:56" x14ac:dyDescent="0.25">
      <c r="B41" s="90"/>
      <c r="C41" s="87"/>
      <c r="D41" s="87"/>
      <c r="E41" s="87">
        <f t="shared" si="1"/>
        <v>500</v>
      </c>
      <c r="F41" s="114"/>
      <c r="G41" s="89"/>
      <c r="H41" s="82"/>
      <c r="J41" s="90"/>
      <c r="K41" s="87"/>
      <c r="L41" s="87"/>
      <c r="M41" s="87">
        <f t="shared" si="0"/>
        <v>400</v>
      </c>
      <c r="N41" s="114"/>
      <c r="O41" s="89"/>
      <c r="P41" s="82"/>
      <c r="R41" s="247"/>
      <c r="S41" s="221"/>
      <c r="T41" s="221"/>
      <c r="U41" s="221">
        <f t="shared" si="2"/>
        <v>1900</v>
      </c>
      <c r="V41" s="248"/>
      <c r="W41" s="244"/>
      <c r="X41" s="242"/>
      <c r="Z41" s="247"/>
      <c r="AA41" s="221"/>
      <c r="AB41" s="221"/>
      <c r="AC41" s="221">
        <f t="shared" si="3"/>
        <v>2000</v>
      </c>
      <c r="AD41" s="248"/>
      <c r="AE41" s="244"/>
      <c r="AF41" s="242"/>
      <c r="AH41" s="247"/>
      <c r="AI41" s="221"/>
      <c r="AJ41" s="221"/>
      <c r="AK41" s="221">
        <f t="shared" si="6"/>
        <v>500</v>
      </c>
      <c r="AL41" s="248"/>
      <c r="AM41" s="244"/>
      <c r="AN41" s="242"/>
      <c r="AP41" s="90"/>
      <c r="AQ41" s="87"/>
      <c r="AR41" s="87"/>
      <c r="AS41" s="87">
        <f t="shared" si="4"/>
        <v>1000</v>
      </c>
      <c r="AT41" s="114"/>
      <c r="AU41" s="89"/>
      <c r="AV41" s="82"/>
      <c r="AX41" s="90"/>
      <c r="AY41" s="87"/>
      <c r="AZ41" s="87"/>
      <c r="BA41" s="87">
        <f t="shared" si="5"/>
        <v>0</v>
      </c>
      <c r="BB41" s="114"/>
      <c r="BC41" s="89"/>
      <c r="BD41" s="82"/>
    </row>
    <row r="42" spans="2:56" x14ac:dyDescent="0.25">
      <c r="B42" s="90"/>
      <c r="C42" s="87"/>
      <c r="D42" s="87"/>
      <c r="E42" s="87">
        <f t="shared" si="1"/>
        <v>500</v>
      </c>
      <c r="F42" s="114"/>
      <c r="G42" s="89"/>
      <c r="H42" s="82"/>
      <c r="J42" s="90"/>
      <c r="K42" s="87"/>
      <c r="L42" s="87"/>
      <c r="M42" s="87">
        <f t="shared" si="0"/>
        <v>400</v>
      </c>
      <c r="N42" s="114"/>
      <c r="O42" s="89"/>
      <c r="P42" s="82"/>
      <c r="R42" s="247"/>
      <c r="S42" s="221"/>
      <c r="T42" s="221"/>
      <c r="U42" s="221">
        <f t="shared" si="2"/>
        <v>1900</v>
      </c>
      <c r="V42" s="248"/>
      <c r="W42" s="244"/>
      <c r="X42" s="242"/>
      <c r="Z42" s="247"/>
      <c r="AA42" s="221"/>
      <c r="AB42" s="221"/>
      <c r="AC42" s="221">
        <f t="shared" si="3"/>
        <v>2000</v>
      </c>
      <c r="AD42" s="248"/>
      <c r="AE42" s="244"/>
      <c r="AF42" s="242"/>
      <c r="AH42" s="247"/>
      <c r="AI42" s="221"/>
      <c r="AJ42" s="221"/>
      <c r="AK42" s="221">
        <f t="shared" si="6"/>
        <v>500</v>
      </c>
      <c r="AL42" s="248"/>
      <c r="AM42" s="244"/>
      <c r="AN42" s="242"/>
      <c r="AP42" s="90"/>
      <c r="AQ42" s="87"/>
      <c r="AR42" s="87"/>
      <c r="AS42" s="87">
        <f t="shared" si="4"/>
        <v>1000</v>
      </c>
      <c r="AT42" s="114"/>
      <c r="AU42" s="89"/>
      <c r="AV42" s="82"/>
      <c r="AX42" s="90"/>
      <c r="AY42" s="87"/>
      <c r="AZ42" s="87"/>
      <c r="BA42" s="87">
        <f t="shared" si="5"/>
        <v>0</v>
      </c>
      <c r="BB42" s="114"/>
      <c r="BC42" s="89"/>
      <c r="BD42" s="82"/>
    </row>
    <row r="43" spans="2:56" x14ac:dyDescent="0.25">
      <c r="B43" s="90"/>
      <c r="C43" s="87"/>
      <c r="D43" s="87"/>
      <c r="E43" s="87">
        <f t="shared" si="1"/>
        <v>500</v>
      </c>
      <c r="F43" s="114"/>
      <c r="G43" s="89"/>
      <c r="H43" s="82"/>
      <c r="J43" s="90"/>
      <c r="K43" s="87"/>
      <c r="L43" s="87"/>
      <c r="M43" s="87">
        <f t="shared" si="0"/>
        <v>400</v>
      </c>
      <c r="N43" s="114"/>
      <c r="O43" s="89"/>
      <c r="P43" s="82"/>
      <c r="R43" s="247"/>
      <c r="S43" s="221"/>
      <c r="T43" s="221"/>
      <c r="U43" s="221">
        <f t="shared" si="2"/>
        <v>1900</v>
      </c>
      <c r="V43" s="248"/>
      <c r="W43" s="244"/>
      <c r="X43" s="242"/>
      <c r="Z43" s="247"/>
      <c r="AA43" s="221"/>
      <c r="AB43" s="221"/>
      <c r="AC43" s="221">
        <f t="shared" si="3"/>
        <v>2000</v>
      </c>
      <c r="AD43" s="248"/>
      <c r="AE43" s="244"/>
      <c r="AF43" s="242"/>
      <c r="AH43" s="247"/>
      <c r="AI43" s="221"/>
      <c r="AJ43" s="221"/>
      <c r="AK43" s="221">
        <f t="shared" si="6"/>
        <v>500</v>
      </c>
      <c r="AL43" s="248"/>
      <c r="AM43" s="244"/>
      <c r="AN43" s="242"/>
      <c r="AP43" s="90"/>
      <c r="AQ43" s="87"/>
      <c r="AR43" s="87"/>
      <c r="AS43" s="87">
        <f t="shared" si="4"/>
        <v>1000</v>
      </c>
      <c r="AT43" s="114"/>
      <c r="AU43" s="89"/>
      <c r="AV43" s="82"/>
      <c r="AX43" s="90"/>
      <c r="AY43" s="87"/>
      <c r="AZ43" s="87"/>
      <c r="BA43" s="87">
        <f t="shared" si="5"/>
        <v>0</v>
      </c>
      <c r="BB43" s="114"/>
      <c r="BC43" s="89"/>
      <c r="BD43" s="82"/>
    </row>
    <row r="44" spans="2:56" x14ac:dyDescent="0.25">
      <c r="B44" s="90"/>
      <c r="C44" s="87"/>
      <c r="D44" s="87"/>
      <c r="E44" s="87">
        <f t="shared" si="1"/>
        <v>500</v>
      </c>
      <c r="F44" s="114"/>
      <c r="G44" s="89"/>
      <c r="H44" s="82"/>
      <c r="J44" s="90"/>
      <c r="K44" s="87"/>
      <c r="L44" s="87"/>
      <c r="M44" s="87">
        <f t="shared" si="0"/>
        <v>400</v>
      </c>
      <c r="N44" s="114"/>
      <c r="O44" s="89"/>
      <c r="P44" s="82"/>
      <c r="R44" s="247"/>
      <c r="S44" s="221"/>
      <c r="T44" s="221"/>
      <c r="U44" s="221">
        <f t="shared" si="2"/>
        <v>1900</v>
      </c>
      <c r="V44" s="248"/>
      <c r="W44" s="244"/>
      <c r="X44" s="242"/>
      <c r="Z44" s="247"/>
      <c r="AA44" s="221"/>
      <c r="AB44" s="221"/>
      <c r="AC44" s="221">
        <f t="shared" si="3"/>
        <v>2000</v>
      </c>
      <c r="AD44" s="248"/>
      <c r="AE44" s="244"/>
      <c r="AF44" s="242"/>
      <c r="AH44" s="247"/>
      <c r="AI44" s="221"/>
      <c r="AJ44" s="221"/>
      <c r="AK44" s="221">
        <f t="shared" si="6"/>
        <v>500</v>
      </c>
      <c r="AL44" s="248"/>
      <c r="AM44" s="244"/>
      <c r="AN44" s="242"/>
      <c r="AP44" s="90"/>
      <c r="AQ44" s="87"/>
      <c r="AR44" s="87"/>
      <c r="AS44" s="87">
        <f t="shared" si="4"/>
        <v>1000</v>
      </c>
      <c r="AT44" s="114"/>
      <c r="AU44" s="89"/>
      <c r="AV44" s="82"/>
      <c r="AX44" s="90"/>
      <c r="AY44" s="87"/>
      <c r="AZ44" s="87"/>
      <c r="BA44" s="87">
        <f t="shared" si="5"/>
        <v>0</v>
      </c>
      <c r="BB44" s="114"/>
      <c r="BC44" s="89"/>
      <c r="BD44" s="82"/>
    </row>
    <row r="45" spans="2:56" x14ac:dyDescent="0.25">
      <c r="B45" s="90"/>
      <c r="C45" s="87"/>
      <c r="D45" s="87"/>
      <c r="E45" s="87">
        <f t="shared" si="1"/>
        <v>500</v>
      </c>
      <c r="F45" s="114"/>
      <c r="G45" s="89"/>
      <c r="H45" s="82"/>
      <c r="J45" s="90"/>
      <c r="K45" s="87"/>
      <c r="L45" s="87"/>
      <c r="M45" s="87">
        <f t="shared" si="0"/>
        <v>400</v>
      </c>
      <c r="N45" s="114"/>
      <c r="O45" s="89"/>
      <c r="P45" s="82"/>
      <c r="R45" s="247"/>
      <c r="S45" s="221"/>
      <c r="T45" s="221"/>
      <c r="U45" s="221">
        <f t="shared" si="2"/>
        <v>1900</v>
      </c>
      <c r="V45" s="248"/>
      <c r="W45" s="244"/>
      <c r="X45" s="242"/>
      <c r="Z45" s="247"/>
      <c r="AA45" s="221"/>
      <c r="AB45" s="221"/>
      <c r="AC45" s="221">
        <f t="shared" si="3"/>
        <v>2000</v>
      </c>
      <c r="AD45" s="248"/>
      <c r="AE45" s="244"/>
      <c r="AF45" s="242"/>
      <c r="AH45" s="247"/>
      <c r="AI45" s="221"/>
      <c r="AJ45" s="221"/>
      <c r="AK45" s="221">
        <f t="shared" si="6"/>
        <v>500</v>
      </c>
      <c r="AL45" s="248"/>
      <c r="AM45" s="244"/>
      <c r="AN45" s="242"/>
      <c r="AP45" s="90"/>
      <c r="AQ45" s="87"/>
      <c r="AR45" s="87"/>
      <c r="AS45" s="87">
        <f t="shared" si="4"/>
        <v>1000</v>
      </c>
      <c r="AT45" s="114"/>
      <c r="AU45" s="89"/>
      <c r="AV45" s="82"/>
      <c r="AX45" s="90"/>
      <c r="AY45" s="87"/>
      <c r="AZ45" s="87"/>
      <c r="BA45" s="87">
        <f t="shared" si="5"/>
        <v>0</v>
      </c>
      <c r="BB45" s="114"/>
      <c r="BC45" s="89"/>
      <c r="BD45" s="82"/>
    </row>
    <row r="46" spans="2:56" x14ac:dyDescent="0.25">
      <c r="B46" s="90"/>
      <c r="C46" s="87"/>
      <c r="D46" s="87"/>
      <c r="E46" s="87">
        <f t="shared" si="1"/>
        <v>500</v>
      </c>
      <c r="F46" s="114"/>
      <c r="G46" s="89"/>
      <c r="H46" s="82"/>
      <c r="J46" s="90"/>
      <c r="K46" s="87"/>
      <c r="L46" s="87"/>
      <c r="M46" s="87">
        <f t="shared" si="0"/>
        <v>400</v>
      </c>
      <c r="N46" s="114"/>
      <c r="O46" s="89"/>
      <c r="P46" s="82"/>
      <c r="R46" s="247"/>
      <c r="S46" s="221"/>
      <c r="T46" s="221"/>
      <c r="U46" s="221">
        <f t="shared" si="2"/>
        <v>1900</v>
      </c>
      <c r="V46" s="248"/>
      <c r="W46" s="244"/>
      <c r="X46" s="242"/>
      <c r="Z46" s="247"/>
      <c r="AA46" s="221"/>
      <c r="AB46" s="221"/>
      <c r="AC46" s="221">
        <f t="shared" si="3"/>
        <v>2000</v>
      </c>
      <c r="AD46" s="248"/>
      <c r="AE46" s="244"/>
      <c r="AF46" s="242"/>
      <c r="AH46" s="247"/>
      <c r="AI46" s="221"/>
      <c r="AJ46" s="221"/>
      <c r="AK46" s="221">
        <f t="shared" si="6"/>
        <v>500</v>
      </c>
      <c r="AL46" s="248"/>
      <c r="AM46" s="244"/>
      <c r="AN46" s="242"/>
      <c r="AP46" s="90"/>
      <c r="AQ46" s="87"/>
      <c r="AR46" s="87"/>
      <c r="AS46" s="87">
        <f t="shared" si="4"/>
        <v>1000</v>
      </c>
      <c r="AT46" s="114"/>
      <c r="AU46" s="89"/>
      <c r="AV46" s="82"/>
      <c r="AX46" s="90"/>
      <c r="AY46" s="87"/>
      <c r="AZ46" s="87"/>
      <c r="BA46" s="87">
        <f t="shared" si="5"/>
        <v>0</v>
      </c>
      <c r="BB46" s="114"/>
      <c r="BC46" s="89"/>
      <c r="BD46" s="82"/>
    </row>
    <row r="47" spans="2:56" x14ac:dyDescent="0.25">
      <c r="B47" s="90"/>
      <c r="C47" s="87"/>
      <c r="D47" s="87"/>
      <c r="E47" s="87">
        <f t="shared" si="1"/>
        <v>500</v>
      </c>
      <c r="F47" s="114"/>
      <c r="G47" s="89"/>
      <c r="H47" s="82"/>
      <c r="J47" s="90"/>
      <c r="K47" s="87"/>
      <c r="L47" s="87"/>
      <c r="M47" s="87">
        <f t="shared" si="0"/>
        <v>400</v>
      </c>
      <c r="N47" s="114"/>
      <c r="O47" s="89"/>
      <c r="P47" s="82"/>
      <c r="R47" s="247"/>
      <c r="S47" s="221"/>
      <c r="T47" s="221"/>
      <c r="U47" s="221">
        <f t="shared" si="2"/>
        <v>1900</v>
      </c>
      <c r="V47" s="248"/>
      <c r="W47" s="244"/>
      <c r="X47" s="242"/>
      <c r="Z47" s="247"/>
      <c r="AA47" s="221"/>
      <c r="AB47" s="221"/>
      <c r="AC47" s="221">
        <f t="shared" si="3"/>
        <v>2000</v>
      </c>
      <c r="AD47" s="248"/>
      <c r="AE47" s="244"/>
      <c r="AF47" s="242"/>
      <c r="AH47" s="247"/>
      <c r="AI47" s="221"/>
      <c r="AJ47" s="221"/>
      <c r="AK47" s="221">
        <f t="shared" si="6"/>
        <v>500</v>
      </c>
      <c r="AL47" s="248"/>
      <c r="AM47" s="244"/>
      <c r="AN47" s="242"/>
      <c r="AP47" s="90"/>
      <c r="AQ47" s="87"/>
      <c r="AR47" s="87"/>
      <c r="AS47" s="87">
        <f t="shared" si="4"/>
        <v>1000</v>
      </c>
      <c r="AT47" s="114"/>
      <c r="AU47" s="89"/>
      <c r="AV47" s="82"/>
      <c r="AX47" s="90"/>
      <c r="AY47" s="87"/>
      <c r="AZ47" s="87"/>
      <c r="BA47" s="87">
        <f t="shared" si="5"/>
        <v>0</v>
      </c>
      <c r="BB47" s="114"/>
      <c r="BC47" s="89"/>
      <c r="BD47" s="82"/>
    </row>
    <row r="48" spans="2:56" x14ac:dyDescent="0.25">
      <c r="B48" s="90"/>
      <c r="C48" s="87"/>
      <c r="D48" s="87"/>
      <c r="E48" s="87">
        <f t="shared" si="1"/>
        <v>500</v>
      </c>
      <c r="F48" s="114"/>
      <c r="G48" s="89"/>
      <c r="H48" s="82"/>
      <c r="J48" s="90"/>
      <c r="K48" s="87"/>
      <c r="L48" s="87"/>
      <c r="M48" s="87">
        <f t="shared" si="0"/>
        <v>400</v>
      </c>
      <c r="N48" s="114"/>
      <c r="O48" s="89"/>
      <c r="P48" s="82"/>
      <c r="R48" s="247"/>
      <c r="S48" s="221"/>
      <c r="T48" s="221"/>
      <c r="U48" s="221">
        <f t="shared" si="2"/>
        <v>1900</v>
      </c>
      <c r="V48" s="248"/>
      <c r="W48" s="244"/>
      <c r="X48" s="242"/>
      <c r="Z48" s="247"/>
      <c r="AA48" s="221"/>
      <c r="AB48" s="221"/>
      <c r="AC48" s="221">
        <f t="shared" si="3"/>
        <v>2000</v>
      </c>
      <c r="AD48" s="248"/>
      <c r="AE48" s="244"/>
      <c r="AF48" s="242"/>
      <c r="AH48" s="247"/>
      <c r="AI48" s="221"/>
      <c r="AJ48" s="221"/>
      <c r="AK48" s="221">
        <f t="shared" si="6"/>
        <v>500</v>
      </c>
      <c r="AL48" s="248"/>
      <c r="AM48" s="244"/>
      <c r="AN48" s="242"/>
      <c r="AP48" s="90"/>
      <c r="AQ48" s="87"/>
      <c r="AR48" s="87"/>
      <c r="AS48" s="87">
        <f t="shared" si="4"/>
        <v>1000</v>
      </c>
      <c r="AT48" s="114"/>
      <c r="AU48" s="89"/>
      <c r="AV48" s="82"/>
      <c r="AX48" s="90"/>
      <c r="AY48" s="87"/>
      <c r="AZ48" s="87"/>
      <c r="BA48" s="87">
        <f t="shared" si="5"/>
        <v>0</v>
      </c>
      <c r="BB48" s="114"/>
      <c r="BC48" s="89"/>
      <c r="BD48" s="82"/>
    </row>
    <row r="49" spans="2:56" x14ac:dyDescent="0.25">
      <c r="B49" s="90"/>
      <c r="C49" s="87"/>
      <c r="D49" s="87"/>
      <c r="E49" s="87">
        <f t="shared" si="1"/>
        <v>500</v>
      </c>
      <c r="F49" s="114"/>
      <c r="G49" s="89"/>
      <c r="H49" s="82"/>
      <c r="J49" s="90"/>
      <c r="K49" s="87"/>
      <c r="L49" s="87"/>
      <c r="M49" s="87">
        <f t="shared" si="0"/>
        <v>400</v>
      </c>
      <c r="N49" s="114"/>
      <c r="O49" s="89"/>
      <c r="P49" s="82"/>
      <c r="R49" s="247"/>
      <c r="S49" s="221"/>
      <c r="T49" s="221"/>
      <c r="U49" s="221">
        <f t="shared" si="2"/>
        <v>1900</v>
      </c>
      <c r="V49" s="248"/>
      <c r="W49" s="244"/>
      <c r="X49" s="242"/>
      <c r="Z49" s="247"/>
      <c r="AA49" s="221"/>
      <c r="AB49" s="221"/>
      <c r="AC49" s="221">
        <f t="shared" si="3"/>
        <v>2000</v>
      </c>
      <c r="AD49" s="248"/>
      <c r="AE49" s="244"/>
      <c r="AF49" s="242"/>
      <c r="AH49" s="247"/>
      <c r="AI49" s="221"/>
      <c r="AJ49" s="221"/>
      <c r="AK49" s="221">
        <f t="shared" si="6"/>
        <v>500</v>
      </c>
      <c r="AL49" s="248"/>
      <c r="AM49" s="244"/>
      <c r="AN49" s="242"/>
      <c r="AP49" s="90"/>
      <c r="AQ49" s="87"/>
      <c r="AR49" s="87"/>
      <c r="AS49" s="87">
        <f t="shared" si="4"/>
        <v>1000</v>
      </c>
      <c r="AT49" s="114"/>
      <c r="AU49" s="89"/>
      <c r="AV49" s="82"/>
      <c r="AX49" s="90"/>
      <c r="AY49" s="87"/>
      <c r="AZ49" s="87"/>
      <c r="BA49" s="87">
        <f t="shared" si="5"/>
        <v>0</v>
      </c>
      <c r="BB49" s="114"/>
      <c r="BC49" s="89"/>
      <c r="BD49" s="82"/>
    </row>
    <row r="50" spans="2:56" x14ac:dyDescent="0.25">
      <c r="B50" s="90"/>
      <c r="C50" s="87"/>
      <c r="D50" s="87"/>
      <c r="E50" s="87">
        <f t="shared" si="1"/>
        <v>500</v>
      </c>
      <c r="F50" s="114"/>
      <c r="G50" s="89"/>
      <c r="H50" s="82"/>
      <c r="J50" s="90"/>
      <c r="K50" s="87"/>
      <c r="L50" s="87"/>
      <c r="M50" s="87">
        <f t="shared" si="0"/>
        <v>400</v>
      </c>
      <c r="N50" s="114"/>
      <c r="O50" s="89"/>
      <c r="P50" s="82"/>
      <c r="R50" s="247"/>
      <c r="S50" s="221"/>
      <c r="T50" s="221"/>
      <c r="U50" s="221">
        <f t="shared" si="2"/>
        <v>1900</v>
      </c>
      <c r="V50" s="248"/>
      <c r="W50" s="244"/>
      <c r="X50" s="242"/>
      <c r="Z50" s="247"/>
      <c r="AA50" s="221"/>
      <c r="AB50" s="221"/>
      <c r="AC50" s="221">
        <f t="shared" si="3"/>
        <v>2000</v>
      </c>
      <c r="AD50" s="248"/>
      <c r="AE50" s="244"/>
      <c r="AF50" s="242"/>
      <c r="AH50" s="247"/>
      <c r="AI50" s="221"/>
      <c r="AJ50" s="221"/>
      <c r="AK50" s="221">
        <f t="shared" si="6"/>
        <v>500</v>
      </c>
      <c r="AL50" s="248"/>
      <c r="AM50" s="244"/>
      <c r="AN50" s="242"/>
      <c r="AP50" s="90"/>
      <c r="AQ50" s="87"/>
      <c r="AR50" s="87"/>
      <c r="AS50" s="87">
        <f t="shared" si="4"/>
        <v>1000</v>
      </c>
      <c r="AT50" s="114"/>
      <c r="AU50" s="89"/>
      <c r="AV50" s="82"/>
      <c r="AX50" s="90"/>
      <c r="AY50" s="87"/>
      <c r="AZ50" s="87"/>
      <c r="BA50" s="87">
        <f t="shared" si="5"/>
        <v>0</v>
      </c>
      <c r="BB50" s="114"/>
      <c r="BC50" s="89"/>
      <c r="BD50" s="82"/>
    </row>
    <row r="51" spans="2:56" x14ac:dyDescent="0.25">
      <c r="B51" s="90"/>
      <c r="C51" s="87"/>
      <c r="D51" s="87"/>
      <c r="E51" s="87">
        <f>SUM(E50,C51,-D51)</f>
        <v>500</v>
      </c>
      <c r="F51" s="114"/>
      <c r="G51" s="89"/>
      <c r="H51" s="82"/>
      <c r="J51" s="90"/>
      <c r="K51" s="87"/>
      <c r="L51" s="87"/>
      <c r="M51" s="87">
        <f>SUM(M50,K51,-L51)</f>
        <v>400</v>
      </c>
      <c r="N51" s="114"/>
      <c r="O51" s="89"/>
      <c r="P51" s="82"/>
      <c r="R51" s="247"/>
      <c r="S51" s="221"/>
      <c r="T51" s="221"/>
      <c r="U51" s="221">
        <f>SUM(U50,S51,-T51)</f>
        <v>1900</v>
      </c>
      <c r="V51" s="248"/>
      <c r="W51" s="244"/>
      <c r="X51" s="242"/>
      <c r="Z51" s="247"/>
      <c r="AA51" s="221"/>
      <c r="AB51" s="221"/>
      <c r="AC51" s="221">
        <f>SUM(AC50,AA51,-AB51)</f>
        <v>2000</v>
      </c>
      <c r="AD51" s="248"/>
      <c r="AE51" s="244"/>
      <c r="AF51" s="242"/>
      <c r="AH51" s="247"/>
      <c r="AI51" s="221"/>
      <c r="AJ51" s="221"/>
      <c r="AK51" s="221">
        <f>SUM(AK50,AI51,-AJ51)</f>
        <v>500</v>
      </c>
      <c r="AL51" s="248"/>
      <c r="AM51" s="244"/>
      <c r="AN51" s="242"/>
      <c r="AP51" s="90"/>
      <c r="AQ51" s="87"/>
      <c r="AR51" s="87"/>
      <c r="AS51" s="87">
        <f>SUM(AS50,AQ51,-AR51)</f>
        <v>1000</v>
      </c>
      <c r="AT51" s="114"/>
      <c r="AU51" s="89"/>
      <c r="AV51" s="82"/>
      <c r="AX51" s="90"/>
      <c r="AY51" s="87"/>
      <c r="AZ51" s="87"/>
      <c r="BA51" s="87">
        <f>SUM(BA50,AY51,-AZ51)</f>
        <v>0</v>
      </c>
      <c r="BB51" s="114"/>
      <c r="BC51" s="89"/>
      <c r="BD51" s="82"/>
    </row>
    <row r="52" spans="2:56" x14ac:dyDescent="0.25">
      <c r="B52" s="90"/>
      <c r="C52" s="87"/>
      <c r="D52" s="87"/>
      <c r="E52" s="87">
        <f>SUM(E51,C52,-D52)</f>
        <v>500</v>
      </c>
      <c r="F52" s="114"/>
      <c r="G52" s="89"/>
      <c r="H52" s="82"/>
      <c r="J52" s="90"/>
      <c r="K52" s="87"/>
      <c r="L52" s="87"/>
      <c r="M52" s="87">
        <f>SUM(M51,K52,-L52)</f>
        <v>400</v>
      </c>
      <c r="N52" s="114"/>
      <c r="O52" s="89"/>
      <c r="P52" s="82"/>
      <c r="R52" s="247"/>
      <c r="S52" s="221"/>
      <c r="T52" s="221"/>
      <c r="U52" s="221">
        <f t="shared" si="2"/>
        <v>1900</v>
      </c>
      <c r="V52" s="248"/>
      <c r="W52" s="244"/>
      <c r="X52" s="242"/>
      <c r="Z52" s="247"/>
      <c r="AA52" s="221"/>
      <c r="AB52" s="221"/>
      <c r="AC52" s="221">
        <f>SUM(AC51,AA52,-AB52)</f>
        <v>2000</v>
      </c>
      <c r="AD52" s="248"/>
      <c r="AE52" s="244"/>
      <c r="AF52" s="242"/>
      <c r="AH52" s="247"/>
      <c r="AI52" s="221"/>
      <c r="AJ52" s="221"/>
      <c r="AK52" s="221">
        <f>SUM(AK51,AI52,-AJ52)</f>
        <v>500</v>
      </c>
      <c r="AL52" s="248"/>
      <c r="AM52" s="244"/>
      <c r="AN52" s="242"/>
      <c r="AP52" s="90"/>
      <c r="AQ52" s="87"/>
      <c r="AR52" s="87"/>
      <c r="AS52" s="87">
        <f>SUM(AS51,AQ52,-AR52)</f>
        <v>1000</v>
      </c>
      <c r="AT52" s="114"/>
      <c r="AU52" s="89"/>
      <c r="AV52" s="82"/>
      <c r="AX52" s="90"/>
      <c r="AY52" s="87"/>
      <c r="AZ52" s="87"/>
      <c r="BA52" s="87">
        <f>SUM(BA51,AY52,-AZ52)</f>
        <v>0</v>
      </c>
      <c r="BB52" s="114"/>
      <c r="BC52" s="89"/>
      <c r="BD52" s="82"/>
    </row>
    <row r="53" spans="2:56" ht="15.75" thickBot="1" x14ac:dyDescent="0.3">
      <c r="B53" s="120"/>
      <c r="C53" s="117"/>
      <c r="D53" s="117"/>
      <c r="E53" s="117">
        <f>SUM(E52,C53,-D53)</f>
        <v>500</v>
      </c>
      <c r="F53" s="118"/>
      <c r="G53" s="119"/>
      <c r="H53" s="82"/>
      <c r="J53" s="120"/>
      <c r="K53" s="117"/>
      <c r="L53" s="117"/>
      <c r="M53" s="117">
        <f>SUM(M52,K53,-L53)</f>
        <v>400</v>
      </c>
      <c r="N53" s="118"/>
      <c r="O53" s="119"/>
      <c r="P53" s="82"/>
      <c r="R53" s="317"/>
      <c r="S53" s="318"/>
      <c r="T53" s="318"/>
      <c r="U53" s="318">
        <f t="shared" si="2"/>
        <v>1900</v>
      </c>
      <c r="V53" s="319"/>
      <c r="W53" s="320"/>
      <c r="X53" s="242"/>
      <c r="Z53" s="317"/>
      <c r="AA53" s="318"/>
      <c r="AB53" s="318"/>
      <c r="AC53" s="318">
        <f>SUM(AC52,AA53,-AB53)</f>
        <v>2000</v>
      </c>
      <c r="AD53" s="319"/>
      <c r="AE53" s="320"/>
      <c r="AF53" s="242"/>
      <c r="AH53" s="317"/>
      <c r="AI53" s="318"/>
      <c r="AJ53" s="318"/>
      <c r="AK53" s="318">
        <f>SUM(AK52,AI53,-AJ53)</f>
        <v>500</v>
      </c>
      <c r="AL53" s="319"/>
      <c r="AM53" s="320"/>
      <c r="AN53" s="242"/>
      <c r="AP53" s="120"/>
      <c r="AQ53" s="117"/>
      <c r="AR53" s="117"/>
      <c r="AS53" s="117">
        <f>SUM(AS52,AQ53,-AR53)</f>
        <v>1000</v>
      </c>
      <c r="AT53" s="118"/>
      <c r="AU53" s="119"/>
      <c r="AV53" s="82"/>
      <c r="AX53" s="120"/>
      <c r="AY53" s="117"/>
      <c r="AZ53" s="117"/>
      <c r="BA53" s="117">
        <f>SUM(BA52,AY53,-AZ53)</f>
        <v>0</v>
      </c>
      <c r="BB53" s="118"/>
      <c r="BC53" s="119"/>
      <c r="BD53" s="82"/>
    </row>
    <row r="54" spans="2:56" ht="15.75" thickBot="1" x14ac:dyDescent="0.3">
      <c r="B54" s="63"/>
      <c r="C54" t="s">
        <v>23</v>
      </c>
      <c r="D54" s="335">
        <f>SUM(D6:D53)</f>
        <v>0</v>
      </c>
      <c r="E54" s="123">
        <f>E53</f>
        <v>500</v>
      </c>
      <c r="F54" s="124"/>
      <c r="G54" s="126">
        <f>SUM(G6:G53)</f>
        <v>0</v>
      </c>
      <c r="H54" s="125">
        <f>SUM(H6:H53)</f>
        <v>0</v>
      </c>
      <c r="J54" s="63"/>
      <c r="K54" s="63" t="s">
        <v>23</v>
      </c>
      <c r="L54" s="335">
        <f>SUM(L6:L53)</f>
        <v>300</v>
      </c>
      <c r="M54" s="123">
        <f>M53</f>
        <v>400</v>
      </c>
      <c r="N54" s="124"/>
      <c r="O54" s="126">
        <f>SUM(O6:O53)</f>
        <v>0</v>
      </c>
      <c r="P54" s="125">
        <f>SUM(P6:P53)</f>
        <v>0</v>
      </c>
      <c r="R54" s="230"/>
      <c r="S54" s="230" t="s">
        <v>23</v>
      </c>
      <c r="T54" s="336">
        <f>SUM(T6:T53)</f>
        <v>100</v>
      </c>
      <c r="U54" s="321">
        <f>U53</f>
        <v>1900</v>
      </c>
      <c r="V54" s="322"/>
      <c r="W54" s="323">
        <f>SUM(W6:W53)</f>
        <v>0</v>
      </c>
      <c r="X54" s="324">
        <f>SUM(X6:X53)</f>
        <v>0</v>
      </c>
      <c r="Z54" s="230"/>
      <c r="AA54" s="230" t="s">
        <v>23</v>
      </c>
      <c r="AB54" s="336">
        <f>SUM(AB6:AB53)</f>
        <v>1000</v>
      </c>
      <c r="AC54" s="321">
        <f>AC53</f>
        <v>2000</v>
      </c>
      <c r="AD54" s="322"/>
      <c r="AE54" s="323">
        <f>SUM(AE6:AE53)</f>
        <v>0</v>
      </c>
      <c r="AF54" s="324">
        <f>SUM(AF6:AF53)</f>
        <v>0</v>
      </c>
      <c r="AH54" s="230"/>
      <c r="AI54" s="230" t="s">
        <v>23</v>
      </c>
      <c r="AJ54" s="336">
        <f>SUM(AJ6:AJ53)</f>
        <v>0</v>
      </c>
      <c r="AK54" s="321">
        <f>AK53</f>
        <v>500</v>
      </c>
      <c r="AL54" s="322"/>
      <c r="AM54" s="323">
        <f>SUM(AM6:AM53)</f>
        <v>0</v>
      </c>
      <c r="AN54" s="324">
        <f>SUM(AN6:AN53)</f>
        <v>0</v>
      </c>
      <c r="AP54" s="63"/>
      <c r="AQ54" t="s">
        <v>23</v>
      </c>
      <c r="AR54" s="335">
        <f>SUM(AR6:AR53)</f>
        <v>0</v>
      </c>
      <c r="AS54" s="123">
        <f>AS53</f>
        <v>1000</v>
      </c>
      <c r="AT54" s="124"/>
      <c r="AU54" s="126">
        <f>SUM(AU6:AU53)</f>
        <v>0</v>
      </c>
      <c r="AV54" s="125">
        <f>SUM(AV6:AV53)</f>
        <v>0</v>
      </c>
      <c r="AX54" s="63"/>
      <c r="AY54" t="s">
        <v>23</v>
      </c>
      <c r="AZ54" s="335">
        <f>SUM(AZ6:AZ53)</f>
        <v>0</v>
      </c>
      <c r="BA54" s="123">
        <f>BA53</f>
        <v>0</v>
      </c>
      <c r="BB54" s="124"/>
      <c r="BC54" s="126">
        <f>SUM(BC6:BC53)</f>
        <v>0</v>
      </c>
      <c r="BD54" s="125">
        <f>SUM(BD6:BD53)</f>
        <v>0</v>
      </c>
    </row>
    <row r="57" spans="2:56" ht="18.75" x14ac:dyDescent="0.3">
      <c r="B57" s="337" t="s">
        <v>60</v>
      </c>
      <c r="E57" s="339">
        <f>E54+M54+U54+AC54+AK54+AS54+BA54</f>
        <v>6300</v>
      </c>
    </row>
    <row r="58" spans="2:56" ht="18.75" x14ac:dyDescent="0.3">
      <c r="B58" s="337" t="s">
        <v>61</v>
      </c>
      <c r="E58" s="338">
        <f>D54+L54+T54+AB54+AJ54+AR54+AZ54</f>
        <v>1400</v>
      </c>
    </row>
  </sheetData>
  <mergeCells count="13">
    <mergeCell ref="AZ2:BB2"/>
    <mergeCell ref="AX3:BD3"/>
    <mergeCell ref="AR2:AT2"/>
    <mergeCell ref="AP3:AV3"/>
    <mergeCell ref="D2:F2"/>
    <mergeCell ref="B3:H3"/>
    <mergeCell ref="R3:X3"/>
    <mergeCell ref="Z3:AF3"/>
    <mergeCell ref="AJ2:AL2"/>
    <mergeCell ref="AH3:AN3"/>
    <mergeCell ref="L2:N2"/>
    <mergeCell ref="J3:P3"/>
    <mergeCell ref="U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:M84"/>
  <sheetViews>
    <sheetView zoomScaleNormal="100" workbookViewId="0">
      <selection activeCell="H12" sqref="H12"/>
    </sheetView>
  </sheetViews>
  <sheetFormatPr baseColWidth="10" defaultRowHeight="15" x14ac:dyDescent="0.25"/>
  <cols>
    <col min="4" max="4" width="50" bestFit="1" customWidth="1"/>
    <col min="5" max="5" width="17.5703125" customWidth="1"/>
    <col min="6" max="6" width="18.5703125" bestFit="1" customWidth="1"/>
    <col min="7" max="7" width="14.140625" customWidth="1"/>
    <col min="8" max="8" width="12.5703125" customWidth="1"/>
    <col min="9" max="9" width="13.7109375" customWidth="1"/>
    <col min="10" max="10" width="13.42578125" customWidth="1"/>
    <col min="11" max="11" width="10.5703125" customWidth="1"/>
    <col min="12" max="12" width="9.5703125" customWidth="1"/>
    <col min="13" max="13" width="13.7109375" bestFit="1" customWidth="1"/>
  </cols>
  <sheetData>
    <row r="1" spans="4:12" ht="15.75" thickBot="1" x14ac:dyDescent="0.3"/>
    <row r="2" spans="4:12" ht="17.25" customHeight="1" thickBot="1" x14ac:dyDescent="0.35">
      <c r="D2" s="259" t="s">
        <v>45</v>
      </c>
      <c r="E2" s="260" t="s">
        <v>55</v>
      </c>
      <c r="F2" s="261" t="s">
        <v>54</v>
      </c>
      <c r="G2" s="13" t="s">
        <v>94</v>
      </c>
      <c r="H2" s="421" t="s">
        <v>46</v>
      </c>
      <c r="I2" s="422"/>
      <c r="J2" s="422"/>
      <c r="K2" s="422"/>
      <c r="L2" s="423"/>
    </row>
    <row r="3" spans="4:12" x14ac:dyDescent="0.25">
      <c r="D3" s="380" t="str">
        <f>PTM!A5</f>
        <v>PRESTAMO 1</v>
      </c>
      <c r="E3" s="333">
        <f>PTM!D56</f>
        <v>1700</v>
      </c>
      <c r="F3" s="262">
        <f>PTM!G56</f>
        <v>0</v>
      </c>
      <c r="G3" s="417">
        <f>E3/$E$84</f>
        <v>8.5642317380352648E-2</v>
      </c>
      <c r="H3" s="424"/>
      <c r="I3" s="425"/>
      <c r="J3" s="425"/>
      <c r="K3" s="425"/>
      <c r="L3" s="426"/>
    </row>
    <row r="4" spans="4:12" x14ac:dyDescent="0.25">
      <c r="D4" s="252" t="str">
        <f>PTM!I5</f>
        <v>PRESTAMO 2</v>
      </c>
      <c r="E4" s="333">
        <f>PTM!L56</f>
        <v>1000</v>
      </c>
      <c r="F4" s="253">
        <f>PTM!O56</f>
        <v>0</v>
      </c>
      <c r="G4" s="417">
        <f t="shared" ref="G4:G67" si="0">E4/$E$84</f>
        <v>5.0377833753148617E-2</v>
      </c>
      <c r="H4" s="424"/>
      <c r="I4" s="425"/>
      <c r="J4" s="425"/>
      <c r="K4" s="425"/>
      <c r="L4" s="426"/>
    </row>
    <row r="5" spans="4:12" x14ac:dyDescent="0.25">
      <c r="D5" s="405" t="str">
        <f>PTM!Q5</f>
        <v>PRESTAMO 3</v>
      </c>
      <c r="E5" s="333">
        <f>PTM!T56</f>
        <v>4000</v>
      </c>
      <c r="F5" s="253">
        <f>PTM!W56</f>
        <v>0</v>
      </c>
      <c r="G5" s="417">
        <f t="shared" si="0"/>
        <v>0.20151133501259447</v>
      </c>
      <c r="H5" s="424"/>
      <c r="I5" s="425"/>
      <c r="J5" s="425"/>
      <c r="K5" s="425"/>
      <c r="L5" s="426"/>
    </row>
    <row r="6" spans="4:12" x14ac:dyDescent="0.25">
      <c r="D6" s="252" t="str">
        <f>PTM!Y5</f>
        <v>PRESTAMO 4</v>
      </c>
      <c r="E6" s="333">
        <f>PTM!AB56</f>
        <v>1000</v>
      </c>
      <c r="F6" s="253">
        <f>PTM!AE56</f>
        <v>40</v>
      </c>
      <c r="G6" s="417">
        <f t="shared" si="0"/>
        <v>5.0377833753148617E-2</v>
      </c>
      <c r="H6" s="424"/>
      <c r="I6" s="425"/>
      <c r="J6" s="425"/>
      <c r="K6" s="425"/>
      <c r="L6" s="426"/>
    </row>
    <row r="7" spans="4:12" x14ac:dyDescent="0.25">
      <c r="D7" s="405" t="str">
        <f>PTM!AG5</f>
        <v>PRESTAMO 5</v>
      </c>
      <c r="E7" s="333">
        <f>PTM!AJ56</f>
        <v>2000</v>
      </c>
      <c r="F7" s="253">
        <f>PTM!AM56</f>
        <v>0</v>
      </c>
      <c r="G7" s="417">
        <f t="shared" si="0"/>
        <v>0.10075566750629723</v>
      </c>
      <c r="H7" s="424"/>
      <c r="I7" s="425"/>
      <c r="J7" s="425"/>
      <c r="K7" s="425"/>
      <c r="L7" s="426"/>
    </row>
    <row r="8" spans="4:12" ht="15.75" thickBot="1" x14ac:dyDescent="0.3">
      <c r="D8" s="252" t="str">
        <f>PTM!AO5</f>
        <v>PRESTAMO 6</v>
      </c>
      <c r="E8" s="333">
        <f>PTM!AR56</f>
        <v>1000</v>
      </c>
      <c r="F8" s="253">
        <f>PTM!AU56</f>
        <v>35</v>
      </c>
      <c r="G8" s="417">
        <f t="shared" si="0"/>
        <v>5.0377833753148617E-2</v>
      </c>
      <c r="H8" s="427"/>
      <c r="I8" s="428"/>
      <c r="J8" s="428"/>
      <c r="K8" s="428"/>
      <c r="L8" s="429"/>
    </row>
    <row r="9" spans="4:12" x14ac:dyDescent="0.25">
      <c r="D9" s="252" t="str">
        <f>PTM!AW5</f>
        <v>PRESTAMO 7</v>
      </c>
      <c r="E9" s="333">
        <f>PTM!AZ56</f>
        <v>1150</v>
      </c>
      <c r="F9" s="253">
        <f>PTM!BC56</f>
        <v>0</v>
      </c>
      <c r="G9" s="417">
        <f t="shared" si="0"/>
        <v>5.793450881612091E-2</v>
      </c>
    </row>
    <row r="10" spans="4:12" x14ac:dyDescent="0.25">
      <c r="D10" s="252" t="str">
        <f>PTM!BE5</f>
        <v>PRESTAMO 8</v>
      </c>
      <c r="E10" s="333">
        <f>PTM!BH56</f>
        <v>7000</v>
      </c>
      <c r="F10" s="253">
        <f>PTM!BK56</f>
        <v>0</v>
      </c>
      <c r="G10" s="417">
        <f t="shared" si="0"/>
        <v>0.3526448362720403</v>
      </c>
    </row>
    <row r="11" spans="4:12" x14ac:dyDescent="0.25">
      <c r="D11" s="252" t="str">
        <f>PTM!BM5</f>
        <v>PRESTAMO 9</v>
      </c>
      <c r="E11" s="333">
        <f>PTM!BP56</f>
        <v>1000</v>
      </c>
      <c r="F11" s="253">
        <f>PTM!BS56</f>
        <v>45</v>
      </c>
      <c r="G11" s="417">
        <f t="shared" si="0"/>
        <v>5.0377833753148617E-2</v>
      </c>
    </row>
    <row r="12" spans="4:12" x14ac:dyDescent="0.25">
      <c r="D12" s="252" t="str">
        <f>PTM!BU5</f>
        <v>PRESTAMO 10</v>
      </c>
      <c r="E12" s="333">
        <f>PTM!BX56</f>
        <v>0</v>
      </c>
      <c r="F12" s="253">
        <f>PTM!CA56</f>
        <v>0</v>
      </c>
      <c r="G12" s="417">
        <f t="shared" si="0"/>
        <v>0</v>
      </c>
    </row>
    <row r="13" spans="4:12" x14ac:dyDescent="0.25">
      <c r="D13" s="252">
        <f>PTM!CC5</f>
        <v>0</v>
      </c>
      <c r="E13" s="333">
        <f>PTM!CF56</f>
        <v>0</v>
      </c>
      <c r="F13" s="253">
        <f>PTM!CI56</f>
        <v>0</v>
      </c>
      <c r="G13" s="417">
        <f t="shared" si="0"/>
        <v>0</v>
      </c>
      <c r="J13" s="60"/>
    </row>
    <row r="14" spans="4:12" x14ac:dyDescent="0.25">
      <c r="D14" s="252">
        <f>PTM!CK5</f>
        <v>0</v>
      </c>
      <c r="E14" s="333">
        <f>PTM!CN56</f>
        <v>0</v>
      </c>
      <c r="F14" s="253">
        <f>PTM!CQ56</f>
        <v>0</v>
      </c>
      <c r="G14" s="417">
        <f t="shared" si="0"/>
        <v>0</v>
      </c>
      <c r="J14" s="60"/>
    </row>
    <row r="15" spans="4:12" x14ac:dyDescent="0.25">
      <c r="D15" s="252">
        <f>PTM!CS5</f>
        <v>0</v>
      </c>
      <c r="E15" s="333">
        <f>PTM!CV56</f>
        <v>0</v>
      </c>
      <c r="F15" s="253">
        <f>PTM!CY56</f>
        <v>0</v>
      </c>
      <c r="G15" s="417">
        <f t="shared" si="0"/>
        <v>0</v>
      </c>
      <c r="J15" s="60"/>
    </row>
    <row r="16" spans="4:12" x14ac:dyDescent="0.25">
      <c r="D16" s="252">
        <f>PTM!DA5</f>
        <v>0</v>
      </c>
      <c r="E16" s="333">
        <f>PTM!DD56</f>
        <v>0</v>
      </c>
      <c r="F16" s="253">
        <f>PTM!DG56</f>
        <v>0</v>
      </c>
      <c r="G16" s="417">
        <f t="shared" si="0"/>
        <v>0</v>
      </c>
      <c r="J16" s="60"/>
    </row>
    <row r="17" spans="4:10" x14ac:dyDescent="0.25">
      <c r="D17" s="252">
        <f>PTM!DI5</f>
        <v>0</v>
      </c>
      <c r="E17" s="333">
        <f>PTM!DL56</f>
        <v>0</v>
      </c>
      <c r="F17" s="253">
        <f>PTM!DO56</f>
        <v>0</v>
      </c>
      <c r="G17" s="417">
        <f t="shared" si="0"/>
        <v>0</v>
      </c>
      <c r="J17" s="60"/>
    </row>
    <row r="18" spans="4:10" x14ac:dyDescent="0.25">
      <c r="D18" s="252">
        <f>PTM!DQ5</f>
        <v>0</v>
      </c>
      <c r="E18" s="333">
        <f>PTM!DT56</f>
        <v>0</v>
      </c>
      <c r="F18" s="253">
        <f>PTM!DW56</f>
        <v>0</v>
      </c>
      <c r="G18" s="417">
        <f t="shared" si="0"/>
        <v>0</v>
      </c>
      <c r="J18" t="s">
        <v>44</v>
      </c>
    </row>
    <row r="19" spans="4:10" x14ac:dyDescent="0.25">
      <c r="D19" s="252">
        <f>PTM!DY5</f>
        <v>0</v>
      </c>
      <c r="E19" s="333">
        <f>PTM!EB56</f>
        <v>0</v>
      </c>
      <c r="F19" s="253">
        <f>PTM!EE56</f>
        <v>0</v>
      </c>
      <c r="G19" s="417">
        <f t="shared" si="0"/>
        <v>0</v>
      </c>
    </row>
    <row r="20" spans="4:10" x14ac:dyDescent="0.25">
      <c r="D20" s="252">
        <f>PTM!EG5</f>
        <v>0</v>
      </c>
      <c r="E20" s="333">
        <f>PTM!EJ56</f>
        <v>0</v>
      </c>
      <c r="F20" s="253">
        <f>PTM!EM56</f>
        <v>0</v>
      </c>
      <c r="G20" s="417">
        <f t="shared" si="0"/>
        <v>0</v>
      </c>
    </row>
    <row r="21" spans="4:10" x14ac:dyDescent="0.25">
      <c r="D21" s="252">
        <f>PTM!EO5</f>
        <v>0</v>
      </c>
      <c r="E21" s="333">
        <f>PTM!ER56</f>
        <v>0</v>
      </c>
      <c r="F21" s="253">
        <f>PTM!EU56</f>
        <v>0</v>
      </c>
      <c r="G21" s="417">
        <f t="shared" si="0"/>
        <v>0</v>
      </c>
    </row>
    <row r="22" spans="4:10" x14ac:dyDescent="0.25">
      <c r="D22" s="252">
        <f>PTM!EW5</f>
        <v>0</v>
      </c>
      <c r="E22" s="333">
        <f>PTM!EZ56</f>
        <v>0</v>
      </c>
      <c r="F22" s="253">
        <f>PTM!FC56</f>
        <v>0</v>
      </c>
      <c r="G22" s="417">
        <f t="shared" si="0"/>
        <v>0</v>
      </c>
    </row>
    <row r="23" spans="4:10" x14ac:dyDescent="0.25">
      <c r="D23" s="252">
        <f>PTM!FE5</f>
        <v>0</v>
      </c>
      <c r="E23" s="333">
        <f>PTM!FH56</f>
        <v>0</v>
      </c>
      <c r="F23" s="253">
        <f>PTM!FK56</f>
        <v>0</v>
      </c>
      <c r="G23" s="417">
        <f t="shared" si="0"/>
        <v>0</v>
      </c>
    </row>
    <row r="24" spans="4:10" x14ac:dyDescent="0.25">
      <c r="D24" s="405">
        <f>PTM!FM5</f>
        <v>0</v>
      </c>
      <c r="E24" s="333">
        <f>PTM!FP56</f>
        <v>0</v>
      </c>
      <c r="F24" s="253">
        <f>PTM!FS56</f>
        <v>0</v>
      </c>
      <c r="G24" s="417">
        <f t="shared" si="0"/>
        <v>0</v>
      </c>
    </row>
    <row r="25" spans="4:10" x14ac:dyDescent="0.25">
      <c r="D25" s="252">
        <f>PTM!FU5</f>
        <v>0</v>
      </c>
      <c r="E25" s="333">
        <f>PTM!FX56</f>
        <v>0</v>
      </c>
      <c r="F25" s="253">
        <f>PTM!GA56</f>
        <v>0</v>
      </c>
      <c r="G25" s="417">
        <f t="shared" si="0"/>
        <v>0</v>
      </c>
    </row>
    <row r="26" spans="4:10" x14ac:dyDescent="0.25">
      <c r="D26" s="405">
        <f>PTM!GC5</f>
        <v>0</v>
      </c>
      <c r="E26" s="333">
        <f>PTM!GF56</f>
        <v>0</v>
      </c>
      <c r="F26" s="253">
        <f>PTM!GI56</f>
        <v>0</v>
      </c>
      <c r="G26" s="417">
        <f t="shared" si="0"/>
        <v>0</v>
      </c>
    </row>
    <row r="27" spans="4:10" x14ac:dyDescent="0.25">
      <c r="D27" s="252">
        <f>PTM!GK5</f>
        <v>0</v>
      </c>
      <c r="E27" s="333">
        <f>PTM!GN56</f>
        <v>0</v>
      </c>
      <c r="F27" s="253">
        <f>PTM!GQ56</f>
        <v>0</v>
      </c>
      <c r="G27" s="417">
        <f t="shared" si="0"/>
        <v>0</v>
      </c>
    </row>
    <row r="28" spans="4:10" x14ac:dyDescent="0.25">
      <c r="D28" s="405">
        <f>PTM!GS5</f>
        <v>0</v>
      </c>
      <c r="E28" s="333">
        <f>PTM!GV56</f>
        <v>0</v>
      </c>
      <c r="F28" s="253">
        <f>PTM!GY56</f>
        <v>0</v>
      </c>
      <c r="G28" s="417">
        <f t="shared" si="0"/>
        <v>0</v>
      </c>
    </row>
    <row r="29" spans="4:10" x14ac:dyDescent="0.25">
      <c r="D29" s="252">
        <f>PTM!HA5</f>
        <v>0</v>
      </c>
      <c r="E29" s="333">
        <f>PTM!HD56</f>
        <v>0</v>
      </c>
      <c r="F29" s="253">
        <f>PTM!HG56</f>
        <v>0</v>
      </c>
      <c r="G29" s="417">
        <f t="shared" si="0"/>
        <v>0</v>
      </c>
    </row>
    <row r="30" spans="4:10" x14ac:dyDescent="0.25">
      <c r="D30" s="252">
        <f>PTM!HI5</f>
        <v>0</v>
      </c>
      <c r="E30" s="333">
        <f>PTM!HL56</f>
        <v>0</v>
      </c>
      <c r="F30" s="253">
        <f>PTM!HO56</f>
        <v>0</v>
      </c>
      <c r="G30" s="417">
        <f t="shared" si="0"/>
        <v>0</v>
      </c>
    </row>
    <row r="31" spans="4:10" x14ac:dyDescent="0.25">
      <c r="D31" s="252">
        <f>PTM!HQ5</f>
        <v>0</v>
      </c>
      <c r="E31" s="333">
        <f>PTM!HT56</f>
        <v>0</v>
      </c>
      <c r="F31" s="253">
        <f>PTM!HW56</f>
        <v>0</v>
      </c>
      <c r="G31" s="417">
        <f t="shared" si="0"/>
        <v>0</v>
      </c>
    </row>
    <row r="32" spans="4:10" x14ac:dyDescent="0.25">
      <c r="D32" s="252">
        <f>PTM!HY5</f>
        <v>0</v>
      </c>
      <c r="E32" s="333">
        <f>PTM!IB56</f>
        <v>0</v>
      </c>
      <c r="F32" s="253">
        <f>PTM!IE56</f>
        <v>0</v>
      </c>
      <c r="G32" s="417">
        <f t="shared" si="0"/>
        <v>0</v>
      </c>
    </row>
    <row r="33" spans="4:7" x14ac:dyDescent="0.25">
      <c r="D33" s="263">
        <f>PTM!IG5</f>
        <v>0</v>
      </c>
      <c r="E33" s="333">
        <f>PTM!IJ56</f>
        <v>0</v>
      </c>
      <c r="F33" s="253">
        <f>PTM!IM56</f>
        <v>0</v>
      </c>
      <c r="G33" s="417">
        <f t="shared" si="0"/>
        <v>0</v>
      </c>
    </row>
    <row r="34" spans="4:7" x14ac:dyDescent="0.25">
      <c r="D34" s="252">
        <f>PTM!IR5</f>
        <v>0</v>
      </c>
      <c r="E34" s="333">
        <f>PTM!IR56</f>
        <v>0</v>
      </c>
      <c r="F34" s="253">
        <f>PTM!IU56</f>
        <v>0</v>
      </c>
      <c r="G34" s="417">
        <f t="shared" si="0"/>
        <v>0</v>
      </c>
    </row>
    <row r="35" spans="4:7" x14ac:dyDescent="0.25">
      <c r="D35" s="252">
        <f>PTM!IZ5</f>
        <v>0</v>
      </c>
      <c r="E35" s="333">
        <f>PTM!IZ56</f>
        <v>0</v>
      </c>
      <c r="F35" s="253">
        <f>PTM!JC56</f>
        <v>0</v>
      </c>
      <c r="G35" s="417">
        <f t="shared" si="0"/>
        <v>0</v>
      </c>
    </row>
    <row r="36" spans="4:7" x14ac:dyDescent="0.25">
      <c r="D36" s="252">
        <f>PTM!JE5</f>
        <v>0</v>
      </c>
      <c r="E36" s="333">
        <f>PTM!JH56</f>
        <v>0</v>
      </c>
      <c r="F36" s="253">
        <f>PTM!JK56</f>
        <v>0</v>
      </c>
      <c r="G36" s="417">
        <f t="shared" si="0"/>
        <v>0</v>
      </c>
    </row>
    <row r="37" spans="4:7" x14ac:dyDescent="0.25">
      <c r="D37" s="252">
        <f>PTM!JM5</f>
        <v>0</v>
      </c>
      <c r="E37" s="333">
        <f>PTM!JP56</f>
        <v>0</v>
      </c>
      <c r="F37" s="253">
        <f>PTM!JS56</f>
        <v>0</v>
      </c>
      <c r="G37" s="417">
        <f t="shared" si="0"/>
        <v>0</v>
      </c>
    </row>
    <row r="38" spans="4:7" x14ac:dyDescent="0.25">
      <c r="D38" s="252">
        <f>PTM!JU5</f>
        <v>0</v>
      </c>
      <c r="E38" s="333">
        <f>PTM!JX56</f>
        <v>0</v>
      </c>
      <c r="F38" s="253">
        <f>PTM!KA56</f>
        <v>0</v>
      </c>
      <c r="G38" s="417">
        <f t="shared" si="0"/>
        <v>0</v>
      </c>
    </row>
    <row r="39" spans="4:7" x14ac:dyDescent="0.25">
      <c r="D39" s="263">
        <f>PTM!KC5</f>
        <v>0</v>
      </c>
      <c r="E39" s="333">
        <f>PTM!KF56</f>
        <v>0</v>
      </c>
      <c r="F39" s="253">
        <f>PTM!KI56</f>
        <v>0</v>
      </c>
      <c r="G39" s="417">
        <f t="shared" si="0"/>
        <v>0</v>
      </c>
    </row>
    <row r="40" spans="4:7" x14ac:dyDescent="0.25">
      <c r="D40" s="252">
        <f>PTM!KK5</f>
        <v>0</v>
      </c>
      <c r="E40" s="333"/>
      <c r="F40" s="253">
        <f>PTM!KQ56</f>
        <v>0</v>
      </c>
      <c r="G40" s="417">
        <f t="shared" si="0"/>
        <v>0</v>
      </c>
    </row>
    <row r="41" spans="4:7" x14ac:dyDescent="0.25">
      <c r="D41" s="263">
        <f>PTM!KS5</f>
        <v>0</v>
      </c>
      <c r="E41" s="333"/>
      <c r="F41" s="253">
        <f>PTM!KY56</f>
        <v>0</v>
      </c>
      <c r="G41" s="417">
        <f t="shared" si="0"/>
        <v>0</v>
      </c>
    </row>
    <row r="42" spans="4:7" x14ac:dyDescent="0.25">
      <c r="D42" s="263">
        <f>PTM!LA5</f>
        <v>0</v>
      </c>
      <c r="E42" s="333"/>
      <c r="F42" s="253">
        <f>PTM!LG56</f>
        <v>0</v>
      </c>
      <c r="G42" s="417">
        <f t="shared" si="0"/>
        <v>0</v>
      </c>
    </row>
    <row r="43" spans="4:7" x14ac:dyDescent="0.25">
      <c r="D43" s="252">
        <f>PTM!LI5</f>
        <v>0</v>
      </c>
      <c r="E43" s="333"/>
      <c r="F43" s="253">
        <f>PTM!LO56</f>
        <v>0</v>
      </c>
      <c r="G43" s="417">
        <f t="shared" si="0"/>
        <v>0</v>
      </c>
    </row>
    <row r="44" spans="4:7" x14ac:dyDescent="0.25">
      <c r="D44" s="263">
        <f>PTM!LS5</f>
        <v>0</v>
      </c>
      <c r="E44" s="333"/>
      <c r="F44" s="253">
        <f>PTM!LW56</f>
        <v>0</v>
      </c>
      <c r="G44" s="417">
        <f t="shared" si="0"/>
        <v>0</v>
      </c>
    </row>
    <row r="45" spans="4:7" x14ac:dyDescent="0.25">
      <c r="D45" s="277">
        <f>PTM!MA5</f>
        <v>0</v>
      </c>
      <c r="E45" s="333"/>
      <c r="F45" s="253">
        <f>PTM!ME56</f>
        <v>0</v>
      </c>
      <c r="G45" s="417">
        <f t="shared" si="0"/>
        <v>0</v>
      </c>
    </row>
    <row r="46" spans="4:7" x14ac:dyDescent="0.25">
      <c r="D46" s="278">
        <f>PTM!MI5</f>
        <v>0</v>
      </c>
      <c r="E46" s="333"/>
      <c r="F46" s="253">
        <f>PTM!MM56</f>
        <v>0</v>
      </c>
      <c r="G46" s="417">
        <f t="shared" si="0"/>
        <v>0</v>
      </c>
    </row>
    <row r="47" spans="4:7" x14ac:dyDescent="0.25">
      <c r="D47" s="277">
        <f>PTM!MQ5</f>
        <v>0</v>
      </c>
      <c r="E47" s="333"/>
      <c r="F47" s="253">
        <f>PTM!MU56</f>
        <v>0</v>
      </c>
      <c r="G47" s="417">
        <f t="shared" si="0"/>
        <v>0</v>
      </c>
    </row>
    <row r="48" spans="4:7" x14ac:dyDescent="0.25">
      <c r="D48" s="277">
        <f>PTM!MY5</f>
        <v>0</v>
      </c>
      <c r="E48" s="333"/>
      <c r="F48" s="253">
        <f>PTM!NC56</f>
        <v>0</v>
      </c>
      <c r="G48" s="417">
        <f t="shared" si="0"/>
        <v>0</v>
      </c>
    </row>
    <row r="49" spans="4:7" x14ac:dyDescent="0.25">
      <c r="D49" s="277">
        <f>PTM!NG5</f>
        <v>0</v>
      </c>
      <c r="E49" s="333"/>
      <c r="F49" s="253">
        <f>PTM!NK56</f>
        <v>0</v>
      </c>
      <c r="G49" s="417">
        <f t="shared" si="0"/>
        <v>0</v>
      </c>
    </row>
    <row r="50" spans="4:7" x14ac:dyDescent="0.25">
      <c r="D50" s="277">
        <f>PTM!NO5</f>
        <v>0</v>
      </c>
      <c r="E50" s="333"/>
      <c r="F50" s="253">
        <f>PTM!NS56</f>
        <v>0</v>
      </c>
      <c r="G50" s="417">
        <f t="shared" si="0"/>
        <v>0</v>
      </c>
    </row>
    <row r="51" spans="4:7" x14ac:dyDescent="0.25">
      <c r="D51" s="277">
        <f>PTM!NW5</f>
        <v>0</v>
      </c>
      <c r="E51" s="333"/>
      <c r="F51" s="253">
        <f>PTM!OA56</f>
        <v>0</v>
      </c>
      <c r="G51" s="417">
        <f t="shared" si="0"/>
        <v>0</v>
      </c>
    </row>
    <row r="52" spans="4:7" x14ac:dyDescent="0.25">
      <c r="D52" s="277">
        <f>PTM!OE5</f>
        <v>0</v>
      </c>
      <c r="E52" s="333"/>
      <c r="F52" s="253">
        <f>PTM!OI56</f>
        <v>0</v>
      </c>
      <c r="G52" s="417">
        <f t="shared" si="0"/>
        <v>0</v>
      </c>
    </row>
    <row r="53" spans="4:7" x14ac:dyDescent="0.25">
      <c r="D53" s="277">
        <f>PTM!OM5</f>
        <v>0</v>
      </c>
      <c r="E53" s="333"/>
      <c r="F53" s="253">
        <f>PTM!OQ56</f>
        <v>0</v>
      </c>
      <c r="G53" s="417">
        <f t="shared" si="0"/>
        <v>0</v>
      </c>
    </row>
    <row r="54" spans="4:7" x14ac:dyDescent="0.25">
      <c r="D54" s="277">
        <f>PTM!OU5</f>
        <v>0</v>
      </c>
      <c r="E54" s="333"/>
      <c r="F54" s="253">
        <f>PTM!OY56</f>
        <v>0</v>
      </c>
      <c r="G54" s="417">
        <f t="shared" si="0"/>
        <v>0</v>
      </c>
    </row>
    <row r="55" spans="4:7" x14ac:dyDescent="0.25">
      <c r="D55" s="277">
        <f>PTM!PC5</f>
        <v>0</v>
      </c>
      <c r="E55" s="333"/>
      <c r="F55" s="253">
        <f>PTM!PG56</f>
        <v>0</v>
      </c>
      <c r="G55" s="417">
        <f t="shared" si="0"/>
        <v>0</v>
      </c>
    </row>
    <row r="56" spans="4:7" x14ac:dyDescent="0.25">
      <c r="D56" s="252">
        <f>PTM!PK5</f>
        <v>0</v>
      </c>
      <c r="E56" s="333"/>
      <c r="F56" s="253">
        <f>PTM!PO56</f>
        <v>0</v>
      </c>
      <c r="G56" s="417">
        <f t="shared" si="0"/>
        <v>0</v>
      </c>
    </row>
    <row r="57" spans="4:7" x14ac:dyDescent="0.25">
      <c r="D57" s="252">
        <f>PTM!PS5</f>
        <v>0</v>
      </c>
      <c r="E57" s="333"/>
      <c r="F57" s="253">
        <f>PTM!PW56</f>
        <v>0</v>
      </c>
      <c r="G57" s="417">
        <f t="shared" si="0"/>
        <v>0</v>
      </c>
    </row>
    <row r="58" spans="4:7" x14ac:dyDescent="0.25">
      <c r="D58" s="252">
        <f>PTM!QA5</f>
        <v>0</v>
      </c>
      <c r="E58" s="333"/>
      <c r="F58" s="253">
        <f>PTM!QE56</f>
        <v>0</v>
      </c>
      <c r="G58" s="417">
        <f t="shared" si="0"/>
        <v>0</v>
      </c>
    </row>
    <row r="59" spans="4:7" x14ac:dyDescent="0.25">
      <c r="D59" s="252">
        <f>PTM!QI5</f>
        <v>0</v>
      </c>
      <c r="E59" s="333"/>
      <c r="F59" s="253">
        <f>PTM!QM56</f>
        <v>0</v>
      </c>
      <c r="G59" s="417">
        <f t="shared" si="0"/>
        <v>0</v>
      </c>
    </row>
    <row r="60" spans="4:7" x14ac:dyDescent="0.25">
      <c r="D60" s="252">
        <f>PTM!QQ5</f>
        <v>0</v>
      </c>
      <c r="E60" s="333"/>
      <c r="F60" s="253">
        <f>PTM!QU56</f>
        <v>0</v>
      </c>
      <c r="G60" s="417">
        <f t="shared" si="0"/>
        <v>0</v>
      </c>
    </row>
    <row r="61" spans="4:7" x14ac:dyDescent="0.25">
      <c r="D61" s="252">
        <f>PTM!QY5</f>
        <v>0</v>
      </c>
      <c r="E61" s="333"/>
      <c r="F61" s="253">
        <f>PTM!RC56</f>
        <v>0</v>
      </c>
      <c r="G61" s="417">
        <f t="shared" si="0"/>
        <v>0</v>
      </c>
    </row>
    <row r="62" spans="4:7" x14ac:dyDescent="0.25">
      <c r="D62" s="252">
        <f>PTM!RG5</f>
        <v>0</v>
      </c>
      <c r="E62" s="333"/>
      <c r="F62" s="253">
        <f>PTM!RK56</f>
        <v>0</v>
      </c>
      <c r="G62" s="417">
        <f t="shared" si="0"/>
        <v>0</v>
      </c>
    </row>
    <row r="63" spans="4:7" x14ac:dyDescent="0.25">
      <c r="D63" s="252">
        <f>PTM!RO5</f>
        <v>0</v>
      </c>
      <c r="E63" s="333"/>
      <c r="F63" s="253">
        <f>PTM!RS56</f>
        <v>0</v>
      </c>
      <c r="G63" s="417">
        <f t="shared" si="0"/>
        <v>0</v>
      </c>
    </row>
    <row r="64" spans="4:7" x14ac:dyDescent="0.25">
      <c r="D64" s="252">
        <f>PTM!RW5</f>
        <v>0</v>
      </c>
      <c r="E64" s="333"/>
      <c r="F64" s="253">
        <f>PTM!SA56</f>
        <v>0</v>
      </c>
      <c r="G64" s="417">
        <f t="shared" si="0"/>
        <v>0</v>
      </c>
    </row>
    <row r="65" spans="4:13" x14ac:dyDescent="0.25">
      <c r="D65" s="252">
        <f>PTM!SE5</f>
        <v>0</v>
      </c>
      <c r="E65" s="333"/>
      <c r="F65" s="253">
        <f>PTM!SI56</f>
        <v>0</v>
      </c>
      <c r="G65" s="417">
        <f t="shared" si="0"/>
        <v>0</v>
      </c>
    </row>
    <row r="66" spans="4:13" x14ac:dyDescent="0.25">
      <c r="D66" s="252">
        <f>PTM!SM5</f>
        <v>0</v>
      </c>
      <c r="E66" s="333"/>
      <c r="F66" s="253">
        <f>PTM!SQ56</f>
        <v>0</v>
      </c>
      <c r="G66" s="417">
        <f t="shared" si="0"/>
        <v>0</v>
      </c>
    </row>
    <row r="67" spans="4:13" x14ac:dyDescent="0.25">
      <c r="D67" s="252">
        <f>PTM!SU5</f>
        <v>0</v>
      </c>
      <c r="E67" s="333"/>
      <c r="F67" s="253">
        <f>PTM!SY56</f>
        <v>0</v>
      </c>
      <c r="G67" s="417">
        <f t="shared" si="0"/>
        <v>0</v>
      </c>
    </row>
    <row r="68" spans="4:13" x14ac:dyDescent="0.25">
      <c r="D68" s="252">
        <f>PTM!TC5</f>
        <v>0</v>
      </c>
      <c r="E68" s="333"/>
      <c r="F68" s="253">
        <f>PTM!TG56</f>
        <v>0</v>
      </c>
      <c r="G68" s="417">
        <f t="shared" ref="G68:G84" si="1">E68/$E$84</f>
        <v>0</v>
      </c>
    </row>
    <row r="69" spans="4:13" x14ac:dyDescent="0.25">
      <c r="D69" s="252">
        <f>PTM!TK5</f>
        <v>0</v>
      </c>
      <c r="E69" s="333"/>
      <c r="F69" s="253">
        <f>PTM!TO56</f>
        <v>0</v>
      </c>
      <c r="G69" s="417">
        <f t="shared" si="1"/>
        <v>0</v>
      </c>
    </row>
    <row r="70" spans="4:13" x14ac:dyDescent="0.25">
      <c r="D70" s="252">
        <f>PTM!TS5</f>
        <v>0</v>
      </c>
      <c r="E70" s="333"/>
      <c r="F70" s="253">
        <f>PTM!TW56</f>
        <v>0</v>
      </c>
      <c r="G70" s="417">
        <f t="shared" si="1"/>
        <v>0</v>
      </c>
    </row>
    <row r="71" spans="4:13" x14ac:dyDescent="0.25">
      <c r="D71" s="252">
        <f>PTM!UA4</f>
        <v>0</v>
      </c>
      <c r="E71" s="333"/>
      <c r="F71" s="253">
        <f>PTM!UE56</f>
        <v>0</v>
      </c>
      <c r="G71" s="417">
        <f t="shared" si="1"/>
        <v>0</v>
      </c>
    </row>
    <row r="72" spans="4:13" x14ac:dyDescent="0.25">
      <c r="D72" s="252">
        <f>PTM!UI4</f>
        <v>0</v>
      </c>
      <c r="E72" s="333"/>
      <c r="F72" s="253">
        <f>PTM!UM56</f>
        <v>0</v>
      </c>
      <c r="G72" s="417">
        <f t="shared" si="1"/>
        <v>0</v>
      </c>
    </row>
    <row r="73" spans="4:13" x14ac:dyDescent="0.25">
      <c r="D73" s="252">
        <f>PTM!UQ4</f>
        <v>0</v>
      </c>
      <c r="E73" s="333"/>
      <c r="F73" s="253">
        <f>PTM!UU56</f>
        <v>0</v>
      </c>
      <c r="G73" s="417">
        <f t="shared" si="1"/>
        <v>0</v>
      </c>
    </row>
    <row r="74" spans="4:13" x14ac:dyDescent="0.25">
      <c r="D74" s="252">
        <f>PTM!UY4</f>
        <v>0</v>
      </c>
      <c r="E74" s="333"/>
      <c r="F74" s="253">
        <f>PTM!VC56</f>
        <v>0</v>
      </c>
      <c r="G74" s="417">
        <f t="shared" si="1"/>
        <v>0</v>
      </c>
    </row>
    <row r="75" spans="4:13" x14ac:dyDescent="0.25">
      <c r="D75" s="252">
        <f>PTM!VG4</f>
        <v>0</v>
      </c>
      <c r="E75" s="333"/>
      <c r="F75" s="253">
        <f>PTM!VK56</f>
        <v>0</v>
      </c>
      <c r="G75" s="417">
        <f t="shared" si="1"/>
        <v>0</v>
      </c>
    </row>
    <row r="76" spans="4:13" x14ac:dyDescent="0.25">
      <c r="D76" s="252">
        <f>PTM!VO4</f>
        <v>0</v>
      </c>
      <c r="E76" s="333"/>
      <c r="F76" s="253">
        <f>PTM!VS56</f>
        <v>0</v>
      </c>
      <c r="G76" s="417">
        <f t="shared" si="1"/>
        <v>0</v>
      </c>
    </row>
    <row r="77" spans="4:13" x14ac:dyDescent="0.25">
      <c r="D77" s="252">
        <f>PTM!VW4</f>
        <v>0</v>
      </c>
      <c r="E77" s="333"/>
      <c r="F77" s="253">
        <f>PTM!WA56</f>
        <v>0</v>
      </c>
      <c r="G77" s="417">
        <f t="shared" si="1"/>
        <v>0</v>
      </c>
    </row>
    <row r="78" spans="4:13" x14ac:dyDescent="0.25">
      <c r="D78" s="252">
        <f>PTM!WE4</f>
        <v>0</v>
      </c>
      <c r="E78" s="333"/>
      <c r="F78" s="253">
        <f>PTM!WI56</f>
        <v>0</v>
      </c>
      <c r="G78" s="417">
        <f t="shared" si="1"/>
        <v>0</v>
      </c>
    </row>
    <row r="79" spans="4:13" x14ac:dyDescent="0.25">
      <c r="D79" s="252">
        <f>PTM!WM4</f>
        <v>0</v>
      </c>
      <c r="E79" s="333"/>
      <c r="F79" s="253">
        <f>PTM!WQ56</f>
        <v>0</v>
      </c>
      <c r="G79" s="417">
        <f t="shared" si="1"/>
        <v>0</v>
      </c>
    </row>
    <row r="80" spans="4:13" x14ac:dyDescent="0.25">
      <c r="D80" s="252">
        <f>PTM!WU4</f>
        <v>0</v>
      </c>
      <c r="E80" s="333"/>
      <c r="F80" s="253">
        <f>PTM!WY56</f>
        <v>0</v>
      </c>
      <c r="G80" s="417">
        <f t="shared" si="1"/>
        <v>0</v>
      </c>
      <c r="M80" s="276"/>
    </row>
    <row r="81" spans="4:9" x14ac:dyDescent="0.25">
      <c r="D81" s="252">
        <f>PTM!XC4</f>
        <v>0</v>
      </c>
      <c r="E81" s="333"/>
      <c r="F81" s="253">
        <f>PTM!XG56</f>
        <v>0</v>
      </c>
      <c r="G81" s="417">
        <f t="shared" si="1"/>
        <v>0</v>
      </c>
    </row>
    <row r="82" spans="4:9" x14ac:dyDescent="0.25">
      <c r="D82" s="252">
        <f>PTM!XK4</f>
        <v>0</v>
      </c>
      <c r="E82" s="333"/>
      <c r="F82" s="253">
        <f>PTM!XO56</f>
        <v>0</v>
      </c>
      <c r="G82" s="417">
        <f t="shared" si="1"/>
        <v>0</v>
      </c>
    </row>
    <row r="83" spans="4:9" x14ac:dyDescent="0.25">
      <c r="D83" s="252">
        <f>PTM!XS4</f>
        <v>0</v>
      </c>
      <c r="E83" s="333"/>
      <c r="F83" s="253">
        <f>PTM!XW56</f>
        <v>0</v>
      </c>
      <c r="G83" s="417">
        <f t="shared" si="1"/>
        <v>0</v>
      </c>
    </row>
    <row r="84" spans="4:9" ht="21" x14ac:dyDescent="0.35">
      <c r="D84" s="264" t="s">
        <v>57</v>
      </c>
      <c r="E84" s="265">
        <f>SUM(E3:E83)</f>
        <v>19850</v>
      </c>
      <c r="F84" s="266">
        <f>SUM(F2:F83)</f>
        <v>120</v>
      </c>
      <c r="G84" s="417">
        <f t="shared" si="1"/>
        <v>1</v>
      </c>
      <c r="I84" s="257"/>
    </row>
  </sheetData>
  <mergeCells count="1">
    <mergeCell ref="H2:L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4CE4-24BE-471E-84B9-70BEECFB4D14}">
  <dimension ref="B3:P74"/>
  <sheetViews>
    <sheetView topLeftCell="A57" workbookViewId="0">
      <selection activeCell="E74" sqref="E74"/>
    </sheetView>
  </sheetViews>
  <sheetFormatPr baseColWidth="10" defaultRowHeight="15" x14ac:dyDescent="0.25"/>
  <cols>
    <col min="3" max="3" width="12.85546875" bestFit="1" customWidth="1"/>
    <col min="4" max="4" width="11.85546875" customWidth="1"/>
    <col min="5" max="5" width="19.85546875" bestFit="1" customWidth="1"/>
    <col min="11" max="11" width="12.85546875" bestFit="1" customWidth="1"/>
    <col min="12" max="12" width="11.85546875" bestFit="1" customWidth="1"/>
    <col min="13" max="13" width="12.85546875" bestFit="1" customWidth="1"/>
  </cols>
  <sheetData>
    <row r="3" spans="2:16" x14ac:dyDescent="0.25">
      <c r="H3" s="340">
        <v>5.0000000000000001E-3</v>
      </c>
      <c r="P3" s="340">
        <v>5.0000000000000001E-3</v>
      </c>
    </row>
    <row r="4" spans="2:16" ht="15.75" thickBot="1" x14ac:dyDescent="0.3">
      <c r="B4" s="440" t="s">
        <v>62</v>
      </c>
      <c r="C4" s="440"/>
      <c r="D4" s="440"/>
      <c r="E4" s="440"/>
      <c r="F4" s="440"/>
      <c r="G4" s="440"/>
      <c r="H4" s="440"/>
      <c r="J4" s="440" t="s">
        <v>58</v>
      </c>
      <c r="K4" s="440"/>
      <c r="L4" s="440"/>
      <c r="M4" s="440"/>
      <c r="N4" s="440"/>
      <c r="O4" s="440"/>
      <c r="P4" s="440"/>
    </row>
    <row r="5" spans="2:16" x14ac:dyDescent="0.25">
      <c r="B5" s="1" t="s">
        <v>5</v>
      </c>
      <c r="C5" s="2" t="s">
        <v>0</v>
      </c>
      <c r="D5" s="1" t="s">
        <v>35</v>
      </c>
      <c r="E5" s="5" t="s">
        <v>3</v>
      </c>
      <c r="F5" s="5" t="s">
        <v>27</v>
      </c>
      <c r="G5" s="1" t="s">
        <v>7</v>
      </c>
      <c r="H5" s="1" t="s">
        <v>29</v>
      </c>
      <c r="J5" s="1" t="s">
        <v>5</v>
      </c>
      <c r="K5" s="2" t="s">
        <v>0</v>
      </c>
      <c r="L5" s="1" t="s">
        <v>35</v>
      </c>
      <c r="M5" s="5" t="s">
        <v>3</v>
      </c>
      <c r="N5" s="5" t="s">
        <v>27</v>
      </c>
      <c r="O5" s="1" t="s">
        <v>7</v>
      </c>
      <c r="P5" s="1" t="s">
        <v>29</v>
      </c>
    </row>
    <row r="6" spans="2:16" ht="15.75" thickBot="1" x14ac:dyDescent="0.3">
      <c r="B6" s="3"/>
      <c r="C6" s="4" t="s">
        <v>43</v>
      </c>
      <c r="D6" s="3"/>
      <c r="E6" s="6" t="s">
        <v>4</v>
      </c>
      <c r="F6" s="6" t="s">
        <v>28</v>
      </c>
      <c r="G6" s="4" t="s">
        <v>6</v>
      </c>
      <c r="H6" s="20" t="s">
        <v>30</v>
      </c>
      <c r="J6" s="3"/>
      <c r="K6" s="4" t="s">
        <v>43</v>
      </c>
      <c r="L6" s="3"/>
      <c r="M6" s="6" t="s">
        <v>4</v>
      </c>
      <c r="N6" s="6" t="s">
        <v>28</v>
      </c>
      <c r="O6" s="4" t="s">
        <v>6</v>
      </c>
      <c r="P6" s="20" t="s">
        <v>30</v>
      </c>
    </row>
    <row r="7" spans="2:16" x14ac:dyDescent="0.25">
      <c r="B7" s="9"/>
      <c r="C7" s="35"/>
      <c r="D7" s="21"/>
      <c r="E7" s="21">
        <f>C7</f>
        <v>0</v>
      </c>
      <c r="F7" s="16">
        <v>46037</v>
      </c>
      <c r="G7" s="26"/>
      <c r="H7" s="36"/>
      <c r="J7" s="9"/>
      <c r="K7" s="35"/>
      <c r="L7" s="21"/>
      <c r="M7" s="21">
        <f>K7</f>
        <v>0</v>
      </c>
      <c r="N7" s="16">
        <v>46037</v>
      </c>
      <c r="O7" s="26"/>
      <c r="P7" s="36"/>
    </row>
    <row r="8" spans="2:16" ht="15.75" thickBot="1" x14ac:dyDescent="0.3">
      <c r="B8" s="10"/>
      <c r="C8" s="22"/>
      <c r="D8" s="23"/>
      <c r="E8" s="23">
        <f>SUM(E7,C8,-D8)</f>
        <v>0</v>
      </c>
      <c r="F8" s="17">
        <v>46052</v>
      </c>
      <c r="G8" s="39"/>
      <c r="H8" s="36"/>
      <c r="J8" s="10"/>
      <c r="K8" s="22"/>
      <c r="L8" s="23"/>
      <c r="M8" s="23">
        <f>SUM(M7,K8,-L8)</f>
        <v>0</v>
      </c>
      <c r="N8" s="17">
        <v>46052</v>
      </c>
      <c r="O8" s="39"/>
      <c r="P8" s="36"/>
    </row>
    <row r="9" spans="2:16" x14ac:dyDescent="0.25">
      <c r="B9" s="10"/>
      <c r="C9" s="22"/>
      <c r="D9" s="23"/>
      <c r="E9" s="23">
        <f t="shared" ref="E9:E69" si="0">SUM(E8,C9,-D9)</f>
        <v>0</v>
      </c>
      <c r="F9" s="14">
        <v>46068</v>
      </c>
      <c r="G9" s="39"/>
      <c r="H9" s="36"/>
      <c r="J9" s="10"/>
      <c r="K9" s="22"/>
      <c r="L9" s="23"/>
      <c r="M9" s="23">
        <f t="shared" ref="M9:M69" si="1">SUM(M8,K9,-L9)</f>
        <v>0</v>
      </c>
      <c r="N9" s="14">
        <v>46068</v>
      </c>
      <c r="O9" s="39"/>
      <c r="P9" s="36"/>
    </row>
    <row r="10" spans="2:16" ht="15.75" thickBot="1" x14ac:dyDescent="0.3">
      <c r="B10" s="10"/>
      <c r="C10" s="22"/>
      <c r="D10" s="291"/>
      <c r="E10" s="23">
        <f t="shared" si="0"/>
        <v>0</v>
      </c>
      <c r="F10" s="15">
        <v>46081</v>
      </c>
      <c r="G10" s="39"/>
      <c r="H10" s="36"/>
      <c r="J10" s="10"/>
      <c r="K10" s="22"/>
      <c r="L10" s="291"/>
      <c r="M10" s="23">
        <f t="shared" si="1"/>
        <v>0</v>
      </c>
      <c r="N10" s="15">
        <v>46081</v>
      </c>
      <c r="O10" s="39"/>
      <c r="P10" s="36"/>
    </row>
    <row r="11" spans="2:16" x14ac:dyDescent="0.25">
      <c r="B11" s="10"/>
      <c r="C11" s="22"/>
      <c r="D11" s="23"/>
      <c r="E11" s="23">
        <f t="shared" si="0"/>
        <v>0</v>
      </c>
      <c r="F11" s="16">
        <v>46096</v>
      </c>
      <c r="G11" s="39"/>
      <c r="H11" s="36"/>
      <c r="J11" s="10"/>
      <c r="K11" s="22"/>
      <c r="L11" s="23"/>
      <c r="M11" s="23">
        <f t="shared" si="1"/>
        <v>0</v>
      </c>
      <c r="N11" s="16">
        <v>46096</v>
      </c>
      <c r="O11" s="39"/>
      <c r="P11" s="36"/>
    </row>
    <row r="12" spans="2:16" ht="15.75" thickBot="1" x14ac:dyDescent="0.3">
      <c r="B12" s="10"/>
      <c r="C12" s="22"/>
      <c r="D12" s="23"/>
      <c r="E12" s="23">
        <f t="shared" si="0"/>
        <v>0</v>
      </c>
      <c r="F12" s="17">
        <v>46111</v>
      </c>
      <c r="G12" s="39"/>
      <c r="H12" s="36"/>
      <c r="J12" s="10"/>
      <c r="K12" s="22"/>
      <c r="L12" s="23"/>
      <c r="M12" s="23">
        <f t="shared" si="1"/>
        <v>0</v>
      </c>
      <c r="N12" s="17">
        <v>46111</v>
      </c>
      <c r="O12" s="39"/>
      <c r="P12" s="36"/>
    </row>
    <row r="13" spans="2:16" x14ac:dyDescent="0.25">
      <c r="B13" s="10"/>
      <c r="C13" s="22"/>
      <c r="D13" s="23"/>
      <c r="E13" s="23">
        <f t="shared" si="0"/>
        <v>0</v>
      </c>
      <c r="F13" s="14">
        <v>46127</v>
      </c>
      <c r="G13" s="39"/>
      <c r="H13" s="36"/>
      <c r="J13" s="10"/>
      <c r="K13" s="22"/>
      <c r="L13" s="23"/>
      <c r="M13" s="23">
        <f t="shared" si="1"/>
        <v>0</v>
      </c>
      <c r="N13" s="14">
        <v>46127</v>
      </c>
      <c r="O13" s="39"/>
      <c r="P13" s="36"/>
    </row>
    <row r="14" spans="2:16" ht="15.75" thickBot="1" x14ac:dyDescent="0.3">
      <c r="B14" s="10"/>
      <c r="C14" s="22"/>
      <c r="D14" s="23"/>
      <c r="E14" s="291">
        <f t="shared" si="0"/>
        <v>0</v>
      </c>
      <c r="F14" s="15">
        <v>46142</v>
      </c>
      <c r="G14" s="292"/>
      <c r="H14" s="36"/>
      <c r="J14" s="10"/>
      <c r="K14" s="22"/>
      <c r="L14" s="23"/>
      <c r="M14" s="291">
        <f t="shared" si="1"/>
        <v>0</v>
      </c>
      <c r="N14" s="15">
        <v>46142</v>
      </c>
      <c r="O14" s="292"/>
      <c r="P14" s="36"/>
    </row>
    <row r="15" spans="2:16" x14ac:dyDescent="0.25">
      <c r="B15" s="10"/>
      <c r="C15" s="22"/>
      <c r="D15" s="23"/>
      <c r="E15" s="23">
        <f t="shared" si="0"/>
        <v>0</v>
      </c>
      <c r="F15" s="16">
        <v>46157</v>
      </c>
      <c r="G15" s="292"/>
      <c r="H15" s="36"/>
      <c r="J15" s="10"/>
      <c r="K15" s="22"/>
      <c r="L15" s="23"/>
      <c r="M15" s="23">
        <f t="shared" si="1"/>
        <v>0</v>
      </c>
      <c r="N15" s="16">
        <v>46157</v>
      </c>
      <c r="O15" s="292"/>
      <c r="P15" s="36"/>
    </row>
    <row r="16" spans="2:16" ht="15.75" thickBot="1" x14ac:dyDescent="0.3">
      <c r="B16" s="10"/>
      <c r="C16" s="22"/>
      <c r="D16" s="23"/>
      <c r="E16" s="23">
        <f t="shared" si="0"/>
        <v>0</v>
      </c>
      <c r="F16" s="17">
        <v>46172</v>
      </c>
      <c r="G16" s="292"/>
      <c r="H16" s="36"/>
      <c r="J16" s="10"/>
      <c r="K16" s="22"/>
      <c r="L16" s="23"/>
      <c r="M16" s="23">
        <f t="shared" si="1"/>
        <v>0</v>
      </c>
      <c r="N16" s="17">
        <v>46172</v>
      </c>
      <c r="O16" s="292"/>
      <c r="P16" s="36"/>
    </row>
    <row r="17" spans="2:16" x14ac:dyDescent="0.25">
      <c r="B17" s="10"/>
      <c r="C17" s="22"/>
      <c r="D17" s="23"/>
      <c r="E17" s="23">
        <f t="shared" si="0"/>
        <v>0</v>
      </c>
      <c r="F17" s="14">
        <v>46188</v>
      </c>
      <c r="G17" s="27"/>
      <c r="H17" s="36"/>
      <c r="J17" s="10"/>
      <c r="K17" s="22"/>
      <c r="L17" s="23"/>
      <c r="M17" s="23">
        <f t="shared" si="1"/>
        <v>0</v>
      </c>
      <c r="N17" s="14">
        <v>46188</v>
      </c>
      <c r="O17" s="27"/>
      <c r="P17" s="36"/>
    </row>
    <row r="18" spans="2:16" ht="15.75" thickBot="1" x14ac:dyDescent="0.3">
      <c r="B18" s="10"/>
      <c r="C18" s="22"/>
      <c r="D18" s="23"/>
      <c r="E18" s="23">
        <f t="shared" si="0"/>
        <v>0</v>
      </c>
      <c r="F18" s="15">
        <v>46203</v>
      </c>
      <c r="G18" s="39"/>
      <c r="H18" s="36"/>
      <c r="J18" s="10"/>
      <c r="K18" s="22"/>
      <c r="L18" s="23"/>
      <c r="M18" s="23">
        <f t="shared" si="1"/>
        <v>0</v>
      </c>
      <c r="N18" s="15">
        <v>46203</v>
      </c>
      <c r="O18" s="39"/>
      <c r="P18" s="36"/>
    </row>
    <row r="19" spans="2:16" x14ac:dyDescent="0.25">
      <c r="B19" s="10"/>
      <c r="C19" s="22"/>
      <c r="D19" s="23"/>
      <c r="E19" s="23">
        <f t="shared" si="0"/>
        <v>0</v>
      </c>
      <c r="F19" s="16">
        <v>46218</v>
      </c>
      <c r="G19" s="39"/>
      <c r="H19" s="36"/>
      <c r="J19" s="10"/>
      <c r="K19" s="22"/>
      <c r="L19" s="23"/>
      <c r="M19" s="23">
        <f t="shared" si="1"/>
        <v>0</v>
      </c>
      <c r="N19" s="16">
        <v>46218</v>
      </c>
      <c r="O19" s="39"/>
      <c r="P19" s="36"/>
    </row>
    <row r="20" spans="2:16" x14ac:dyDescent="0.25">
      <c r="B20" s="10"/>
      <c r="C20" s="22"/>
      <c r="D20" s="23"/>
      <c r="E20" s="23">
        <f t="shared" si="0"/>
        <v>0</v>
      </c>
      <c r="F20" s="273">
        <v>46233</v>
      </c>
      <c r="G20" s="39"/>
      <c r="H20" s="36"/>
      <c r="J20" s="10"/>
      <c r="K20" s="22"/>
      <c r="L20" s="23"/>
      <c r="M20" s="23">
        <f t="shared" si="1"/>
        <v>0</v>
      </c>
      <c r="N20" s="273">
        <v>46233</v>
      </c>
      <c r="O20" s="39"/>
      <c r="P20" s="36"/>
    </row>
    <row r="21" spans="2:16" x14ac:dyDescent="0.25">
      <c r="B21" s="10"/>
      <c r="C21" s="22"/>
      <c r="D21" s="23"/>
      <c r="E21" s="23">
        <f t="shared" si="0"/>
        <v>0</v>
      </c>
      <c r="F21" s="274">
        <v>46249</v>
      </c>
      <c r="G21" s="275"/>
      <c r="H21" s="36"/>
      <c r="J21" s="10"/>
      <c r="K21" s="22"/>
      <c r="L21" s="23"/>
      <c r="M21" s="23">
        <f t="shared" si="1"/>
        <v>0</v>
      </c>
      <c r="N21" s="274">
        <v>46249</v>
      </c>
      <c r="O21" s="275"/>
      <c r="P21" s="36"/>
    </row>
    <row r="22" spans="2:16" ht="15.75" thickBot="1" x14ac:dyDescent="0.3">
      <c r="B22" s="10"/>
      <c r="C22" s="22"/>
      <c r="D22" s="23"/>
      <c r="E22" s="23">
        <f t="shared" si="0"/>
        <v>0</v>
      </c>
      <c r="F22" s="15">
        <v>46264</v>
      </c>
      <c r="G22" s="27"/>
      <c r="H22" s="36"/>
      <c r="J22" s="10"/>
      <c r="K22" s="22"/>
      <c r="L22" s="23"/>
      <c r="M22" s="23">
        <f t="shared" si="1"/>
        <v>0</v>
      </c>
      <c r="N22" s="15">
        <v>46264</v>
      </c>
      <c r="O22" s="27"/>
      <c r="P22" s="36"/>
    </row>
    <row r="23" spans="2:16" x14ac:dyDescent="0.25">
      <c r="B23" s="10"/>
      <c r="C23" s="22"/>
      <c r="D23" s="23"/>
      <c r="E23" s="23">
        <f t="shared" si="0"/>
        <v>0</v>
      </c>
      <c r="F23" s="16">
        <v>46280</v>
      </c>
      <c r="G23" s="27"/>
      <c r="H23" s="36"/>
      <c r="J23" s="10"/>
      <c r="K23" s="22"/>
      <c r="L23" s="23"/>
      <c r="M23" s="23">
        <f t="shared" si="1"/>
        <v>0</v>
      </c>
      <c r="N23" s="16">
        <v>46280</v>
      </c>
      <c r="O23" s="27"/>
      <c r="P23" s="36"/>
    </row>
    <row r="24" spans="2:16" ht="15.75" thickBot="1" x14ac:dyDescent="0.3">
      <c r="B24" s="10"/>
      <c r="C24" s="22"/>
      <c r="D24" s="23"/>
      <c r="E24" s="23">
        <f t="shared" si="0"/>
        <v>0</v>
      </c>
      <c r="F24" s="17">
        <v>46295</v>
      </c>
      <c r="G24" s="27"/>
      <c r="H24" s="36"/>
      <c r="J24" s="10"/>
      <c r="K24" s="22"/>
      <c r="L24" s="23"/>
      <c r="M24" s="23">
        <f t="shared" si="1"/>
        <v>0</v>
      </c>
      <c r="N24" s="17">
        <v>46295</v>
      </c>
      <c r="O24" s="27"/>
      <c r="P24" s="36"/>
    </row>
    <row r="25" spans="2:16" x14ac:dyDescent="0.25">
      <c r="B25" s="10"/>
      <c r="C25" s="22"/>
      <c r="D25" s="23"/>
      <c r="E25" s="23">
        <f t="shared" si="0"/>
        <v>0</v>
      </c>
      <c r="F25" s="14">
        <v>46310</v>
      </c>
      <c r="G25" s="27"/>
      <c r="H25" s="36"/>
      <c r="J25" s="10"/>
      <c r="K25" s="22"/>
      <c r="L25" s="23"/>
      <c r="M25" s="23">
        <f t="shared" si="1"/>
        <v>0</v>
      </c>
      <c r="N25" s="14">
        <v>46310</v>
      </c>
      <c r="O25" s="27"/>
      <c r="P25" s="36"/>
    </row>
    <row r="26" spans="2:16" ht="15.75" thickBot="1" x14ac:dyDescent="0.3">
      <c r="B26" s="10"/>
      <c r="C26" s="22"/>
      <c r="D26" s="23"/>
      <c r="E26" s="23">
        <f t="shared" si="0"/>
        <v>0</v>
      </c>
      <c r="F26" s="15">
        <v>46325</v>
      </c>
      <c r="G26" s="27"/>
      <c r="H26" s="36"/>
      <c r="J26" s="10"/>
      <c r="K26" s="22"/>
      <c r="L26" s="23"/>
      <c r="M26" s="23">
        <f t="shared" si="1"/>
        <v>0</v>
      </c>
      <c r="N26" s="15">
        <v>46325</v>
      </c>
      <c r="O26" s="27"/>
      <c r="P26" s="36"/>
    </row>
    <row r="27" spans="2:16" x14ac:dyDescent="0.25">
      <c r="B27" s="10"/>
      <c r="C27" s="22"/>
      <c r="D27" s="23"/>
      <c r="E27" s="23">
        <f t="shared" si="0"/>
        <v>0</v>
      </c>
      <c r="F27" s="16">
        <v>46341</v>
      </c>
      <c r="G27" s="27"/>
      <c r="H27" s="36"/>
      <c r="J27" s="10"/>
      <c r="K27" s="22"/>
      <c r="L27" s="23"/>
      <c r="M27" s="23">
        <f t="shared" si="1"/>
        <v>0</v>
      </c>
      <c r="N27" s="16">
        <v>46341</v>
      </c>
      <c r="O27" s="27"/>
      <c r="P27" s="36"/>
    </row>
    <row r="28" spans="2:16" ht="15.75" thickBot="1" x14ac:dyDescent="0.3">
      <c r="B28" s="10"/>
      <c r="C28" s="22"/>
      <c r="D28" s="23"/>
      <c r="E28" s="23">
        <f t="shared" si="0"/>
        <v>0</v>
      </c>
      <c r="F28" s="17">
        <v>46356</v>
      </c>
      <c r="G28" s="27"/>
      <c r="H28" s="36"/>
      <c r="J28" s="10"/>
      <c r="K28" s="22"/>
      <c r="L28" s="23"/>
      <c r="M28" s="23">
        <f t="shared" si="1"/>
        <v>0</v>
      </c>
      <c r="N28" s="17">
        <v>46356</v>
      </c>
      <c r="O28" s="27"/>
      <c r="P28" s="36"/>
    </row>
    <row r="29" spans="2:16" x14ac:dyDescent="0.25">
      <c r="B29" s="10"/>
      <c r="C29" s="22"/>
      <c r="D29" s="23"/>
      <c r="E29" s="23">
        <f t="shared" si="0"/>
        <v>0</v>
      </c>
      <c r="F29" s="14">
        <v>46371</v>
      </c>
      <c r="G29" s="27"/>
      <c r="H29" s="36"/>
      <c r="J29" s="10"/>
      <c r="K29" s="22"/>
      <c r="L29" s="23"/>
      <c r="M29" s="23">
        <f t="shared" si="1"/>
        <v>0</v>
      </c>
      <c r="N29" s="14">
        <v>46371</v>
      </c>
      <c r="O29" s="27"/>
      <c r="P29" s="36"/>
    </row>
    <row r="30" spans="2:16" x14ac:dyDescent="0.25">
      <c r="B30" s="10"/>
      <c r="C30" s="22"/>
      <c r="D30" s="23"/>
      <c r="E30" s="23">
        <f t="shared" si="0"/>
        <v>0</v>
      </c>
      <c r="F30" s="15">
        <v>46386</v>
      </c>
      <c r="G30" s="39"/>
      <c r="H30" s="36"/>
      <c r="J30" s="10"/>
      <c r="K30" s="22"/>
      <c r="L30" s="23"/>
      <c r="M30" s="23">
        <f t="shared" si="1"/>
        <v>0</v>
      </c>
      <c r="N30" s="15">
        <v>46386</v>
      </c>
      <c r="O30" s="39"/>
      <c r="P30" s="36"/>
    </row>
    <row r="31" spans="2:16" x14ac:dyDescent="0.25">
      <c r="B31" s="10"/>
      <c r="C31" s="22"/>
      <c r="D31" s="23"/>
      <c r="E31" s="23">
        <f t="shared" si="0"/>
        <v>0</v>
      </c>
      <c r="F31" s="11"/>
      <c r="G31" s="39"/>
      <c r="H31" s="36"/>
      <c r="J31" s="10"/>
      <c r="K31" s="22"/>
      <c r="L31" s="23"/>
      <c r="M31" s="23">
        <f t="shared" si="1"/>
        <v>0</v>
      </c>
      <c r="N31" s="11"/>
      <c r="O31" s="39"/>
      <c r="P31" s="36"/>
    </row>
    <row r="32" spans="2:16" x14ac:dyDescent="0.25">
      <c r="B32" s="10"/>
      <c r="C32" s="22"/>
      <c r="D32" s="23"/>
      <c r="E32" s="23">
        <f t="shared" si="0"/>
        <v>0</v>
      </c>
      <c r="F32" s="11"/>
      <c r="G32" s="39"/>
      <c r="H32" s="36"/>
      <c r="J32" s="10"/>
      <c r="K32" s="22"/>
      <c r="L32" s="23"/>
      <c r="M32" s="23">
        <f t="shared" si="1"/>
        <v>0</v>
      </c>
      <c r="N32" s="11"/>
      <c r="O32" s="39"/>
      <c r="P32" s="36"/>
    </row>
    <row r="33" spans="2:16" x14ac:dyDescent="0.25">
      <c r="B33" s="10"/>
      <c r="C33" s="22"/>
      <c r="D33" s="23"/>
      <c r="E33" s="23">
        <f t="shared" si="0"/>
        <v>0</v>
      </c>
      <c r="F33" s="11"/>
      <c r="G33" s="39"/>
      <c r="H33" s="36"/>
      <c r="J33" s="10"/>
      <c r="K33" s="22"/>
      <c r="L33" s="23"/>
      <c r="M33" s="23">
        <f t="shared" si="1"/>
        <v>0</v>
      </c>
      <c r="N33" s="11"/>
      <c r="O33" s="39"/>
      <c r="P33" s="36"/>
    </row>
    <row r="34" spans="2:16" x14ac:dyDescent="0.25">
      <c r="B34" s="10"/>
      <c r="C34" s="22"/>
      <c r="D34" s="23"/>
      <c r="E34" s="23">
        <f t="shared" si="0"/>
        <v>0</v>
      </c>
      <c r="F34" s="11"/>
      <c r="G34" s="39"/>
      <c r="H34" s="36"/>
      <c r="J34" s="10"/>
      <c r="K34" s="22"/>
      <c r="L34" s="23"/>
      <c r="M34" s="23">
        <f t="shared" si="1"/>
        <v>0</v>
      </c>
      <c r="N34" s="11"/>
      <c r="O34" s="39"/>
      <c r="P34" s="36"/>
    </row>
    <row r="35" spans="2:16" x14ac:dyDescent="0.25">
      <c r="B35" s="10"/>
      <c r="C35" s="22"/>
      <c r="D35" s="23"/>
      <c r="E35" s="23">
        <f t="shared" si="0"/>
        <v>0</v>
      </c>
      <c r="F35" s="11"/>
      <c r="G35" s="39"/>
      <c r="H35" s="36"/>
      <c r="J35" s="10"/>
      <c r="K35" s="22"/>
      <c r="L35" s="23"/>
      <c r="M35" s="23">
        <f t="shared" si="1"/>
        <v>0</v>
      </c>
      <c r="N35" s="11"/>
      <c r="O35" s="39"/>
      <c r="P35" s="36"/>
    </row>
    <row r="36" spans="2:16" x14ac:dyDescent="0.25">
      <c r="B36" s="10"/>
      <c r="C36" s="22"/>
      <c r="D36" s="23"/>
      <c r="E36" s="23">
        <f t="shared" si="0"/>
        <v>0</v>
      </c>
      <c r="F36" s="11"/>
      <c r="G36" s="39"/>
      <c r="H36" s="36"/>
      <c r="J36" s="10"/>
      <c r="K36" s="22"/>
      <c r="L36" s="23"/>
      <c r="M36" s="23">
        <f t="shared" si="1"/>
        <v>0</v>
      </c>
      <c r="N36" s="11"/>
      <c r="O36" s="39"/>
      <c r="P36" s="36"/>
    </row>
    <row r="37" spans="2:16" x14ac:dyDescent="0.25">
      <c r="B37" s="10"/>
      <c r="C37" s="22"/>
      <c r="D37" s="23"/>
      <c r="E37" s="23">
        <f t="shared" si="0"/>
        <v>0</v>
      </c>
      <c r="F37" s="11"/>
      <c r="G37" s="39"/>
      <c r="H37" s="36"/>
      <c r="J37" s="10"/>
      <c r="K37" s="22"/>
      <c r="L37" s="23"/>
      <c r="M37" s="23">
        <f t="shared" si="1"/>
        <v>0</v>
      </c>
      <c r="N37" s="11"/>
      <c r="O37" s="39"/>
      <c r="P37" s="36"/>
    </row>
    <row r="38" spans="2:16" x14ac:dyDescent="0.25">
      <c r="B38" s="10"/>
      <c r="C38" s="22"/>
      <c r="D38" s="23"/>
      <c r="E38" s="23">
        <f t="shared" si="0"/>
        <v>0</v>
      </c>
      <c r="F38" s="11"/>
      <c r="G38" s="39"/>
      <c r="H38" s="36"/>
      <c r="J38" s="10"/>
      <c r="K38" s="22"/>
      <c r="L38" s="23"/>
      <c r="M38" s="23">
        <f t="shared" si="1"/>
        <v>0</v>
      </c>
      <c r="N38" s="11"/>
      <c r="O38" s="39"/>
      <c r="P38" s="36"/>
    </row>
    <row r="39" spans="2:16" x14ac:dyDescent="0.25">
      <c r="B39" s="10"/>
      <c r="C39" s="22"/>
      <c r="D39" s="23"/>
      <c r="E39" s="23">
        <f t="shared" si="0"/>
        <v>0</v>
      </c>
      <c r="F39" s="11"/>
      <c r="G39" s="39"/>
      <c r="H39" s="36"/>
      <c r="J39" s="10"/>
      <c r="K39" s="22"/>
      <c r="L39" s="23"/>
      <c r="M39" s="23">
        <f t="shared" si="1"/>
        <v>0</v>
      </c>
      <c r="N39" s="11"/>
      <c r="O39" s="39"/>
      <c r="P39" s="36"/>
    </row>
    <row r="40" spans="2:16" x14ac:dyDescent="0.25">
      <c r="B40" s="10"/>
      <c r="C40" s="22"/>
      <c r="D40" s="23"/>
      <c r="E40" s="23">
        <f t="shared" si="0"/>
        <v>0</v>
      </c>
      <c r="F40" s="11"/>
      <c r="G40" s="39"/>
      <c r="H40" s="36"/>
      <c r="J40" s="10"/>
      <c r="K40" s="22"/>
      <c r="L40" s="23"/>
      <c r="M40" s="23">
        <f t="shared" si="1"/>
        <v>0</v>
      </c>
      <c r="N40" s="11"/>
      <c r="O40" s="39"/>
      <c r="P40" s="36"/>
    </row>
    <row r="41" spans="2:16" x14ac:dyDescent="0.25">
      <c r="B41" s="10"/>
      <c r="C41" s="22"/>
      <c r="D41" s="23"/>
      <c r="E41" s="23">
        <f t="shared" si="0"/>
        <v>0</v>
      </c>
      <c r="F41" s="11"/>
      <c r="G41" s="39"/>
      <c r="H41" s="36"/>
      <c r="J41" s="10"/>
      <c r="K41" s="22"/>
      <c r="L41" s="23"/>
      <c r="M41" s="23">
        <f t="shared" si="1"/>
        <v>0</v>
      </c>
      <c r="N41" s="11"/>
      <c r="O41" s="39"/>
      <c r="P41" s="36"/>
    </row>
    <row r="42" spans="2:16" x14ac:dyDescent="0.25">
      <c r="B42" s="10"/>
      <c r="C42" s="22"/>
      <c r="D42" s="23"/>
      <c r="E42" s="23">
        <f t="shared" si="0"/>
        <v>0</v>
      </c>
      <c r="F42" s="11"/>
      <c r="G42" s="39"/>
      <c r="H42" s="36"/>
      <c r="J42" s="10"/>
      <c r="K42" s="22"/>
      <c r="L42" s="23"/>
      <c r="M42" s="23">
        <f t="shared" si="1"/>
        <v>0</v>
      </c>
      <c r="N42" s="11"/>
      <c r="O42" s="39"/>
      <c r="P42" s="36"/>
    </row>
    <row r="43" spans="2:16" x14ac:dyDescent="0.25">
      <c r="B43" s="10"/>
      <c r="C43" s="22"/>
      <c r="D43" s="23"/>
      <c r="E43" s="23">
        <f t="shared" si="0"/>
        <v>0</v>
      </c>
      <c r="F43" s="11"/>
      <c r="G43" s="39"/>
      <c r="H43" s="36"/>
      <c r="J43" s="10"/>
      <c r="K43" s="22"/>
      <c r="L43" s="23"/>
      <c r="M43" s="23">
        <f t="shared" si="1"/>
        <v>0</v>
      </c>
      <c r="N43" s="11"/>
      <c r="O43" s="39"/>
      <c r="P43" s="36"/>
    </row>
    <row r="44" spans="2:16" x14ac:dyDescent="0.25">
      <c r="B44" s="10"/>
      <c r="C44" s="22"/>
      <c r="D44" s="23"/>
      <c r="E44" s="23">
        <f t="shared" si="0"/>
        <v>0</v>
      </c>
      <c r="F44" s="11"/>
      <c r="G44" s="39"/>
      <c r="H44" s="36"/>
      <c r="J44" s="10"/>
      <c r="K44" s="22"/>
      <c r="L44" s="23"/>
      <c r="M44" s="23">
        <f t="shared" si="1"/>
        <v>0</v>
      </c>
      <c r="N44" s="11"/>
      <c r="O44" s="39"/>
      <c r="P44" s="36"/>
    </row>
    <row r="45" spans="2:16" x14ac:dyDescent="0.25">
      <c r="B45" s="10"/>
      <c r="C45" s="22"/>
      <c r="D45" s="23"/>
      <c r="E45" s="23">
        <f t="shared" si="0"/>
        <v>0</v>
      </c>
      <c r="F45" s="11"/>
      <c r="G45" s="39"/>
      <c r="H45" s="36"/>
      <c r="J45" s="10"/>
      <c r="K45" s="22"/>
      <c r="L45" s="23"/>
      <c r="M45" s="23">
        <f t="shared" si="1"/>
        <v>0</v>
      </c>
      <c r="N45" s="11"/>
      <c r="O45" s="39"/>
      <c r="P45" s="36"/>
    </row>
    <row r="46" spans="2:16" x14ac:dyDescent="0.25">
      <c r="B46" s="10"/>
      <c r="C46" s="22"/>
      <c r="D46" s="23"/>
      <c r="E46" s="23">
        <f t="shared" si="0"/>
        <v>0</v>
      </c>
      <c r="F46" s="11"/>
      <c r="G46" s="39"/>
      <c r="H46" s="36"/>
      <c r="J46" s="10"/>
      <c r="K46" s="22"/>
      <c r="L46" s="23"/>
      <c r="M46" s="23">
        <f t="shared" si="1"/>
        <v>0</v>
      </c>
      <c r="N46" s="11"/>
      <c r="O46" s="39"/>
      <c r="P46" s="36"/>
    </row>
    <row r="47" spans="2:16" x14ac:dyDescent="0.25">
      <c r="B47" s="10"/>
      <c r="C47" s="22"/>
      <c r="D47" s="23"/>
      <c r="E47" s="23">
        <f t="shared" si="0"/>
        <v>0</v>
      </c>
      <c r="F47" s="11"/>
      <c r="G47" s="39"/>
      <c r="H47" s="36"/>
      <c r="J47" s="10"/>
      <c r="K47" s="22"/>
      <c r="L47" s="23"/>
      <c r="M47" s="23">
        <f t="shared" si="1"/>
        <v>0</v>
      </c>
      <c r="N47" s="11"/>
      <c r="O47" s="39"/>
      <c r="P47" s="36"/>
    </row>
    <row r="48" spans="2:16" x14ac:dyDescent="0.25">
      <c r="B48" s="10"/>
      <c r="C48" s="22"/>
      <c r="D48" s="23"/>
      <c r="E48" s="23">
        <f t="shared" si="0"/>
        <v>0</v>
      </c>
      <c r="F48" s="11"/>
      <c r="G48" s="39"/>
      <c r="H48" s="36"/>
      <c r="J48" s="10"/>
      <c r="K48" s="22"/>
      <c r="L48" s="23"/>
      <c r="M48" s="23">
        <f t="shared" si="1"/>
        <v>0</v>
      </c>
      <c r="N48" s="11"/>
      <c r="O48" s="39"/>
      <c r="P48" s="36"/>
    </row>
    <row r="49" spans="2:16" x14ac:dyDescent="0.25">
      <c r="B49" s="19"/>
      <c r="C49" s="22"/>
      <c r="D49" s="23"/>
      <c r="E49" s="23">
        <f t="shared" si="0"/>
        <v>0</v>
      </c>
      <c r="F49" s="11"/>
      <c r="G49" s="39"/>
      <c r="H49" s="36"/>
      <c r="J49" s="19"/>
      <c r="K49" s="22"/>
      <c r="L49" s="23"/>
      <c r="M49" s="23">
        <f t="shared" si="1"/>
        <v>0</v>
      </c>
      <c r="N49" s="11"/>
      <c r="O49" s="39"/>
      <c r="P49" s="36"/>
    </row>
    <row r="50" spans="2:16" x14ac:dyDescent="0.25">
      <c r="B50" s="10"/>
      <c r="C50" s="22"/>
      <c r="D50" s="23"/>
      <c r="E50" s="23">
        <f t="shared" si="0"/>
        <v>0</v>
      </c>
      <c r="F50" s="11"/>
      <c r="G50" s="39"/>
      <c r="H50" s="36"/>
      <c r="J50" s="10"/>
      <c r="K50" s="22"/>
      <c r="L50" s="23"/>
      <c r="M50" s="23">
        <f t="shared" si="1"/>
        <v>0</v>
      </c>
      <c r="N50" s="11"/>
      <c r="O50" s="39"/>
      <c r="P50" s="36"/>
    </row>
    <row r="51" spans="2:16" x14ac:dyDescent="0.25">
      <c r="B51" s="10"/>
      <c r="C51" s="22"/>
      <c r="D51" s="23"/>
      <c r="E51" s="23">
        <f t="shared" si="0"/>
        <v>0</v>
      </c>
      <c r="F51" s="11"/>
      <c r="G51" s="39"/>
      <c r="H51" s="36"/>
      <c r="J51" s="10"/>
      <c r="K51" s="22"/>
      <c r="L51" s="23"/>
      <c r="M51" s="23">
        <f t="shared" si="1"/>
        <v>0</v>
      </c>
      <c r="N51" s="11"/>
      <c r="O51" s="39"/>
      <c r="P51" s="36"/>
    </row>
    <row r="52" spans="2:16" x14ac:dyDescent="0.25">
      <c r="B52" s="10"/>
      <c r="C52" s="22"/>
      <c r="D52" s="23"/>
      <c r="E52" s="23">
        <f t="shared" si="0"/>
        <v>0</v>
      </c>
      <c r="F52" s="11"/>
      <c r="G52" s="39"/>
      <c r="H52" s="36"/>
      <c r="J52" s="10"/>
      <c r="K52" s="22"/>
      <c r="L52" s="23"/>
      <c r="M52" s="23">
        <f t="shared" si="1"/>
        <v>0</v>
      </c>
      <c r="N52" s="11"/>
      <c r="O52" s="39"/>
      <c r="P52" s="36"/>
    </row>
    <row r="53" spans="2:16" x14ac:dyDescent="0.25">
      <c r="B53" s="10"/>
      <c r="C53" s="22"/>
      <c r="D53" s="23"/>
      <c r="E53" s="23">
        <f t="shared" si="0"/>
        <v>0</v>
      </c>
      <c r="F53" s="11"/>
      <c r="G53" s="39"/>
      <c r="H53" s="36"/>
      <c r="J53" s="10"/>
      <c r="K53" s="22"/>
      <c r="L53" s="23"/>
      <c r="M53" s="23">
        <f t="shared" si="1"/>
        <v>0</v>
      </c>
      <c r="N53" s="11"/>
      <c r="O53" s="39"/>
      <c r="P53" s="36"/>
    </row>
    <row r="54" spans="2:16" x14ac:dyDescent="0.25">
      <c r="B54" s="46"/>
      <c r="C54" s="47"/>
      <c r="D54" s="48"/>
      <c r="E54" s="23">
        <f t="shared" si="0"/>
        <v>0</v>
      </c>
      <c r="F54" s="38"/>
      <c r="G54" s="49"/>
      <c r="H54" s="36"/>
      <c r="J54" s="46"/>
      <c r="K54" s="47"/>
      <c r="L54" s="48"/>
      <c r="M54" s="23">
        <f t="shared" si="1"/>
        <v>0</v>
      </c>
      <c r="N54" s="38"/>
      <c r="O54" s="49"/>
      <c r="P54" s="36"/>
    </row>
    <row r="55" spans="2:16" x14ac:dyDescent="0.25">
      <c r="B55" s="46"/>
      <c r="C55" s="47"/>
      <c r="D55" s="48"/>
      <c r="E55" s="23">
        <f t="shared" si="0"/>
        <v>0</v>
      </c>
      <c r="F55" s="38"/>
      <c r="G55" s="49"/>
      <c r="H55" s="36"/>
      <c r="J55" s="46"/>
      <c r="K55" s="47"/>
      <c r="L55" s="48"/>
      <c r="M55" s="23">
        <f t="shared" si="1"/>
        <v>0</v>
      </c>
      <c r="N55" s="38"/>
      <c r="O55" s="49"/>
      <c r="P55" s="36"/>
    </row>
    <row r="56" spans="2:16" x14ac:dyDescent="0.25">
      <c r="B56" s="46"/>
      <c r="C56" s="47"/>
      <c r="D56" s="48"/>
      <c r="E56" s="23">
        <f t="shared" si="0"/>
        <v>0</v>
      </c>
      <c r="F56" s="38"/>
      <c r="G56" s="49"/>
      <c r="H56" s="36"/>
      <c r="J56" s="46"/>
      <c r="K56" s="47"/>
      <c r="L56" s="48"/>
      <c r="M56" s="23">
        <f t="shared" si="1"/>
        <v>0</v>
      </c>
      <c r="N56" s="38"/>
      <c r="O56" s="49"/>
      <c r="P56" s="36"/>
    </row>
    <row r="57" spans="2:16" x14ac:dyDescent="0.25">
      <c r="B57" s="46"/>
      <c r="C57" s="47"/>
      <c r="D57" s="48"/>
      <c r="E57" s="23">
        <f t="shared" si="0"/>
        <v>0</v>
      </c>
      <c r="F57" s="38"/>
      <c r="G57" s="49"/>
      <c r="H57" s="36"/>
      <c r="J57" s="46"/>
      <c r="K57" s="47"/>
      <c r="L57" s="48"/>
      <c r="M57" s="23">
        <f t="shared" si="1"/>
        <v>0</v>
      </c>
      <c r="N57" s="38"/>
      <c r="O57" s="49"/>
      <c r="P57" s="36"/>
    </row>
    <row r="58" spans="2:16" x14ac:dyDescent="0.25">
      <c r="B58" s="46"/>
      <c r="C58" s="47"/>
      <c r="D58" s="48"/>
      <c r="E58" s="23">
        <f t="shared" si="0"/>
        <v>0</v>
      </c>
      <c r="F58" s="38"/>
      <c r="G58" s="49"/>
      <c r="H58" s="36"/>
      <c r="J58" s="46"/>
      <c r="K58" s="47"/>
      <c r="L58" s="48"/>
      <c r="M58" s="23">
        <f t="shared" si="1"/>
        <v>0</v>
      </c>
      <c r="N58" s="38"/>
      <c r="O58" s="49"/>
      <c r="P58" s="36"/>
    </row>
    <row r="59" spans="2:16" x14ac:dyDescent="0.25">
      <c r="B59" s="46"/>
      <c r="C59" s="47"/>
      <c r="D59" s="48"/>
      <c r="E59" s="23">
        <f t="shared" si="0"/>
        <v>0</v>
      </c>
      <c r="F59" s="38"/>
      <c r="G59" s="49"/>
      <c r="H59" s="36"/>
      <c r="J59" s="46"/>
      <c r="K59" s="47"/>
      <c r="L59" s="48"/>
      <c r="M59" s="23">
        <f t="shared" si="1"/>
        <v>0</v>
      </c>
      <c r="N59" s="38"/>
      <c r="O59" s="49"/>
      <c r="P59" s="36"/>
    </row>
    <row r="60" spans="2:16" x14ac:dyDescent="0.25">
      <c r="B60" s="46"/>
      <c r="C60" s="47"/>
      <c r="D60" s="48"/>
      <c r="E60" s="23">
        <f t="shared" si="0"/>
        <v>0</v>
      </c>
      <c r="F60" s="38"/>
      <c r="G60" s="49"/>
      <c r="H60" s="36"/>
      <c r="J60" s="46"/>
      <c r="K60" s="47"/>
      <c r="L60" s="48"/>
      <c r="M60" s="23">
        <f t="shared" si="1"/>
        <v>0</v>
      </c>
      <c r="N60" s="38"/>
      <c r="O60" s="49"/>
      <c r="P60" s="36"/>
    </row>
    <row r="61" spans="2:16" x14ac:dyDescent="0.25">
      <c r="B61" s="46"/>
      <c r="C61" s="47"/>
      <c r="D61" s="48"/>
      <c r="E61" s="23">
        <f t="shared" si="0"/>
        <v>0</v>
      </c>
      <c r="F61" s="38"/>
      <c r="G61" s="49"/>
      <c r="H61" s="36"/>
      <c r="J61" s="46"/>
      <c r="K61" s="47"/>
      <c r="L61" s="48"/>
      <c r="M61" s="23">
        <f t="shared" si="1"/>
        <v>0</v>
      </c>
      <c r="N61" s="38"/>
      <c r="O61" s="49"/>
      <c r="P61" s="36"/>
    </row>
    <row r="62" spans="2:16" x14ac:dyDescent="0.25">
      <c r="B62" s="46"/>
      <c r="C62" s="47"/>
      <c r="D62" s="48"/>
      <c r="E62" s="23">
        <f t="shared" si="0"/>
        <v>0</v>
      </c>
      <c r="F62" s="38"/>
      <c r="G62" s="49"/>
      <c r="H62" s="36"/>
      <c r="J62" s="46"/>
      <c r="K62" s="47"/>
      <c r="L62" s="48"/>
      <c r="M62" s="23">
        <f t="shared" si="1"/>
        <v>0</v>
      </c>
      <c r="N62" s="38"/>
      <c r="O62" s="49"/>
      <c r="P62" s="36"/>
    </row>
    <row r="63" spans="2:16" x14ac:dyDescent="0.25">
      <c r="B63" s="46"/>
      <c r="C63" s="47"/>
      <c r="D63" s="48"/>
      <c r="E63" s="23">
        <f t="shared" si="0"/>
        <v>0</v>
      </c>
      <c r="F63" s="38"/>
      <c r="G63" s="49"/>
      <c r="H63" s="36"/>
      <c r="J63" s="46"/>
      <c r="K63" s="47"/>
      <c r="L63" s="48"/>
      <c r="M63" s="23">
        <f t="shared" si="1"/>
        <v>0</v>
      </c>
      <c r="N63" s="38"/>
      <c r="O63" s="49"/>
      <c r="P63" s="36"/>
    </row>
    <row r="64" spans="2:16" x14ac:dyDescent="0.25">
      <c r="B64" s="46"/>
      <c r="C64" s="47"/>
      <c r="D64" s="48"/>
      <c r="E64" s="23">
        <f t="shared" si="0"/>
        <v>0</v>
      </c>
      <c r="F64" s="38"/>
      <c r="G64" s="49"/>
      <c r="H64" s="36"/>
      <c r="J64" s="46"/>
      <c r="K64" s="47"/>
      <c r="L64" s="48"/>
      <c r="M64" s="23">
        <f t="shared" si="1"/>
        <v>0</v>
      </c>
      <c r="N64" s="38"/>
      <c r="O64" s="49"/>
      <c r="P64" s="36"/>
    </row>
    <row r="65" spans="2:16" x14ac:dyDescent="0.25">
      <c r="B65" s="46"/>
      <c r="C65" s="47"/>
      <c r="D65" s="48"/>
      <c r="E65" s="23">
        <f t="shared" si="0"/>
        <v>0</v>
      </c>
      <c r="F65" s="38"/>
      <c r="G65" s="49"/>
      <c r="H65" s="36"/>
      <c r="J65" s="46"/>
      <c r="K65" s="47"/>
      <c r="L65" s="48"/>
      <c r="M65" s="23">
        <f t="shared" si="1"/>
        <v>0</v>
      </c>
      <c r="N65" s="38"/>
      <c r="O65" s="49"/>
      <c r="P65" s="36"/>
    </row>
    <row r="66" spans="2:16" x14ac:dyDescent="0.25">
      <c r="B66" s="46"/>
      <c r="C66" s="47"/>
      <c r="D66" s="48"/>
      <c r="E66" s="23">
        <f t="shared" si="0"/>
        <v>0</v>
      </c>
      <c r="F66" s="38"/>
      <c r="G66" s="49"/>
      <c r="H66" s="36"/>
      <c r="J66" s="46"/>
      <c r="K66" s="47"/>
      <c r="L66" s="48"/>
      <c r="M66" s="23">
        <f t="shared" si="1"/>
        <v>0</v>
      </c>
      <c r="N66" s="38"/>
      <c r="O66" s="49"/>
      <c r="P66" s="36"/>
    </row>
    <row r="67" spans="2:16" x14ac:dyDescent="0.25">
      <c r="B67" s="46"/>
      <c r="C67" s="47"/>
      <c r="D67" s="48"/>
      <c r="E67" s="23">
        <f t="shared" si="0"/>
        <v>0</v>
      </c>
      <c r="F67" s="38"/>
      <c r="G67" s="49"/>
      <c r="H67" s="36"/>
      <c r="J67" s="46"/>
      <c r="K67" s="47"/>
      <c r="L67" s="48"/>
      <c r="M67" s="23">
        <f t="shared" si="1"/>
        <v>0</v>
      </c>
      <c r="N67" s="38"/>
      <c r="O67" s="49"/>
      <c r="P67" s="36"/>
    </row>
    <row r="68" spans="2:16" x14ac:dyDescent="0.25">
      <c r="B68" s="46"/>
      <c r="C68" s="47"/>
      <c r="D68" s="48"/>
      <c r="E68" s="23">
        <f t="shared" si="0"/>
        <v>0</v>
      </c>
      <c r="F68" s="38"/>
      <c r="G68" s="49"/>
      <c r="H68" s="36"/>
      <c r="J68" s="46"/>
      <c r="K68" s="47"/>
      <c r="L68" s="48"/>
      <c r="M68" s="23">
        <f t="shared" si="1"/>
        <v>0</v>
      </c>
      <c r="N68" s="38"/>
      <c r="O68" s="49"/>
      <c r="P68" s="36"/>
    </row>
    <row r="69" spans="2:16" ht="15.75" thickBot="1" x14ac:dyDescent="0.3">
      <c r="B69" s="18"/>
      <c r="C69" s="24"/>
      <c r="D69" s="25"/>
      <c r="E69" s="23">
        <f t="shared" si="0"/>
        <v>0</v>
      </c>
      <c r="F69" s="12"/>
      <c r="G69" s="28"/>
      <c r="H69" s="36"/>
      <c r="J69" s="18"/>
      <c r="K69" s="24"/>
      <c r="L69" s="25"/>
      <c r="M69" s="23">
        <f t="shared" si="1"/>
        <v>0</v>
      </c>
      <c r="N69" s="12"/>
      <c r="O69" s="28"/>
      <c r="P69" s="36"/>
    </row>
    <row r="70" spans="2:16" ht="15.75" thickBot="1" x14ac:dyDescent="0.3">
      <c r="D70" t="s">
        <v>23</v>
      </c>
      <c r="E70" s="29">
        <f>E69</f>
        <v>0</v>
      </c>
      <c r="F70" s="13"/>
      <c r="G70" s="31">
        <f>SUM(G7:G69)</f>
        <v>0</v>
      </c>
      <c r="H70" s="30">
        <f>SUM(H7:H69)</f>
        <v>0</v>
      </c>
      <c r="L70" t="s">
        <v>23</v>
      </c>
      <c r="M70" s="29">
        <f>M69</f>
        <v>0</v>
      </c>
      <c r="N70" s="13"/>
      <c r="O70" s="31">
        <f>SUM(O7:O69)</f>
        <v>0</v>
      </c>
      <c r="P70" s="30">
        <f>SUM(P7:P69)</f>
        <v>0</v>
      </c>
    </row>
    <row r="73" spans="2:16" ht="21" x14ac:dyDescent="0.35">
      <c r="B73" s="469" t="s">
        <v>64</v>
      </c>
      <c r="C73" s="469"/>
      <c r="D73" s="469"/>
      <c r="E73" s="359">
        <f>E70+M70</f>
        <v>0</v>
      </c>
    </row>
    <row r="74" spans="2:16" ht="21" x14ac:dyDescent="0.35">
      <c r="B74" s="255" t="s">
        <v>56</v>
      </c>
      <c r="E74" s="256">
        <f>G70+O70</f>
        <v>0</v>
      </c>
    </row>
  </sheetData>
  <mergeCells count="3">
    <mergeCell ref="B4:H4"/>
    <mergeCell ref="J4:P4"/>
    <mergeCell ref="B73:D7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7"/>
  <sheetViews>
    <sheetView zoomScaleNormal="100" workbookViewId="0">
      <selection activeCell="F12" sqref="F12"/>
    </sheetView>
  </sheetViews>
  <sheetFormatPr baseColWidth="10" defaultRowHeight="15" x14ac:dyDescent="0.25"/>
  <cols>
    <col min="1" max="1" width="41.85546875" customWidth="1"/>
    <col min="2" max="2" width="24.28515625" customWidth="1"/>
    <col min="3" max="3" width="12.85546875" customWidth="1"/>
    <col min="4" max="4" width="13" bestFit="1" customWidth="1"/>
    <col min="5" max="5" width="14.5703125" customWidth="1"/>
    <col min="6" max="6" width="40" customWidth="1"/>
    <col min="8" max="8" width="12" customWidth="1"/>
    <col min="9" max="12" width="11.5703125" customWidth="1"/>
  </cols>
  <sheetData>
    <row r="2" spans="1:6" x14ac:dyDescent="0.25">
      <c r="A2" t="s">
        <v>44</v>
      </c>
      <c r="C2" s="61"/>
    </row>
    <row r="3" spans="1:6" x14ac:dyDescent="0.25">
      <c r="A3" s="470"/>
      <c r="B3" s="470"/>
      <c r="C3" s="470"/>
      <c r="D3" s="470"/>
      <c r="E3" s="470"/>
      <c r="F3" s="470"/>
    </row>
    <row r="4" spans="1:6" x14ac:dyDescent="0.25">
      <c r="A4" s="62" t="s">
        <v>45</v>
      </c>
      <c r="B4" s="62" t="s">
        <v>75</v>
      </c>
      <c r="C4" s="62" t="s">
        <v>52</v>
      </c>
      <c r="D4" s="62" t="s">
        <v>2</v>
      </c>
      <c r="E4" s="62" t="s">
        <v>31</v>
      </c>
      <c r="F4" s="200" t="s">
        <v>48</v>
      </c>
    </row>
    <row r="5" spans="1:6" ht="75" x14ac:dyDescent="0.25">
      <c r="A5" s="403" t="s">
        <v>76</v>
      </c>
      <c r="B5" s="401">
        <v>12640</v>
      </c>
      <c r="C5" s="401">
        <v>12640</v>
      </c>
      <c r="D5" s="400"/>
      <c r="E5" s="400"/>
      <c r="F5" s="402" t="s">
        <v>78</v>
      </c>
    </row>
    <row r="6" spans="1:6" x14ac:dyDescent="0.25">
      <c r="A6" s="202" t="s">
        <v>77</v>
      </c>
      <c r="B6" s="208">
        <v>7250</v>
      </c>
      <c r="C6" s="203">
        <v>6750</v>
      </c>
      <c r="D6" s="203"/>
      <c r="E6" s="203">
        <f t="shared" ref="E6" si="0">SUM(C6:D6)</f>
        <v>6750</v>
      </c>
      <c r="F6" s="204" t="s">
        <v>51</v>
      </c>
    </row>
    <row r="7" spans="1:6" x14ac:dyDescent="0.25">
      <c r="A7" s="383" t="s">
        <v>63</v>
      </c>
      <c r="B7" s="288">
        <v>12870</v>
      </c>
      <c r="C7" s="288">
        <v>12870</v>
      </c>
      <c r="D7" s="383"/>
      <c r="E7" s="383"/>
      <c r="F7" s="383"/>
    </row>
  </sheetData>
  <mergeCells count="1">
    <mergeCell ref="A3:F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9"/>
  <sheetViews>
    <sheetView zoomScale="70" zoomScaleNormal="70" workbookViewId="0">
      <selection activeCell="O13" sqref="O13"/>
    </sheetView>
  </sheetViews>
  <sheetFormatPr baseColWidth="10" defaultColWidth="11.42578125" defaultRowHeight="15" x14ac:dyDescent="0.25"/>
  <cols>
    <col min="1" max="1" width="3.5703125" style="136" customWidth="1"/>
    <col min="2" max="2" width="19.5703125" style="136" customWidth="1"/>
    <col min="3" max="3" width="12.42578125" style="136" customWidth="1"/>
    <col min="4" max="4" width="8.7109375" style="136" customWidth="1"/>
    <col min="5" max="5" width="9.140625" style="136" customWidth="1"/>
    <col min="6" max="6" width="31.140625" style="136" customWidth="1"/>
    <col min="7" max="7" width="2.140625" style="136" customWidth="1"/>
    <col min="8" max="8" width="24.42578125" style="136" customWidth="1"/>
    <col min="9" max="9" width="16.7109375" style="136" customWidth="1"/>
    <col min="10" max="10" width="15.42578125" style="136" customWidth="1"/>
    <col min="11" max="11" width="19.28515625" style="136" customWidth="1"/>
    <col min="12" max="12" width="13.28515625" style="136" customWidth="1"/>
    <col min="13" max="13" width="20.5703125" style="136" bestFit="1" customWidth="1"/>
    <col min="14" max="14" width="13.28515625" style="136" customWidth="1"/>
    <col min="15" max="15" width="29.5703125" style="136" bestFit="1" customWidth="1"/>
    <col min="16" max="16" width="9.7109375" style="136" customWidth="1"/>
    <col min="17" max="17" width="5.28515625" style="136" customWidth="1"/>
    <col min="18" max="18" width="16" style="136" bestFit="1" customWidth="1"/>
    <col min="19" max="19" width="13.7109375" style="136" customWidth="1"/>
    <col min="20" max="16384" width="11.42578125" style="136"/>
  </cols>
  <sheetData>
    <row r="1" spans="1:18" ht="20.25" customHeight="1" x14ac:dyDescent="0.25">
      <c r="B1" s="472" t="s">
        <v>37</v>
      </c>
      <c r="C1" s="472"/>
      <c r="D1" s="472"/>
      <c r="E1" s="472"/>
    </row>
    <row r="2" spans="1:18" ht="20.25" customHeight="1" x14ac:dyDescent="0.25">
      <c r="B2" s="471" t="s">
        <v>74</v>
      </c>
      <c r="C2" s="471"/>
      <c r="D2" s="471"/>
      <c r="E2" s="471"/>
    </row>
    <row r="3" spans="1:18" ht="14.25" customHeight="1" thickBot="1" x14ac:dyDescent="0.35">
      <c r="K3" s="137" t="s">
        <v>31</v>
      </c>
      <c r="L3" s="138"/>
      <c r="M3" s="138"/>
      <c r="N3" s="138"/>
    </row>
    <row r="4" spans="1:18" ht="18.75" x14ac:dyDescent="0.3">
      <c r="B4" s="139"/>
      <c r="F4" s="140"/>
      <c r="K4" s="137" t="s">
        <v>36</v>
      </c>
      <c r="L4" s="138"/>
      <c r="M4" s="475" t="s">
        <v>112</v>
      </c>
      <c r="N4" s="138"/>
      <c r="O4" s="420" t="s">
        <v>126</v>
      </c>
      <c r="R4" s="473"/>
    </row>
    <row r="5" spans="1:18" ht="18" customHeight="1" thickBot="1" x14ac:dyDescent="0.4">
      <c r="B5" s="141" t="s">
        <v>47</v>
      </c>
      <c r="C5" s="142"/>
      <c r="D5" s="142"/>
      <c r="E5" s="142"/>
      <c r="F5" s="143">
        <f>PTM!H59</f>
        <v>590</v>
      </c>
      <c r="G5" s="144" t="s">
        <v>34</v>
      </c>
      <c r="H5" s="141" t="s">
        <v>33</v>
      </c>
      <c r="I5" s="145">
        <f>PTM!H61</f>
        <v>120</v>
      </c>
      <c r="K5" s="146">
        <f>F5+I5</f>
        <v>710</v>
      </c>
      <c r="L5" s="147"/>
      <c r="M5" s="474">
        <f>(K5+F6+F7)</f>
        <v>733.62</v>
      </c>
      <c r="N5" s="147"/>
      <c r="O5" s="148">
        <f>M5-F10-F11</f>
        <v>546.12</v>
      </c>
    </row>
    <row r="6" spans="1:18" ht="18" customHeight="1" x14ac:dyDescent="0.3">
      <c r="A6" s="136" t="s">
        <v>44</v>
      </c>
      <c r="B6" s="149" t="s">
        <v>38</v>
      </c>
      <c r="C6" s="142"/>
      <c r="D6" s="142"/>
      <c r="E6" s="142"/>
      <c r="F6" s="143">
        <f>INT.BANC!C18</f>
        <v>23.62</v>
      </c>
      <c r="K6" s="146"/>
      <c r="L6" s="146"/>
      <c r="M6" s="146"/>
      <c r="N6" s="146"/>
    </row>
    <row r="7" spans="1:18" ht="18.75" x14ac:dyDescent="0.3">
      <c r="B7" s="141" t="s">
        <v>32</v>
      </c>
      <c r="F7" s="387">
        <v>0</v>
      </c>
      <c r="K7" s="150"/>
      <c r="L7" s="150"/>
      <c r="M7" s="150"/>
      <c r="N7" s="150"/>
    </row>
    <row r="8" spans="1:18" ht="18.75" x14ac:dyDescent="0.3">
      <c r="B8" s="141" t="s">
        <v>41</v>
      </c>
      <c r="F8" s="143">
        <f>INVERS!F71+INVERS!Q71+INVERS!AB71+INVERS!AM71+INVERS!AV71+INVERS!BD71+INVERS2!E73</f>
        <v>28800</v>
      </c>
      <c r="H8" s="141" t="s">
        <v>42</v>
      </c>
      <c r="K8" s="146">
        <f>INVERS!I71+INVERS!T71+INVERS!AE71+INVERS!AP71+INVERS!AY71+INVERS!BG71+INVERS2!H70+INVERS2!P70</f>
        <v>239</v>
      </c>
      <c r="L8" s="146"/>
      <c r="M8" s="146"/>
      <c r="N8" s="146"/>
    </row>
    <row r="9" spans="1:18" ht="18.75" x14ac:dyDescent="0.3">
      <c r="B9" s="194" t="s">
        <v>50</v>
      </c>
      <c r="F9" s="258">
        <f>PTM!H58+'REC. CONGELAD'!E57</f>
        <v>26150</v>
      </c>
      <c r="H9" s="141"/>
      <c r="K9" s="146"/>
      <c r="L9" s="146"/>
      <c r="M9" s="146"/>
      <c r="N9" s="146"/>
    </row>
    <row r="10" spans="1:18" ht="18.75" x14ac:dyDescent="0.3">
      <c r="B10" s="174" t="s">
        <v>116</v>
      </c>
      <c r="F10" s="151">
        <f>INVERS!F74+INVERS2!E74</f>
        <v>147.5</v>
      </c>
      <c r="I10" s="152"/>
      <c r="K10" s="150"/>
      <c r="L10" s="271"/>
      <c r="M10" s="271"/>
      <c r="N10" s="271"/>
    </row>
    <row r="11" spans="1:18" ht="18.75" x14ac:dyDescent="0.3">
      <c r="B11" s="174" t="s">
        <v>115</v>
      </c>
      <c r="F11" s="151">
        <v>40</v>
      </c>
      <c r="H11" s="13" t="s">
        <v>109</v>
      </c>
      <c r="I11" s="287"/>
      <c r="J11" s="152"/>
      <c r="K11" s="348"/>
      <c r="O11" s="150"/>
      <c r="Q11" s="153"/>
    </row>
    <row r="12" spans="1:18" ht="19.5" thickBot="1" x14ac:dyDescent="0.35">
      <c r="B12" s="174" t="s">
        <v>108</v>
      </c>
      <c r="D12"/>
      <c r="F12" s="378"/>
      <c r="H12" s="13" t="s">
        <v>109</v>
      </c>
      <c r="I12" s="150"/>
      <c r="J12" s="270"/>
      <c r="K12" s="250"/>
      <c r="L12" s="393"/>
      <c r="M12" s="393"/>
      <c r="N12" s="393"/>
      <c r="O12" s="150"/>
      <c r="Q12" s="155"/>
    </row>
    <row r="13" spans="1:18" ht="24.75" customHeight="1" thickBot="1" x14ac:dyDescent="0.45">
      <c r="B13" s="149" t="s">
        <v>39</v>
      </c>
      <c r="C13" s="142"/>
      <c r="E13" s="156" t="s">
        <v>26</v>
      </c>
      <c r="F13" s="376">
        <f>F4+F5+F6+F7+F8-F9-F10-F11-F12</f>
        <v>3076.119999999999</v>
      </c>
      <c r="H13" s="219"/>
      <c r="J13" s="150"/>
      <c r="K13" s="150"/>
      <c r="O13" s="295"/>
    </row>
    <row r="14" spans="1:18" ht="22.5" customHeight="1" x14ac:dyDescent="0.4">
      <c r="B14" s="149" t="s">
        <v>59</v>
      </c>
      <c r="C14" s="142"/>
      <c r="E14" s="156"/>
      <c r="F14" s="377">
        <f>'REC. INCOBRABLES'!D5+'REC. INCOBRABLES'!D6</f>
        <v>0</v>
      </c>
      <c r="H14" s="196"/>
      <c r="I14" s="201"/>
      <c r="J14" s="146"/>
      <c r="K14" s="150"/>
      <c r="L14" s="287"/>
      <c r="M14" s="287"/>
      <c r="N14" s="287"/>
      <c r="O14" s="270"/>
    </row>
    <row r="15" spans="1:18" ht="16.5" customHeight="1" x14ac:dyDescent="0.3">
      <c r="B15" s="174" t="s">
        <v>110</v>
      </c>
      <c r="F15" s="201">
        <v>100</v>
      </c>
      <c r="H15" s="269" t="s">
        <v>79</v>
      </c>
      <c r="I15" s="150"/>
      <c r="J15" s="150"/>
      <c r="K15" s="150"/>
      <c r="L15" s="150"/>
      <c r="M15" s="150"/>
      <c r="N15" s="150"/>
      <c r="O15" s="196"/>
      <c r="P15" s="150"/>
    </row>
    <row r="16" spans="1:18" ht="16.5" customHeight="1" x14ac:dyDescent="0.3">
      <c r="B16" s="174" t="s">
        <v>83</v>
      </c>
      <c r="F16" s="270">
        <v>1000</v>
      </c>
      <c r="H16" s="269" t="s">
        <v>111</v>
      </c>
      <c r="I16" s="150"/>
      <c r="J16" s="150"/>
      <c r="K16" s="150"/>
      <c r="L16" s="150"/>
      <c r="M16" s="150"/>
      <c r="N16" s="150"/>
      <c r="O16" s="196"/>
      <c r="P16" s="150"/>
    </row>
    <row r="17" spans="2:15" ht="28.5" x14ac:dyDescent="0.45">
      <c r="B17" s="209" t="s">
        <v>53</v>
      </c>
      <c r="F17" s="379">
        <f>F13+F14-F15-F16</f>
        <v>1976.119999999999</v>
      </c>
      <c r="H17" s="154"/>
      <c r="I17" s="395"/>
      <c r="J17" s="271"/>
      <c r="K17"/>
      <c r="L17" s="270"/>
      <c r="M17" s="270"/>
      <c r="N17" s="270"/>
    </row>
    <row r="18" spans="2:15" ht="26.25" x14ac:dyDescent="0.4">
      <c r="B18" s="141"/>
      <c r="C18" s="136" t="s">
        <v>44</v>
      </c>
      <c r="F18" s="157"/>
      <c r="H18" s="154"/>
      <c r="K18"/>
      <c r="L18" s="270"/>
      <c r="M18" s="270"/>
      <c r="N18" s="270"/>
    </row>
    <row r="19" spans="2:15" x14ac:dyDescent="0.25">
      <c r="B19" s="158"/>
      <c r="K19" s="269"/>
      <c r="L19" s="270"/>
      <c r="M19" s="270"/>
      <c r="N19" s="270"/>
    </row>
    <row r="20" spans="2:15" x14ac:dyDescent="0.25">
      <c r="B20" s="158"/>
      <c r="F20" s="287"/>
      <c r="K20"/>
      <c r="L20"/>
      <c r="M20"/>
      <c r="N20"/>
      <c r="O20" s="270"/>
    </row>
    <row r="21" spans="2:15" x14ac:dyDescent="0.25">
      <c r="B21" s="150"/>
      <c r="O21" s="270"/>
    </row>
    <row r="22" spans="2:15" ht="15.75" x14ac:dyDescent="0.25">
      <c r="B22" s="159"/>
      <c r="O22" s="270"/>
    </row>
    <row r="23" spans="2:15" x14ac:dyDescent="0.25">
      <c r="L23"/>
      <c r="M23"/>
      <c r="N23"/>
      <c r="O23" s="270"/>
    </row>
    <row r="24" spans="2:15" ht="15.75" x14ac:dyDescent="0.25">
      <c r="B24" s="159"/>
      <c r="O24" s="270"/>
    </row>
    <row r="25" spans="2:15" ht="15.75" x14ac:dyDescent="0.25">
      <c r="B25" s="159"/>
      <c r="L25"/>
      <c r="M25"/>
      <c r="N25"/>
      <c r="O25" s="270"/>
    </row>
    <row r="26" spans="2:15" ht="15.75" x14ac:dyDescent="0.25">
      <c r="B26" s="159"/>
      <c r="O26" s="270"/>
    </row>
    <row r="27" spans="2:15" ht="15.75" x14ac:dyDescent="0.25">
      <c r="B27" s="159"/>
    </row>
    <row r="28" spans="2:15" ht="15.75" x14ac:dyDescent="0.25">
      <c r="B28" s="159"/>
    </row>
    <row r="29" spans="2:15" ht="15.75" x14ac:dyDescent="0.25">
      <c r="B29" s="159"/>
    </row>
    <row r="30" spans="2:15" ht="15.75" x14ac:dyDescent="0.25">
      <c r="B30" s="159"/>
    </row>
    <row r="31" spans="2:15" ht="15.75" x14ac:dyDescent="0.25">
      <c r="B31" s="159"/>
    </row>
    <row r="32" spans="2:15" ht="15.75" x14ac:dyDescent="0.25">
      <c r="B32" s="159"/>
    </row>
    <row r="33" spans="2:2" ht="15.75" x14ac:dyDescent="0.25">
      <c r="B33" s="159"/>
    </row>
    <row r="34" spans="2:2" ht="15.75" x14ac:dyDescent="0.25">
      <c r="B34" s="159"/>
    </row>
    <row r="35" spans="2:2" ht="15.75" x14ac:dyDescent="0.25">
      <c r="B35" s="159"/>
    </row>
    <row r="36" spans="2:2" ht="15.75" x14ac:dyDescent="0.25">
      <c r="B36" s="159"/>
    </row>
    <row r="37" spans="2:2" ht="15.75" x14ac:dyDescent="0.25">
      <c r="B37" s="159"/>
    </row>
    <row r="38" spans="2:2" ht="15.75" x14ac:dyDescent="0.25">
      <c r="B38" s="159"/>
    </row>
    <row r="39" spans="2:2" ht="15.75" x14ac:dyDescent="0.25">
      <c r="B39" s="159"/>
    </row>
    <row r="40" spans="2:2" ht="15.75" x14ac:dyDescent="0.25">
      <c r="B40" s="159"/>
    </row>
    <row r="41" spans="2:2" ht="15.75" x14ac:dyDescent="0.25">
      <c r="B41" s="159"/>
    </row>
    <row r="42" spans="2:2" ht="15.75" x14ac:dyDescent="0.25">
      <c r="B42" s="159"/>
    </row>
    <row r="43" spans="2:2" ht="15.75" x14ac:dyDescent="0.25">
      <c r="B43" s="159"/>
    </row>
    <row r="44" spans="2:2" ht="15.75" x14ac:dyDescent="0.25">
      <c r="B44" s="159"/>
    </row>
    <row r="45" spans="2:2" ht="15.75" x14ac:dyDescent="0.25">
      <c r="B45" s="159"/>
    </row>
    <row r="46" spans="2:2" ht="15.75" x14ac:dyDescent="0.25">
      <c r="B46" s="159"/>
    </row>
    <row r="47" spans="2:2" ht="15.75" x14ac:dyDescent="0.25">
      <c r="B47" s="159"/>
    </row>
    <row r="48" spans="2:2" ht="15.75" x14ac:dyDescent="0.25">
      <c r="B48" s="159"/>
    </row>
    <row r="49" spans="2:2" ht="15.75" x14ac:dyDescent="0.25">
      <c r="B49" s="159"/>
    </row>
  </sheetData>
  <mergeCells count="2">
    <mergeCell ref="B2:E2"/>
    <mergeCell ref="B1:E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C4C8-BEA1-4F5D-8571-212C1A09D958}">
  <dimension ref="A1"/>
  <sheetViews>
    <sheetView tabSelected="1" workbookViewId="0">
      <selection activeCell="B3" sqref="B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3005-52D7-4876-9C5A-EEF0AEE86F76}">
  <dimension ref="B1:D23"/>
  <sheetViews>
    <sheetView workbookViewId="0">
      <selection activeCell="I22" sqref="I22"/>
    </sheetView>
  </sheetViews>
  <sheetFormatPr baseColWidth="10" defaultRowHeight="15" x14ac:dyDescent="0.25"/>
  <cols>
    <col min="2" max="2" width="33.28515625" customWidth="1"/>
    <col min="3" max="3" width="13.140625" customWidth="1"/>
    <col min="4" max="4" width="13.7109375" customWidth="1"/>
  </cols>
  <sheetData>
    <row r="1" spans="2:4" x14ac:dyDescent="0.25">
      <c r="B1" s="435" t="s">
        <v>131</v>
      </c>
      <c r="C1" s="435"/>
      <c r="D1" s="435"/>
    </row>
    <row r="2" spans="2:4" x14ac:dyDescent="0.25">
      <c r="B2" s="435" t="s">
        <v>114</v>
      </c>
      <c r="C2" s="435"/>
      <c r="D2" s="435"/>
    </row>
    <row r="3" spans="2:4" x14ac:dyDescent="0.25">
      <c r="B3" s="435" t="s">
        <v>127</v>
      </c>
      <c r="C3" s="435"/>
      <c r="D3" s="435"/>
    </row>
    <row r="4" spans="2:4" x14ac:dyDescent="0.25">
      <c r="B4" s="435" t="s">
        <v>128</v>
      </c>
      <c r="C4" s="435"/>
      <c r="D4" s="435"/>
    </row>
    <row r="5" spans="2:4" x14ac:dyDescent="0.25">
      <c r="B5" s="476" t="s">
        <v>113</v>
      </c>
      <c r="C5" s="476"/>
      <c r="D5" s="476"/>
    </row>
    <row r="6" spans="2:4" x14ac:dyDescent="0.25">
      <c r="B6" t="s">
        <v>117</v>
      </c>
      <c r="C6" s="60">
        <f>LIBRETA!K5</f>
        <v>710</v>
      </c>
      <c r="D6" s="60"/>
    </row>
    <row r="7" spans="2:4" x14ac:dyDescent="0.25">
      <c r="B7" t="s">
        <v>118</v>
      </c>
      <c r="C7" s="60">
        <f>LIBRETA!F6</f>
        <v>23.62</v>
      </c>
      <c r="D7" s="60"/>
    </row>
    <row r="8" spans="2:4" x14ac:dyDescent="0.25">
      <c r="B8" t="s">
        <v>119</v>
      </c>
      <c r="C8" s="60">
        <f>LIBRETA!F7</f>
        <v>0</v>
      </c>
      <c r="D8" s="60"/>
    </row>
    <row r="9" spans="2:4" x14ac:dyDescent="0.25">
      <c r="B9" s="477" t="s">
        <v>124</v>
      </c>
      <c r="C9" s="483"/>
      <c r="D9" s="483">
        <f>SUM(C6:C8)</f>
        <v>733.62</v>
      </c>
    </row>
    <row r="10" spans="2:4" ht="9.9499999999999993" customHeight="1" x14ac:dyDescent="0.25"/>
    <row r="11" spans="2:4" ht="9.9499999999999993" customHeight="1" x14ac:dyDescent="0.25"/>
    <row r="12" spans="2:4" x14ac:dyDescent="0.25">
      <c r="B12" s="476" t="s">
        <v>120</v>
      </c>
      <c r="C12" s="476"/>
      <c r="D12" s="476"/>
    </row>
    <row r="13" spans="2:4" x14ac:dyDescent="0.25">
      <c r="B13" t="s">
        <v>121</v>
      </c>
      <c r="C13" s="60">
        <f>LIBRETA!F10</f>
        <v>147.5</v>
      </c>
    </row>
    <row r="14" spans="2:4" x14ac:dyDescent="0.25">
      <c r="B14" t="s">
        <v>122</v>
      </c>
      <c r="C14" s="60">
        <f>LIBRETA!F11</f>
        <v>40</v>
      </c>
    </row>
    <row r="15" spans="2:4" x14ac:dyDescent="0.25">
      <c r="B15" s="477" t="s">
        <v>123</v>
      </c>
      <c r="C15" s="484"/>
      <c r="D15" s="485">
        <f>SUM(C13:C14)</f>
        <v>187.5</v>
      </c>
    </row>
    <row r="16" spans="2:4" ht="9.9499999999999993" customHeight="1" x14ac:dyDescent="0.25">
      <c r="B16" s="486"/>
      <c r="C16" s="487"/>
      <c r="D16" s="488"/>
    </row>
    <row r="17" spans="2:4" ht="9.9499999999999993" customHeight="1" x14ac:dyDescent="0.25"/>
    <row r="18" spans="2:4" x14ac:dyDescent="0.25">
      <c r="B18" s="479" t="s">
        <v>125</v>
      </c>
      <c r="C18" s="480"/>
      <c r="D18" s="481">
        <f>D9-D15</f>
        <v>546.12</v>
      </c>
    </row>
    <row r="19" spans="2:4" x14ac:dyDescent="0.25">
      <c r="B19" t="s">
        <v>129</v>
      </c>
      <c r="D19" s="257">
        <f>D18*25%</f>
        <v>136.53</v>
      </c>
    </row>
    <row r="20" spans="2:4" x14ac:dyDescent="0.25">
      <c r="D20" s="257"/>
    </row>
    <row r="21" spans="2:4" x14ac:dyDescent="0.25">
      <c r="B21" s="477" t="s">
        <v>130</v>
      </c>
      <c r="C21" s="478"/>
      <c r="D21" s="482">
        <f>D18-D19</f>
        <v>409.59000000000003</v>
      </c>
    </row>
    <row r="23" spans="2:4" x14ac:dyDescent="0.25">
      <c r="B23" s="40"/>
    </row>
  </sheetData>
  <mergeCells count="6">
    <mergeCell ref="B2:D2"/>
    <mergeCell ref="B5:D5"/>
    <mergeCell ref="B12:D12"/>
    <mergeCell ref="B3:D3"/>
    <mergeCell ref="B1:D1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PTM</vt:lpstr>
      <vt:lpstr>INVERS</vt:lpstr>
      <vt:lpstr>INT.BANC</vt:lpstr>
      <vt:lpstr>REC. CONGELAD</vt:lpstr>
      <vt:lpstr>Ctrl Int Atrasados</vt:lpstr>
      <vt:lpstr>INVERS2</vt:lpstr>
      <vt:lpstr>REC. INCOBRABLES</vt:lpstr>
      <vt:lpstr>LIBRETA</vt:lpstr>
      <vt:lpstr>BG</vt:lpstr>
      <vt:lpstr>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mauricio-anny-</dc:creator>
  <cp:lastModifiedBy>Mauricio Renan Rivera Vallecillo</cp:lastModifiedBy>
  <cp:lastPrinted>2018-06-28T18:10:53Z</cp:lastPrinted>
  <dcterms:created xsi:type="dcterms:W3CDTF">2010-02-07T20:05:07Z</dcterms:created>
  <dcterms:modified xsi:type="dcterms:W3CDTF">2026-08-06T17:41:32Z</dcterms:modified>
</cp:coreProperties>
</file>